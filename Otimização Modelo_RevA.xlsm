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817ec54c3267c7b/Documentos/1-PUC BI Master/18-PROJ/Modelo/"/>
    </mc:Choice>
  </mc:AlternateContent>
  <xr:revisionPtr revIDLastSave="1010" documentId="8_{3985C3D1-36C3-4BAD-BAB2-7EC8D8131F11}" xr6:coauthVersionLast="45" xr6:coauthVersionMax="45" xr10:uidLastSave="{09F8EECB-3D66-498C-8442-DBEF3030E6CB}"/>
  <bookViews>
    <workbookView xWindow="165" yWindow="4200" windowWidth="28800" windowHeight="12720" activeTab="3" xr2:uid="{553616FA-ED9B-47E7-84E5-6BD7342EF468}"/>
  </bookViews>
  <sheets>
    <sheet name="FPSO1 Base" sheetId="1" r:id="rId1"/>
    <sheet name="Relatório de Respostas 1" sheetId="56" r:id="rId2"/>
    <sheet name="Relatório de População 1" sheetId="57" r:id="rId3"/>
    <sheet name="FPSO1 Otim" sheetId="13" r:id="rId4"/>
  </sheets>
  <definedNames>
    <definedName name="solver_adj" localSheetId="3" hidden="1">'FPSO1 Otim'!$C$3:$Z$3</definedName>
    <definedName name="solver_cvg" localSheetId="3" hidden="1">0.0001</definedName>
    <definedName name="solver_drv" localSheetId="3" hidden="1">1</definedName>
    <definedName name="solver_eng" localSheetId="3" hidden="1">3</definedName>
    <definedName name="solver_est" localSheetId="3" hidden="1">1</definedName>
    <definedName name="solver_itr" localSheetId="3" hidden="1">2147483647</definedName>
    <definedName name="solver_lhs0" localSheetId="3" hidden="1">'FPSO1 Otim'!$Y$1</definedName>
    <definedName name="solver_lhs1" localSheetId="3" hidden="1">'FPSO1 Otim'!$AE$3</definedName>
    <definedName name="solver_lhs10" localSheetId="3" hidden="1">'FPSO1 Otim'!$P$3:$Z$3</definedName>
    <definedName name="solver_lhs11" localSheetId="3" hidden="1">'FPSO1 Otim'!$P$3:$Z$3</definedName>
    <definedName name="solver_lhs12" localSheetId="3" hidden="1">'FPSO1 Otim'!$P$3:$Z$3</definedName>
    <definedName name="solver_lhs13" localSheetId="3" hidden="1">'FPSO1 Otim'!$P$3:$Z$3</definedName>
    <definedName name="solver_lhs14" localSheetId="3" hidden="1">'FPSO1 Otim'!$Z$3</definedName>
    <definedName name="solver_lhs15" localSheetId="3" hidden="1">'FPSO1 Otim'!$Z$3</definedName>
    <definedName name="solver_lhs16" localSheetId="3" hidden="1">'FPSO1 Otim'!$Z$3</definedName>
    <definedName name="solver_lhs17" localSheetId="3" hidden="1">'FPSO1 Otim'!$Z$3</definedName>
    <definedName name="solver_lhs18" localSheetId="3" hidden="1">'FPSO1 Otim'!$Z$3</definedName>
    <definedName name="solver_lhs19" localSheetId="3" hidden="1">'FPSO1 Otim'!$Z$3</definedName>
    <definedName name="solver_lhs2" localSheetId="3" hidden="1">'FPSO1 Otim'!$C$3:$Z$3</definedName>
    <definedName name="solver_lhs20" localSheetId="3" hidden="1">'FPSO1 Otim'!$Z$3</definedName>
    <definedName name="solver_lhs21" localSheetId="3" hidden="1">'FPSO1 Otim'!$Z$3</definedName>
    <definedName name="solver_lhs22" localSheetId="3" hidden="1">'FPSO1 Otim'!$Z$3</definedName>
    <definedName name="solver_lhs23" localSheetId="3" hidden="1">'FPSO1 Otim'!$Z$3</definedName>
    <definedName name="solver_lhs3" localSheetId="3" hidden="1">'FPSO1 Otim'!$C$3:$Z$3</definedName>
    <definedName name="solver_lhs4" localSheetId="3" hidden="1">'FPSO1 Otim'!$C$3:$Z$3</definedName>
    <definedName name="solver_lhs5" localSheetId="3" hidden="1">'FPSO1 Otim'!$P$3:$Z$3</definedName>
    <definedName name="solver_lhs6" localSheetId="3" hidden="1">'FPSO1 Otim'!$P$3:$Z$3</definedName>
    <definedName name="solver_lhs7" localSheetId="3" hidden="1">'FPSO1 Otim'!$P$3:$Z$3</definedName>
    <definedName name="solver_lhs8" localSheetId="3" hidden="1">'FPSO1 Otim'!$P$3:$Z$3</definedName>
    <definedName name="solver_lhs9" localSheetId="3" hidden="1">'FPSO1 Otim'!$P$3:$Z$3</definedName>
    <definedName name="solver_mip" localSheetId="3" hidden="1">2147483647</definedName>
    <definedName name="solver_mni" localSheetId="3" hidden="1">600</definedName>
    <definedName name="solver_mrt" localSheetId="3" hidden="1">0.1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'FPSO1 Otim'!$AF$5</definedName>
    <definedName name="solver_pre" localSheetId="3" hidden="1">0.000001</definedName>
    <definedName name="solver_rbv" localSheetId="3" hidden="1">1</definedName>
    <definedName name="solver_rel0" localSheetId="3" hidden="1">1</definedName>
    <definedName name="solver_rel1" localSheetId="3" hidden="1">3</definedName>
    <definedName name="solver_rel10" localSheetId="3" hidden="1">4</definedName>
    <definedName name="solver_rel11" localSheetId="3" hidden="1">4</definedName>
    <definedName name="solver_rel12" localSheetId="3" hidden="1">4</definedName>
    <definedName name="solver_rel13" localSheetId="3" hidden="1">4</definedName>
    <definedName name="solver_rel14" localSheetId="3" hidden="1">1</definedName>
    <definedName name="solver_rel15" localSheetId="3" hidden="1">1</definedName>
    <definedName name="solver_rel16" localSheetId="3" hidden="1">1</definedName>
    <definedName name="solver_rel17" localSheetId="3" hidden="1">1</definedName>
    <definedName name="solver_rel18" localSheetId="3" hidden="1">1</definedName>
    <definedName name="solver_rel19" localSheetId="3" hidden="1">1</definedName>
    <definedName name="solver_rel2" localSheetId="3" hidden="1">1</definedName>
    <definedName name="solver_rel20" localSheetId="3" hidden="1">1</definedName>
    <definedName name="solver_rel21" localSheetId="3" hidden="1">1</definedName>
    <definedName name="solver_rel22" localSheetId="3" hidden="1">1</definedName>
    <definedName name="solver_rel23" localSheetId="3" hidden="1">1</definedName>
    <definedName name="solver_rel3" localSheetId="3" hidden="1">4</definedName>
    <definedName name="solver_rel4" localSheetId="3" hidden="1">3</definedName>
    <definedName name="solver_rel5" localSheetId="3" hidden="1">4</definedName>
    <definedName name="solver_rel6" localSheetId="3" hidden="1">4</definedName>
    <definedName name="solver_rel7" localSheetId="3" hidden="1">4</definedName>
    <definedName name="solver_rel8" localSheetId="3" hidden="1">4</definedName>
    <definedName name="solver_rel9" localSheetId="3" hidden="1">4</definedName>
    <definedName name="solver_rhs0" localSheetId="3" hidden="1">'FPSO1 Otim'!$Z$1</definedName>
    <definedName name="solver_rhs1" localSheetId="3" hidden="1">0</definedName>
    <definedName name="solver_rhs10" localSheetId="3" hidden="1">número inteiro</definedName>
    <definedName name="solver_rhs11" localSheetId="3" hidden="1">número inteiro</definedName>
    <definedName name="solver_rhs12" localSheetId="3" hidden="1">número inteiro</definedName>
    <definedName name="solver_rhs13" localSheetId="3" hidden="1">número inteiro</definedName>
    <definedName name="solver_rhs14" localSheetId="3" hidden="1">100</definedName>
    <definedName name="solver_rhs15" localSheetId="3" hidden="1">100</definedName>
    <definedName name="solver_rhs16" localSheetId="3" hidden="1">100</definedName>
    <definedName name="solver_rhs17" localSheetId="3" hidden="1">100</definedName>
    <definedName name="solver_rhs18" localSheetId="3" hidden="1">100</definedName>
    <definedName name="solver_rhs19" localSheetId="3" hidden="1">100</definedName>
    <definedName name="solver_rhs2" localSheetId="3" hidden="1">'FPSO1 Otim'!$C$4:$Z$4</definedName>
    <definedName name="solver_rhs20" localSheetId="3" hidden="1">100</definedName>
    <definedName name="solver_rhs21" localSheetId="3" hidden="1">100</definedName>
    <definedName name="solver_rhs22" localSheetId="3" hidden="1">100</definedName>
    <definedName name="solver_rhs23" localSheetId="3" hidden="1">100</definedName>
    <definedName name="solver_rhs3" localSheetId="3" hidden="1">número inteiro</definedName>
    <definedName name="solver_rhs4" localSheetId="3" hidden="1">'FPSO1 Otim'!$C$2:$Z$2</definedName>
    <definedName name="solver_rhs5" localSheetId="3" hidden="1">número inteiro</definedName>
    <definedName name="solver_rhs6" localSheetId="3" hidden="1">número inteiro</definedName>
    <definedName name="solver_rhs7" localSheetId="3" hidden="1">número inteiro</definedName>
    <definedName name="solver_rhs8" localSheetId="3" hidden="1">número inteiro</definedName>
    <definedName name="solver_rhs9" localSheetId="3" hidden="1">número inteiro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200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G13" i="13" l="1"/>
  <c r="AG14" i="13"/>
  <c r="AG15" i="13"/>
  <c r="AG16" i="13"/>
  <c r="AG17" i="13"/>
  <c r="AG18" i="13"/>
  <c r="AG19" i="13"/>
  <c r="AG20" i="13"/>
  <c r="AG10" i="13" l="1"/>
  <c r="AD2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C4" i="13"/>
  <c r="Z485" i="13" l="1"/>
  <c r="Y485" i="13"/>
  <c r="X485" i="13"/>
  <c r="W485" i="13"/>
  <c r="V485" i="13"/>
  <c r="U485" i="13"/>
  <c r="T485" i="13"/>
  <c r="S485" i="13"/>
  <c r="R485" i="13"/>
  <c r="Q485" i="13"/>
  <c r="P485" i="13"/>
  <c r="O485" i="13"/>
  <c r="N485" i="13"/>
  <c r="M485" i="13"/>
  <c r="L485" i="13"/>
  <c r="K485" i="13"/>
  <c r="J485" i="13"/>
  <c r="I485" i="13"/>
  <c r="H485" i="13"/>
  <c r="G485" i="13"/>
  <c r="F485" i="13"/>
  <c r="E485" i="13"/>
  <c r="D485" i="13"/>
  <c r="C485" i="13"/>
  <c r="Z484" i="13"/>
  <c r="Y484" i="13"/>
  <c r="X484" i="13"/>
  <c r="W484" i="13"/>
  <c r="V484" i="13"/>
  <c r="U484" i="13"/>
  <c r="T484" i="13"/>
  <c r="S484" i="13"/>
  <c r="R484" i="13"/>
  <c r="Q484" i="13"/>
  <c r="P484" i="13"/>
  <c r="O484" i="13"/>
  <c r="N484" i="13"/>
  <c r="M484" i="13"/>
  <c r="L484" i="13"/>
  <c r="K484" i="13"/>
  <c r="J484" i="13"/>
  <c r="I484" i="13"/>
  <c r="H484" i="13"/>
  <c r="G484" i="13"/>
  <c r="F484" i="13"/>
  <c r="E484" i="13"/>
  <c r="D484" i="13"/>
  <c r="C484" i="13"/>
  <c r="Z483" i="13"/>
  <c r="Y483" i="13"/>
  <c r="X483" i="13"/>
  <c r="W483" i="13"/>
  <c r="V483" i="13"/>
  <c r="U483" i="13"/>
  <c r="T483" i="13"/>
  <c r="S483" i="13"/>
  <c r="R483" i="13"/>
  <c r="Q483" i="13"/>
  <c r="P483" i="13"/>
  <c r="O483" i="13"/>
  <c r="N483" i="13"/>
  <c r="M483" i="13"/>
  <c r="L483" i="13"/>
  <c r="K483" i="13"/>
  <c r="J483" i="13"/>
  <c r="I483" i="13"/>
  <c r="H483" i="13"/>
  <c r="G483" i="13"/>
  <c r="F483" i="13"/>
  <c r="E483" i="13"/>
  <c r="D483" i="13"/>
  <c r="C483" i="13"/>
  <c r="Z482" i="13"/>
  <c r="Y482" i="13"/>
  <c r="X482" i="13"/>
  <c r="W482" i="13"/>
  <c r="V482" i="13"/>
  <c r="U482" i="13"/>
  <c r="T482" i="13"/>
  <c r="S482" i="13"/>
  <c r="R482" i="13"/>
  <c r="Q482" i="13"/>
  <c r="P482" i="13"/>
  <c r="O482" i="13"/>
  <c r="N482" i="13"/>
  <c r="M482" i="13"/>
  <c r="L482" i="13"/>
  <c r="K482" i="13"/>
  <c r="J482" i="13"/>
  <c r="I482" i="13"/>
  <c r="H482" i="13"/>
  <c r="G482" i="13"/>
  <c r="F482" i="13"/>
  <c r="E482" i="13"/>
  <c r="D482" i="13"/>
  <c r="C482" i="13"/>
  <c r="Z481" i="13"/>
  <c r="Y481" i="13"/>
  <c r="X481" i="13"/>
  <c r="W481" i="13"/>
  <c r="V481" i="13"/>
  <c r="U481" i="13"/>
  <c r="T481" i="13"/>
  <c r="S481" i="13"/>
  <c r="R481" i="13"/>
  <c r="Q481" i="13"/>
  <c r="P481" i="13"/>
  <c r="O481" i="13"/>
  <c r="N481" i="13"/>
  <c r="M481" i="13"/>
  <c r="L481" i="13"/>
  <c r="K481" i="13"/>
  <c r="J481" i="13"/>
  <c r="I481" i="13"/>
  <c r="H481" i="13"/>
  <c r="G481" i="13"/>
  <c r="F481" i="13"/>
  <c r="E481" i="13"/>
  <c r="D481" i="13"/>
  <c r="C481" i="13"/>
  <c r="Z480" i="13"/>
  <c r="Y480" i="13"/>
  <c r="X480" i="13"/>
  <c r="W480" i="13"/>
  <c r="V480" i="13"/>
  <c r="U480" i="13"/>
  <c r="T480" i="13"/>
  <c r="S480" i="13"/>
  <c r="R480" i="13"/>
  <c r="Q480" i="13"/>
  <c r="P480" i="13"/>
  <c r="O480" i="13"/>
  <c r="N480" i="13"/>
  <c r="M480" i="13"/>
  <c r="L480" i="13"/>
  <c r="K480" i="13"/>
  <c r="J480" i="13"/>
  <c r="I480" i="13"/>
  <c r="H480" i="13"/>
  <c r="G480" i="13"/>
  <c r="F480" i="13"/>
  <c r="E480" i="13"/>
  <c r="D480" i="13"/>
  <c r="C480" i="13"/>
  <c r="Z479" i="13"/>
  <c r="Y479" i="13"/>
  <c r="X479" i="13"/>
  <c r="W479" i="13"/>
  <c r="V479" i="13"/>
  <c r="U479" i="13"/>
  <c r="T479" i="13"/>
  <c r="S479" i="13"/>
  <c r="R479" i="13"/>
  <c r="Q479" i="13"/>
  <c r="P479" i="13"/>
  <c r="O479" i="13"/>
  <c r="N479" i="13"/>
  <c r="M479" i="13"/>
  <c r="L479" i="13"/>
  <c r="K479" i="13"/>
  <c r="J479" i="13"/>
  <c r="I479" i="13"/>
  <c r="H479" i="13"/>
  <c r="G479" i="13"/>
  <c r="F479" i="13"/>
  <c r="E479" i="13"/>
  <c r="D479" i="13"/>
  <c r="C479" i="13"/>
  <c r="Z478" i="13"/>
  <c r="Y478" i="13"/>
  <c r="X478" i="13"/>
  <c r="W478" i="13"/>
  <c r="V478" i="13"/>
  <c r="U478" i="13"/>
  <c r="T478" i="13"/>
  <c r="S478" i="13"/>
  <c r="R478" i="13"/>
  <c r="Q478" i="13"/>
  <c r="P478" i="13"/>
  <c r="O478" i="13"/>
  <c r="N478" i="13"/>
  <c r="M478" i="13"/>
  <c r="L478" i="13"/>
  <c r="K478" i="13"/>
  <c r="J478" i="13"/>
  <c r="I478" i="13"/>
  <c r="H478" i="13"/>
  <c r="G478" i="13"/>
  <c r="F478" i="13"/>
  <c r="E478" i="13"/>
  <c r="D478" i="13"/>
  <c r="C478" i="13"/>
  <c r="Z477" i="13"/>
  <c r="Y477" i="13"/>
  <c r="X477" i="13"/>
  <c r="W477" i="13"/>
  <c r="V477" i="13"/>
  <c r="U477" i="13"/>
  <c r="T477" i="13"/>
  <c r="S477" i="13"/>
  <c r="R477" i="13"/>
  <c r="Q477" i="13"/>
  <c r="P477" i="13"/>
  <c r="O477" i="13"/>
  <c r="N477" i="13"/>
  <c r="M477" i="13"/>
  <c r="L477" i="13"/>
  <c r="K477" i="13"/>
  <c r="J477" i="13"/>
  <c r="I477" i="13"/>
  <c r="H477" i="13"/>
  <c r="G477" i="13"/>
  <c r="F477" i="13"/>
  <c r="E477" i="13"/>
  <c r="D477" i="13"/>
  <c r="C477" i="13"/>
  <c r="Z476" i="13"/>
  <c r="Y476" i="13"/>
  <c r="X476" i="13"/>
  <c r="W476" i="13"/>
  <c r="V476" i="13"/>
  <c r="U476" i="13"/>
  <c r="T476" i="13"/>
  <c r="S476" i="13"/>
  <c r="R476" i="13"/>
  <c r="Q476" i="13"/>
  <c r="P476" i="13"/>
  <c r="O476" i="13"/>
  <c r="N476" i="13"/>
  <c r="M476" i="13"/>
  <c r="L476" i="13"/>
  <c r="K476" i="13"/>
  <c r="J476" i="13"/>
  <c r="I476" i="13"/>
  <c r="H476" i="13"/>
  <c r="G476" i="13"/>
  <c r="F476" i="13"/>
  <c r="E476" i="13"/>
  <c r="D476" i="13"/>
  <c r="C476" i="13"/>
  <c r="Z475" i="13"/>
  <c r="Y475" i="13"/>
  <c r="X475" i="13"/>
  <c r="W475" i="13"/>
  <c r="V475" i="13"/>
  <c r="U475" i="13"/>
  <c r="T475" i="13"/>
  <c r="S475" i="13"/>
  <c r="R475" i="13"/>
  <c r="Q475" i="13"/>
  <c r="P475" i="13"/>
  <c r="O475" i="13"/>
  <c r="N475" i="13"/>
  <c r="M475" i="13"/>
  <c r="L475" i="13"/>
  <c r="K475" i="13"/>
  <c r="J475" i="13"/>
  <c r="I475" i="13"/>
  <c r="H475" i="13"/>
  <c r="G475" i="13"/>
  <c r="F475" i="13"/>
  <c r="E475" i="13"/>
  <c r="D475" i="13"/>
  <c r="C475" i="13"/>
  <c r="Z474" i="13"/>
  <c r="Y474" i="13"/>
  <c r="X474" i="13"/>
  <c r="W474" i="13"/>
  <c r="V474" i="13"/>
  <c r="U474" i="13"/>
  <c r="T474" i="13"/>
  <c r="S474" i="13"/>
  <c r="R474" i="13"/>
  <c r="Q474" i="13"/>
  <c r="P474" i="13"/>
  <c r="O474" i="13"/>
  <c r="N474" i="13"/>
  <c r="M474" i="13"/>
  <c r="L474" i="13"/>
  <c r="K474" i="13"/>
  <c r="J474" i="13"/>
  <c r="I474" i="13"/>
  <c r="H474" i="13"/>
  <c r="G474" i="13"/>
  <c r="F474" i="13"/>
  <c r="E474" i="13"/>
  <c r="D474" i="13"/>
  <c r="C474" i="13"/>
  <c r="Z473" i="13"/>
  <c r="Y473" i="13"/>
  <c r="X473" i="13"/>
  <c r="W473" i="13"/>
  <c r="V473" i="13"/>
  <c r="U473" i="13"/>
  <c r="T473" i="13"/>
  <c r="S473" i="13"/>
  <c r="R473" i="13"/>
  <c r="Q473" i="13"/>
  <c r="P473" i="13"/>
  <c r="O473" i="13"/>
  <c r="N473" i="13"/>
  <c r="M473" i="13"/>
  <c r="L473" i="13"/>
  <c r="K473" i="13"/>
  <c r="J473" i="13"/>
  <c r="I473" i="13"/>
  <c r="H473" i="13"/>
  <c r="G473" i="13"/>
  <c r="F473" i="13"/>
  <c r="E473" i="13"/>
  <c r="D473" i="13"/>
  <c r="C473" i="13"/>
  <c r="Z472" i="13"/>
  <c r="Y472" i="13"/>
  <c r="X472" i="13"/>
  <c r="W472" i="13"/>
  <c r="V472" i="13"/>
  <c r="U472" i="13"/>
  <c r="T472" i="13"/>
  <c r="S472" i="13"/>
  <c r="R472" i="13"/>
  <c r="Q472" i="13"/>
  <c r="P472" i="13"/>
  <c r="O472" i="13"/>
  <c r="N472" i="13"/>
  <c r="M472" i="13"/>
  <c r="L472" i="13"/>
  <c r="K472" i="13"/>
  <c r="J472" i="13"/>
  <c r="I472" i="13"/>
  <c r="H472" i="13"/>
  <c r="G472" i="13"/>
  <c r="F472" i="13"/>
  <c r="E472" i="13"/>
  <c r="D472" i="13"/>
  <c r="C472" i="13"/>
  <c r="Z471" i="13"/>
  <c r="Y471" i="13"/>
  <c r="X471" i="13"/>
  <c r="W471" i="13"/>
  <c r="V471" i="13"/>
  <c r="U471" i="13"/>
  <c r="T471" i="13"/>
  <c r="S471" i="13"/>
  <c r="R471" i="13"/>
  <c r="Q471" i="13"/>
  <c r="P471" i="13"/>
  <c r="O471" i="13"/>
  <c r="N471" i="13"/>
  <c r="M471" i="13"/>
  <c r="L471" i="13"/>
  <c r="K471" i="13"/>
  <c r="J471" i="13"/>
  <c r="I471" i="13"/>
  <c r="H471" i="13"/>
  <c r="G471" i="13"/>
  <c r="F471" i="13"/>
  <c r="E471" i="13"/>
  <c r="D471" i="13"/>
  <c r="C471" i="13"/>
  <c r="Z470" i="13"/>
  <c r="Y470" i="13"/>
  <c r="X470" i="13"/>
  <c r="W470" i="13"/>
  <c r="V470" i="13"/>
  <c r="U470" i="13"/>
  <c r="T470" i="13"/>
  <c r="S470" i="13"/>
  <c r="R470" i="13"/>
  <c r="Q470" i="13"/>
  <c r="P470" i="13"/>
  <c r="O470" i="13"/>
  <c r="N470" i="13"/>
  <c r="M470" i="13"/>
  <c r="L470" i="13"/>
  <c r="K470" i="13"/>
  <c r="J470" i="13"/>
  <c r="I470" i="13"/>
  <c r="H470" i="13"/>
  <c r="G470" i="13"/>
  <c r="F470" i="13"/>
  <c r="E470" i="13"/>
  <c r="D470" i="13"/>
  <c r="C470" i="13"/>
  <c r="Z469" i="13"/>
  <c r="Y469" i="13"/>
  <c r="X469" i="13"/>
  <c r="W469" i="13"/>
  <c r="V469" i="13"/>
  <c r="U469" i="13"/>
  <c r="T469" i="13"/>
  <c r="S469" i="13"/>
  <c r="R469" i="13"/>
  <c r="Q469" i="13"/>
  <c r="P469" i="13"/>
  <c r="O469" i="13"/>
  <c r="N469" i="13"/>
  <c r="M469" i="13"/>
  <c r="L469" i="13"/>
  <c r="K469" i="13"/>
  <c r="J469" i="13"/>
  <c r="I469" i="13"/>
  <c r="H469" i="13"/>
  <c r="G469" i="13"/>
  <c r="F469" i="13"/>
  <c r="E469" i="13"/>
  <c r="D469" i="13"/>
  <c r="C469" i="13"/>
  <c r="Z468" i="13"/>
  <c r="Y468" i="13"/>
  <c r="X468" i="13"/>
  <c r="W468" i="13"/>
  <c r="V468" i="13"/>
  <c r="U468" i="13"/>
  <c r="T468" i="13"/>
  <c r="S468" i="13"/>
  <c r="R468" i="13"/>
  <c r="Q468" i="13"/>
  <c r="P468" i="13"/>
  <c r="O468" i="13"/>
  <c r="N468" i="13"/>
  <c r="M468" i="13"/>
  <c r="L468" i="13"/>
  <c r="K468" i="13"/>
  <c r="J468" i="13"/>
  <c r="I468" i="13"/>
  <c r="H468" i="13"/>
  <c r="G468" i="13"/>
  <c r="F468" i="13"/>
  <c r="E468" i="13"/>
  <c r="D468" i="13"/>
  <c r="C468" i="13"/>
  <c r="Z467" i="13"/>
  <c r="Y467" i="13"/>
  <c r="X467" i="13"/>
  <c r="W467" i="13"/>
  <c r="V467" i="13"/>
  <c r="U467" i="13"/>
  <c r="T467" i="13"/>
  <c r="S467" i="13"/>
  <c r="R467" i="13"/>
  <c r="Q467" i="13"/>
  <c r="P467" i="13"/>
  <c r="O467" i="13"/>
  <c r="N467" i="13"/>
  <c r="M467" i="13"/>
  <c r="L467" i="13"/>
  <c r="K467" i="13"/>
  <c r="J467" i="13"/>
  <c r="I467" i="13"/>
  <c r="H467" i="13"/>
  <c r="G467" i="13"/>
  <c r="F467" i="13"/>
  <c r="E467" i="13"/>
  <c r="D467" i="13"/>
  <c r="C467" i="13"/>
  <c r="Z466" i="13"/>
  <c r="Y466" i="13"/>
  <c r="X466" i="13"/>
  <c r="W466" i="13"/>
  <c r="V466" i="13"/>
  <c r="U466" i="13"/>
  <c r="T466" i="13"/>
  <c r="S466" i="13"/>
  <c r="R466" i="13"/>
  <c r="Q466" i="13"/>
  <c r="P466" i="13"/>
  <c r="O466" i="13"/>
  <c r="N466" i="13"/>
  <c r="M466" i="13"/>
  <c r="L466" i="13"/>
  <c r="K466" i="13"/>
  <c r="J466" i="13"/>
  <c r="I466" i="13"/>
  <c r="H466" i="13"/>
  <c r="G466" i="13"/>
  <c r="F466" i="13"/>
  <c r="E466" i="13"/>
  <c r="D466" i="13"/>
  <c r="C466" i="13"/>
  <c r="Z465" i="13"/>
  <c r="Y465" i="13"/>
  <c r="X465" i="13"/>
  <c r="W465" i="13"/>
  <c r="V465" i="13"/>
  <c r="U465" i="13"/>
  <c r="T465" i="13"/>
  <c r="S465" i="13"/>
  <c r="R465" i="13"/>
  <c r="Q465" i="13"/>
  <c r="P465" i="13"/>
  <c r="O465" i="13"/>
  <c r="N465" i="13"/>
  <c r="M465" i="13"/>
  <c r="L465" i="13"/>
  <c r="K465" i="13"/>
  <c r="J465" i="13"/>
  <c r="I465" i="13"/>
  <c r="H465" i="13"/>
  <c r="G465" i="13"/>
  <c r="F465" i="13"/>
  <c r="E465" i="13"/>
  <c r="D465" i="13"/>
  <c r="C465" i="13"/>
  <c r="Z464" i="13"/>
  <c r="Y464" i="13"/>
  <c r="X464" i="13"/>
  <c r="W464" i="13"/>
  <c r="V464" i="13"/>
  <c r="U464" i="13"/>
  <c r="T464" i="13"/>
  <c r="S464" i="13"/>
  <c r="R464" i="13"/>
  <c r="Q464" i="13"/>
  <c r="P464" i="13"/>
  <c r="O464" i="13"/>
  <c r="N464" i="13"/>
  <c r="M464" i="13"/>
  <c r="L464" i="13"/>
  <c r="K464" i="13"/>
  <c r="J464" i="13"/>
  <c r="I464" i="13"/>
  <c r="H464" i="13"/>
  <c r="G464" i="13"/>
  <c r="F464" i="13"/>
  <c r="E464" i="13"/>
  <c r="D464" i="13"/>
  <c r="C464" i="13"/>
  <c r="Z463" i="13"/>
  <c r="Y463" i="13"/>
  <c r="X463" i="13"/>
  <c r="W463" i="13"/>
  <c r="V463" i="13"/>
  <c r="U463" i="13"/>
  <c r="T463" i="13"/>
  <c r="S463" i="13"/>
  <c r="R463" i="13"/>
  <c r="Q463" i="13"/>
  <c r="P463" i="13"/>
  <c r="O463" i="13"/>
  <c r="N463" i="13"/>
  <c r="M463" i="13"/>
  <c r="L463" i="13"/>
  <c r="K463" i="13"/>
  <c r="J463" i="13"/>
  <c r="I463" i="13"/>
  <c r="H463" i="13"/>
  <c r="G463" i="13"/>
  <c r="F463" i="13"/>
  <c r="E463" i="13"/>
  <c r="D463" i="13"/>
  <c r="C463" i="13"/>
  <c r="Z462" i="13"/>
  <c r="Y462" i="13"/>
  <c r="X462" i="13"/>
  <c r="W462" i="13"/>
  <c r="V462" i="13"/>
  <c r="U462" i="13"/>
  <c r="T462" i="13"/>
  <c r="S462" i="13"/>
  <c r="R462" i="13"/>
  <c r="Q462" i="13"/>
  <c r="P462" i="13"/>
  <c r="O462" i="13"/>
  <c r="N462" i="13"/>
  <c r="M462" i="13"/>
  <c r="L462" i="13"/>
  <c r="K462" i="13"/>
  <c r="J462" i="13"/>
  <c r="I462" i="13"/>
  <c r="H462" i="13"/>
  <c r="G462" i="13"/>
  <c r="F462" i="13"/>
  <c r="E462" i="13"/>
  <c r="D462" i="13"/>
  <c r="C462" i="13"/>
  <c r="Z461" i="13"/>
  <c r="Y461" i="13"/>
  <c r="X461" i="13"/>
  <c r="W461" i="13"/>
  <c r="V461" i="13"/>
  <c r="U461" i="13"/>
  <c r="T461" i="13"/>
  <c r="S461" i="13"/>
  <c r="R461" i="13"/>
  <c r="Q461" i="13"/>
  <c r="P461" i="13"/>
  <c r="O461" i="13"/>
  <c r="N461" i="13"/>
  <c r="M461" i="13"/>
  <c r="L461" i="13"/>
  <c r="K461" i="13"/>
  <c r="J461" i="13"/>
  <c r="I461" i="13"/>
  <c r="H461" i="13"/>
  <c r="G461" i="13"/>
  <c r="F461" i="13"/>
  <c r="E461" i="13"/>
  <c r="D461" i="13"/>
  <c r="C461" i="13"/>
  <c r="Z460" i="13"/>
  <c r="Y460" i="13"/>
  <c r="X460" i="13"/>
  <c r="W460" i="13"/>
  <c r="V460" i="13"/>
  <c r="U460" i="13"/>
  <c r="T460" i="13"/>
  <c r="S460" i="13"/>
  <c r="R460" i="13"/>
  <c r="Q460" i="13"/>
  <c r="P460" i="13"/>
  <c r="O460" i="13"/>
  <c r="N460" i="13"/>
  <c r="M460" i="13"/>
  <c r="L460" i="13"/>
  <c r="K460" i="13"/>
  <c r="J460" i="13"/>
  <c r="I460" i="13"/>
  <c r="H460" i="13"/>
  <c r="G460" i="13"/>
  <c r="F460" i="13"/>
  <c r="E460" i="13"/>
  <c r="D460" i="13"/>
  <c r="C460" i="13"/>
  <c r="Z459" i="13"/>
  <c r="Y459" i="13"/>
  <c r="X459" i="13"/>
  <c r="W459" i="13"/>
  <c r="V459" i="13"/>
  <c r="U459" i="13"/>
  <c r="T459" i="13"/>
  <c r="S459" i="13"/>
  <c r="R459" i="13"/>
  <c r="Q459" i="13"/>
  <c r="P459" i="13"/>
  <c r="O459" i="13"/>
  <c r="N459" i="13"/>
  <c r="M459" i="13"/>
  <c r="L459" i="13"/>
  <c r="K459" i="13"/>
  <c r="J459" i="13"/>
  <c r="I459" i="13"/>
  <c r="H459" i="13"/>
  <c r="G459" i="13"/>
  <c r="F459" i="13"/>
  <c r="E459" i="13"/>
  <c r="D459" i="13"/>
  <c r="C459" i="13"/>
  <c r="Z458" i="13"/>
  <c r="Y458" i="13"/>
  <c r="X458" i="13"/>
  <c r="W458" i="13"/>
  <c r="V458" i="13"/>
  <c r="U458" i="13"/>
  <c r="T458" i="13"/>
  <c r="S458" i="13"/>
  <c r="R458" i="13"/>
  <c r="Q458" i="13"/>
  <c r="P458" i="13"/>
  <c r="O458" i="13"/>
  <c r="N458" i="13"/>
  <c r="M458" i="13"/>
  <c r="L458" i="13"/>
  <c r="K458" i="13"/>
  <c r="J458" i="13"/>
  <c r="I458" i="13"/>
  <c r="H458" i="13"/>
  <c r="G458" i="13"/>
  <c r="F458" i="13"/>
  <c r="E458" i="13"/>
  <c r="D458" i="13"/>
  <c r="C458" i="13"/>
  <c r="Z457" i="13"/>
  <c r="Y457" i="13"/>
  <c r="X457" i="13"/>
  <c r="W457" i="13"/>
  <c r="V457" i="13"/>
  <c r="U457" i="13"/>
  <c r="T457" i="13"/>
  <c r="S457" i="13"/>
  <c r="R457" i="13"/>
  <c r="Q457" i="13"/>
  <c r="P457" i="13"/>
  <c r="O457" i="13"/>
  <c r="N457" i="13"/>
  <c r="M457" i="13"/>
  <c r="L457" i="13"/>
  <c r="K457" i="13"/>
  <c r="J457" i="13"/>
  <c r="I457" i="13"/>
  <c r="H457" i="13"/>
  <c r="G457" i="13"/>
  <c r="F457" i="13"/>
  <c r="E457" i="13"/>
  <c r="D457" i="13"/>
  <c r="C457" i="13"/>
  <c r="Z456" i="13"/>
  <c r="Y456" i="13"/>
  <c r="X456" i="13"/>
  <c r="W456" i="13"/>
  <c r="V456" i="13"/>
  <c r="U456" i="13"/>
  <c r="T456" i="13"/>
  <c r="S456" i="13"/>
  <c r="R456" i="13"/>
  <c r="Q456" i="13"/>
  <c r="P456" i="13"/>
  <c r="O456" i="13"/>
  <c r="N456" i="13"/>
  <c r="M456" i="13"/>
  <c r="L456" i="13"/>
  <c r="K456" i="13"/>
  <c r="J456" i="13"/>
  <c r="I456" i="13"/>
  <c r="H456" i="13"/>
  <c r="G456" i="13"/>
  <c r="F456" i="13"/>
  <c r="E456" i="13"/>
  <c r="D456" i="13"/>
  <c r="C456" i="13"/>
  <c r="Z455" i="13"/>
  <c r="Y455" i="13"/>
  <c r="X455" i="13"/>
  <c r="W455" i="13"/>
  <c r="V455" i="13"/>
  <c r="U455" i="13"/>
  <c r="T455" i="13"/>
  <c r="S455" i="13"/>
  <c r="R455" i="13"/>
  <c r="Q455" i="13"/>
  <c r="P455" i="13"/>
  <c r="O455" i="13"/>
  <c r="N455" i="13"/>
  <c r="M455" i="13"/>
  <c r="L455" i="13"/>
  <c r="K455" i="13"/>
  <c r="J455" i="13"/>
  <c r="I455" i="13"/>
  <c r="H455" i="13"/>
  <c r="G455" i="13"/>
  <c r="F455" i="13"/>
  <c r="E455" i="13"/>
  <c r="D455" i="13"/>
  <c r="C455" i="13"/>
  <c r="Z454" i="13"/>
  <c r="Y454" i="13"/>
  <c r="X454" i="13"/>
  <c r="W454" i="13"/>
  <c r="V454" i="13"/>
  <c r="U454" i="13"/>
  <c r="T454" i="13"/>
  <c r="S454" i="13"/>
  <c r="R454" i="13"/>
  <c r="Q454" i="13"/>
  <c r="P454" i="13"/>
  <c r="O454" i="13"/>
  <c r="N454" i="13"/>
  <c r="M454" i="13"/>
  <c r="L454" i="13"/>
  <c r="K454" i="13"/>
  <c r="J454" i="13"/>
  <c r="I454" i="13"/>
  <c r="H454" i="13"/>
  <c r="G454" i="13"/>
  <c r="F454" i="13"/>
  <c r="E454" i="13"/>
  <c r="D454" i="13"/>
  <c r="C454" i="13"/>
  <c r="Z453" i="13"/>
  <c r="Y453" i="13"/>
  <c r="X453" i="13"/>
  <c r="W453" i="13"/>
  <c r="V453" i="13"/>
  <c r="U453" i="13"/>
  <c r="T453" i="13"/>
  <c r="S453" i="13"/>
  <c r="R453" i="13"/>
  <c r="Q453" i="13"/>
  <c r="P453" i="13"/>
  <c r="O453" i="13"/>
  <c r="N453" i="13"/>
  <c r="M453" i="13"/>
  <c r="L453" i="13"/>
  <c r="K453" i="13"/>
  <c r="J453" i="13"/>
  <c r="I453" i="13"/>
  <c r="H453" i="13"/>
  <c r="G453" i="13"/>
  <c r="F453" i="13"/>
  <c r="E453" i="13"/>
  <c r="D453" i="13"/>
  <c r="C453" i="13"/>
  <c r="Z452" i="13"/>
  <c r="Y452" i="13"/>
  <c r="X452" i="13"/>
  <c r="W452" i="13"/>
  <c r="V452" i="13"/>
  <c r="U452" i="13"/>
  <c r="T452" i="13"/>
  <c r="S452" i="13"/>
  <c r="R452" i="13"/>
  <c r="Q452" i="13"/>
  <c r="P452" i="13"/>
  <c r="O452" i="13"/>
  <c r="N452" i="13"/>
  <c r="M452" i="13"/>
  <c r="L452" i="13"/>
  <c r="K452" i="13"/>
  <c r="J452" i="13"/>
  <c r="I452" i="13"/>
  <c r="H452" i="13"/>
  <c r="G452" i="13"/>
  <c r="F452" i="13"/>
  <c r="E452" i="13"/>
  <c r="D452" i="13"/>
  <c r="C452" i="13"/>
  <c r="Z451" i="13"/>
  <c r="Y451" i="13"/>
  <c r="X451" i="13"/>
  <c r="W451" i="13"/>
  <c r="V451" i="13"/>
  <c r="U451" i="13"/>
  <c r="T451" i="13"/>
  <c r="S451" i="13"/>
  <c r="R451" i="13"/>
  <c r="Q451" i="13"/>
  <c r="P451" i="13"/>
  <c r="O451" i="13"/>
  <c r="N451" i="13"/>
  <c r="M451" i="13"/>
  <c r="L451" i="13"/>
  <c r="K451" i="13"/>
  <c r="J451" i="13"/>
  <c r="I451" i="13"/>
  <c r="H451" i="13"/>
  <c r="G451" i="13"/>
  <c r="F451" i="13"/>
  <c r="E451" i="13"/>
  <c r="D451" i="13"/>
  <c r="C451" i="13"/>
  <c r="Z450" i="13"/>
  <c r="Y450" i="13"/>
  <c r="X450" i="13"/>
  <c r="W450" i="13"/>
  <c r="V450" i="13"/>
  <c r="U450" i="13"/>
  <c r="T450" i="13"/>
  <c r="S450" i="13"/>
  <c r="R450" i="13"/>
  <c r="Q450" i="13"/>
  <c r="P450" i="13"/>
  <c r="O450" i="13"/>
  <c r="N450" i="13"/>
  <c r="M450" i="13"/>
  <c r="L450" i="13"/>
  <c r="K450" i="13"/>
  <c r="J450" i="13"/>
  <c r="I450" i="13"/>
  <c r="H450" i="13"/>
  <c r="G450" i="13"/>
  <c r="F450" i="13"/>
  <c r="E450" i="13"/>
  <c r="D450" i="13"/>
  <c r="C450" i="13"/>
  <c r="Z449" i="13"/>
  <c r="Y449" i="13"/>
  <c r="X449" i="13"/>
  <c r="W449" i="13"/>
  <c r="V449" i="13"/>
  <c r="U449" i="13"/>
  <c r="T449" i="13"/>
  <c r="S449" i="13"/>
  <c r="R449" i="13"/>
  <c r="Q449" i="13"/>
  <c r="P449" i="13"/>
  <c r="O449" i="13"/>
  <c r="N449" i="13"/>
  <c r="M449" i="13"/>
  <c r="L449" i="13"/>
  <c r="K449" i="13"/>
  <c r="J449" i="13"/>
  <c r="I449" i="13"/>
  <c r="H449" i="13"/>
  <c r="G449" i="13"/>
  <c r="F449" i="13"/>
  <c r="E449" i="13"/>
  <c r="D449" i="13"/>
  <c r="C449" i="13"/>
  <c r="Z448" i="13"/>
  <c r="Y448" i="13"/>
  <c r="X448" i="13"/>
  <c r="W448" i="13"/>
  <c r="V448" i="13"/>
  <c r="U448" i="13"/>
  <c r="T448" i="13"/>
  <c r="S448" i="13"/>
  <c r="R448" i="13"/>
  <c r="Q448" i="13"/>
  <c r="P448" i="13"/>
  <c r="O448" i="13"/>
  <c r="N448" i="13"/>
  <c r="M448" i="13"/>
  <c r="L448" i="13"/>
  <c r="K448" i="13"/>
  <c r="J448" i="13"/>
  <c r="I448" i="13"/>
  <c r="H448" i="13"/>
  <c r="G448" i="13"/>
  <c r="F448" i="13"/>
  <c r="E448" i="13"/>
  <c r="D448" i="13"/>
  <c r="C448" i="13"/>
  <c r="Z447" i="13"/>
  <c r="Y447" i="13"/>
  <c r="X447" i="13"/>
  <c r="W447" i="13"/>
  <c r="V447" i="13"/>
  <c r="U447" i="13"/>
  <c r="T447" i="13"/>
  <c r="S447" i="13"/>
  <c r="R447" i="13"/>
  <c r="Q447" i="13"/>
  <c r="P447" i="13"/>
  <c r="O447" i="13"/>
  <c r="N447" i="13"/>
  <c r="M447" i="13"/>
  <c r="L447" i="13"/>
  <c r="K447" i="13"/>
  <c r="J447" i="13"/>
  <c r="I447" i="13"/>
  <c r="H447" i="13"/>
  <c r="G447" i="13"/>
  <c r="F447" i="13"/>
  <c r="E447" i="13"/>
  <c r="D447" i="13"/>
  <c r="C447" i="13"/>
  <c r="Z446" i="13"/>
  <c r="Y446" i="13"/>
  <c r="X446" i="13"/>
  <c r="W446" i="13"/>
  <c r="V446" i="13"/>
  <c r="U446" i="13"/>
  <c r="T446" i="13"/>
  <c r="S446" i="13"/>
  <c r="R446" i="13"/>
  <c r="Q446" i="13"/>
  <c r="P446" i="13"/>
  <c r="O446" i="13"/>
  <c r="N446" i="13"/>
  <c r="M446" i="13"/>
  <c r="L446" i="13"/>
  <c r="K446" i="13"/>
  <c r="J446" i="13"/>
  <c r="I446" i="13"/>
  <c r="H446" i="13"/>
  <c r="G446" i="13"/>
  <c r="F446" i="13"/>
  <c r="E446" i="13"/>
  <c r="D446" i="13"/>
  <c r="C446" i="13"/>
  <c r="Z445" i="13"/>
  <c r="Y445" i="13"/>
  <c r="X445" i="13"/>
  <c r="W445" i="13"/>
  <c r="V445" i="13"/>
  <c r="U445" i="13"/>
  <c r="T445" i="13"/>
  <c r="S445" i="13"/>
  <c r="R445" i="13"/>
  <c r="Q445" i="13"/>
  <c r="P445" i="13"/>
  <c r="O445" i="13"/>
  <c r="N445" i="13"/>
  <c r="M445" i="13"/>
  <c r="L445" i="13"/>
  <c r="K445" i="13"/>
  <c r="J445" i="13"/>
  <c r="I445" i="13"/>
  <c r="H445" i="13"/>
  <c r="G445" i="13"/>
  <c r="F445" i="13"/>
  <c r="E445" i="13"/>
  <c r="D445" i="13"/>
  <c r="C445" i="13"/>
  <c r="Z444" i="13"/>
  <c r="Y444" i="13"/>
  <c r="X444" i="13"/>
  <c r="W444" i="13"/>
  <c r="V444" i="13"/>
  <c r="U444" i="13"/>
  <c r="T444" i="13"/>
  <c r="S444" i="13"/>
  <c r="R444" i="13"/>
  <c r="Q444" i="13"/>
  <c r="P444" i="13"/>
  <c r="O444" i="13"/>
  <c r="N444" i="13"/>
  <c r="M444" i="13"/>
  <c r="L444" i="13"/>
  <c r="K444" i="13"/>
  <c r="J444" i="13"/>
  <c r="I444" i="13"/>
  <c r="H444" i="13"/>
  <c r="G444" i="13"/>
  <c r="F444" i="13"/>
  <c r="E444" i="13"/>
  <c r="D444" i="13"/>
  <c r="C444" i="13"/>
  <c r="Z443" i="13"/>
  <c r="Y443" i="13"/>
  <c r="X443" i="13"/>
  <c r="W443" i="13"/>
  <c r="V443" i="13"/>
  <c r="U443" i="13"/>
  <c r="T443" i="13"/>
  <c r="S443" i="13"/>
  <c r="R443" i="13"/>
  <c r="Q443" i="13"/>
  <c r="P443" i="13"/>
  <c r="O443" i="13"/>
  <c r="N443" i="13"/>
  <c r="M443" i="13"/>
  <c r="L443" i="13"/>
  <c r="K443" i="13"/>
  <c r="J443" i="13"/>
  <c r="I443" i="13"/>
  <c r="H443" i="13"/>
  <c r="G443" i="13"/>
  <c r="F443" i="13"/>
  <c r="E443" i="13"/>
  <c r="D443" i="13"/>
  <c r="C443" i="13"/>
  <c r="Z442" i="13"/>
  <c r="Y442" i="13"/>
  <c r="X442" i="13"/>
  <c r="W442" i="13"/>
  <c r="V442" i="13"/>
  <c r="U442" i="13"/>
  <c r="T442" i="13"/>
  <c r="S442" i="13"/>
  <c r="R442" i="13"/>
  <c r="Q442" i="13"/>
  <c r="P442" i="13"/>
  <c r="O442" i="13"/>
  <c r="N442" i="13"/>
  <c r="M442" i="13"/>
  <c r="L442" i="13"/>
  <c r="K442" i="13"/>
  <c r="J442" i="13"/>
  <c r="I442" i="13"/>
  <c r="H442" i="13"/>
  <c r="G442" i="13"/>
  <c r="F442" i="13"/>
  <c r="E442" i="13"/>
  <c r="D442" i="13"/>
  <c r="C442" i="13"/>
  <c r="Z441" i="13"/>
  <c r="Y441" i="13"/>
  <c r="X441" i="13"/>
  <c r="W441" i="13"/>
  <c r="V441" i="13"/>
  <c r="U441" i="13"/>
  <c r="T441" i="13"/>
  <c r="S441" i="13"/>
  <c r="R441" i="13"/>
  <c r="Q441" i="13"/>
  <c r="P441" i="13"/>
  <c r="O441" i="13"/>
  <c r="N441" i="13"/>
  <c r="M441" i="13"/>
  <c r="L441" i="13"/>
  <c r="K441" i="13"/>
  <c r="J441" i="13"/>
  <c r="I441" i="13"/>
  <c r="H441" i="13"/>
  <c r="G441" i="13"/>
  <c r="F441" i="13"/>
  <c r="E441" i="13"/>
  <c r="D441" i="13"/>
  <c r="C441" i="13"/>
  <c r="Z440" i="13"/>
  <c r="Y440" i="13"/>
  <c r="X440" i="13"/>
  <c r="W440" i="13"/>
  <c r="V440" i="13"/>
  <c r="U440" i="13"/>
  <c r="T440" i="13"/>
  <c r="S440" i="13"/>
  <c r="R440" i="13"/>
  <c r="Q440" i="13"/>
  <c r="P440" i="13"/>
  <c r="O440" i="13"/>
  <c r="N440" i="13"/>
  <c r="M440" i="13"/>
  <c r="L440" i="13"/>
  <c r="K440" i="13"/>
  <c r="J440" i="13"/>
  <c r="I440" i="13"/>
  <c r="H440" i="13"/>
  <c r="G440" i="13"/>
  <c r="F440" i="13"/>
  <c r="E440" i="13"/>
  <c r="D440" i="13"/>
  <c r="C440" i="13"/>
  <c r="Z439" i="13"/>
  <c r="Y439" i="13"/>
  <c r="X439" i="13"/>
  <c r="W439" i="13"/>
  <c r="V439" i="13"/>
  <c r="U439" i="13"/>
  <c r="T439" i="13"/>
  <c r="S439" i="13"/>
  <c r="R439" i="13"/>
  <c r="Q439" i="13"/>
  <c r="P439" i="13"/>
  <c r="O439" i="13"/>
  <c r="N439" i="13"/>
  <c r="M439" i="13"/>
  <c r="L439" i="13"/>
  <c r="K439" i="13"/>
  <c r="J439" i="13"/>
  <c r="I439" i="13"/>
  <c r="H439" i="13"/>
  <c r="G439" i="13"/>
  <c r="F439" i="13"/>
  <c r="E439" i="13"/>
  <c r="D439" i="13"/>
  <c r="C439" i="13"/>
  <c r="Z438" i="13"/>
  <c r="Y438" i="13"/>
  <c r="X438" i="13"/>
  <c r="W438" i="13"/>
  <c r="V438" i="13"/>
  <c r="U438" i="13"/>
  <c r="T438" i="13"/>
  <c r="S438" i="13"/>
  <c r="R438" i="13"/>
  <c r="Q438" i="13"/>
  <c r="P438" i="13"/>
  <c r="O438" i="13"/>
  <c r="N438" i="13"/>
  <c r="M438" i="13"/>
  <c r="L438" i="13"/>
  <c r="K438" i="13"/>
  <c r="J438" i="13"/>
  <c r="I438" i="13"/>
  <c r="H438" i="13"/>
  <c r="G438" i="13"/>
  <c r="F438" i="13"/>
  <c r="E438" i="13"/>
  <c r="D438" i="13"/>
  <c r="C438" i="13"/>
  <c r="Z437" i="13"/>
  <c r="Y437" i="13"/>
  <c r="X437" i="13"/>
  <c r="W437" i="13"/>
  <c r="V437" i="13"/>
  <c r="U437" i="13"/>
  <c r="T437" i="13"/>
  <c r="S437" i="13"/>
  <c r="R437" i="13"/>
  <c r="Q437" i="13"/>
  <c r="P437" i="13"/>
  <c r="O437" i="13"/>
  <c r="N437" i="13"/>
  <c r="M437" i="13"/>
  <c r="L437" i="13"/>
  <c r="K437" i="13"/>
  <c r="J437" i="13"/>
  <c r="I437" i="13"/>
  <c r="H437" i="13"/>
  <c r="G437" i="13"/>
  <c r="F437" i="13"/>
  <c r="E437" i="13"/>
  <c r="D437" i="13"/>
  <c r="C437" i="13"/>
  <c r="Z436" i="13"/>
  <c r="Y436" i="13"/>
  <c r="X436" i="13"/>
  <c r="W436" i="13"/>
  <c r="V436" i="13"/>
  <c r="U436" i="13"/>
  <c r="T436" i="13"/>
  <c r="S436" i="13"/>
  <c r="R436" i="13"/>
  <c r="Q436" i="13"/>
  <c r="P436" i="13"/>
  <c r="O436" i="13"/>
  <c r="N436" i="13"/>
  <c r="M436" i="13"/>
  <c r="L436" i="13"/>
  <c r="K436" i="13"/>
  <c r="J436" i="13"/>
  <c r="I436" i="13"/>
  <c r="H436" i="13"/>
  <c r="G436" i="13"/>
  <c r="F436" i="13"/>
  <c r="E436" i="13"/>
  <c r="D436" i="13"/>
  <c r="C436" i="13"/>
  <c r="Z435" i="13"/>
  <c r="Y435" i="13"/>
  <c r="X435" i="13"/>
  <c r="W435" i="13"/>
  <c r="V435" i="13"/>
  <c r="U435" i="13"/>
  <c r="T435" i="13"/>
  <c r="S435" i="13"/>
  <c r="R435" i="13"/>
  <c r="Q435" i="13"/>
  <c r="P435" i="13"/>
  <c r="O435" i="13"/>
  <c r="N435" i="13"/>
  <c r="M435" i="13"/>
  <c r="L435" i="13"/>
  <c r="K435" i="13"/>
  <c r="J435" i="13"/>
  <c r="I435" i="13"/>
  <c r="H435" i="13"/>
  <c r="G435" i="13"/>
  <c r="F435" i="13"/>
  <c r="E435" i="13"/>
  <c r="D435" i="13"/>
  <c r="C435" i="13"/>
  <c r="Z434" i="13"/>
  <c r="Y434" i="13"/>
  <c r="X434" i="13"/>
  <c r="W434" i="13"/>
  <c r="V434" i="13"/>
  <c r="U434" i="13"/>
  <c r="T434" i="13"/>
  <c r="S434" i="13"/>
  <c r="R434" i="13"/>
  <c r="Q434" i="13"/>
  <c r="P434" i="13"/>
  <c r="O434" i="13"/>
  <c r="N434" i="13"/>
  <c r="M434" i="13"/>
  <c r="L434" i="13"/>
  <c r="K434" i="13"/>
  <c r="J434" i="13"/>
  <c r="I434" i="13"/>
  <c r="H434" i="13"/>
  <c r="G434" i="13"/>
  <c r="F434" i="13"/>
  <c r="E434" i="13"/>
  <c r="D434" i="13"/>
  <c r="C434" i="13"/>
  <c r="Z433" i="13"/>
  <c r="Y433" i="13"/>
  <c r="X433" i="13"/>
  <c r="W433" i="13"/>
  <c r="V433" i="13"/>
  <c r="U433" i="13"/>
  <c r="T433" i="13"/>
  <c r="S433" i="13"/>
  <c r="R433" i="13"/>
  <c r="Q433" i="13"/>
  <c r="P433" i="13"/>
  <c r="O433" i="13"/>
  <c r="N433" i="13"/>
  <c r="M433" i="13"/>
  <c r="L433" i="13"/>
  <c r="K433" i="13"/>
  <c r="J433" i="13"/>
  <c r="I433" i="13"/>
  <c r="H433" i="13"/>
  <c r="G433" i="13"/>
  <c r="F433" i="13"/>
  <c r="E433" i="13"/>
  <c r="D433" i="13"/>
  <c r="C433" i="13"/>
  <c r="Z432" i="13"/>
  <c r="Y432" i="13"/>
  <c r="X432" i="13"/>
  <c r="W432" i="13"/>
  <c r="V432" i="13"/>
  <c r="U432" i="13"/>
  <c r="T432" i="13"/>
  <c r="S432" i="13"/>
  <c r="R432" i="13"/>
  <c r="Q432" i="13"/>
  <c r="P432" i="13"/>
  <c r="O432" i="13"/>
  <c r="N432" i="13"/>
  <c r="M432" i="13"/>
  <c r="L432" i="13"/>
  <c r="K432" i="13"/>
  <c r="J432" i="13"/>
  <c r="I432" i="13"/>
  <c r="H432" i="13"/>
  <c r="G432" i="13"/>
  <c r="F432" i="13"/>
  <c r="E432" i="13"/>
  <c r="D432" i="13"/>
  <c r="C432" i="13"/>
  <c r="Z431" i="13"/>
  <c r="Y431" i="13"/>
  <c r="X431" i="13"/>
  <c r="W431" i="13"/>
  <c r="V431" i="13"/>
  <c r="U431" i="13"/>
  <c r="T431" i="13"/>
  <c r="S431" i="13"/>
  <c r="R431" i="13"/>
  <c r="Q431" i="13"/>
  <c r="P431" i="13"/>
  <c r="O431" i="13"/>
  <c r="N431" i="13"/>
  <c r="M431" i="13"/>
  <c r="L431" i="13"/>
  <c r="K431" i="13"/>
  <c r="J431" i="13"/>
  <c r="I431" i="13"/>
  <c r="H431" i="13"/>
  <c r="G431" i="13"/>
  <c r="F431" i="13"/>
  <c r="E431" i="13"/>
  <c r="D431" i="13"/>
  <c r="C431" i="13"/>
  <c r="Z430" i="13"/>
  <c r="Y430" i="13"/>
  <c r="X430" i="13"/>
  <c r="W430" i="13"/>
  <c r="V430" i="13"/>
  <c r="U430" i="13"/>
  <c r="T430" i="13"/>
  <c r="S430" i="13"/>
  <c r="R430" i="13"/>
  <c r="Q430" i="13"/>
  <c r="P430" i="13"/>
  <c r="O430" i="13"/>
  <c r="N430" i="13"/>
  <c r="M430" i="13"/>
  <c r="L430" i="13"/>
  <c r="K430" i="13"/>
  <c r="J430" i="13"/>
  <c r="I430" i="13"/>
  <c r="H430" i="13"/>
  <c r="G430" i="13"/>
  <c r="F430" i="13"/>
  <c r="E430" i="13"/>
  <c r="D430" i="13"/>
  <c r="C430" i="13"/>
  <c r="Z429" i="13"/>
  <c r="Y429" i="13"/>
  <c r="X429" i="13"/>
  <c r="W429" i="13"/>
  <c r="V429" i="13"/>
  <c r="U429" i="13"/>
  <c r="T429" i="13"/>
  <c r="S429" i="13"/>
  <c r="R429" i="13"/>
  <c r="Q429" i="13"/>
  <c r="P429" i="13"/>
  <c r="O429" i="13"/>
  <c r="N429" i="13"/>
  <c r="M429" i="13"/>
  <c r="L429" i="13"/>
  <c r="K429" i="13"/>
  <c r="J429" i="13"/>
  <c r="I429" i="13"/>
  <c r="H429" i="13"/>
  <c r="G429" i="13"/>
  <c r="F429" i="13"/>
  <c r="E429" i="13"/>
  <c r="D429" i="13"/>
  <c r="C429" i="13"/>
  <c r="Z428" i="13"/>
  <c r="Y428" i="13"/>
  <c r="X428" i="13"/>
  <c r="W428" i="13"/>
  <c r="V428" i="13"/>
  <c r="U428" i="13"/>
  <c r="T428" i="13"/>
  <c r="S428" i="13"/>
  <c r="R428" i="13"/>
  <c r="Q428" i="13"/>
  <c r="P428" i="13"/>
  <c r="O428" i="13"/>
  <c r="N428" i="13"/>
  <c r="M428" i="13"/>
  <c r="L428" i="13"/>
  <c r="K428" i="13"/>
  <c r="J428" i="13"/>
  <c r="I428" i="13"/>
  <c r="H428" i="13"/>
  <c r="G428" i="13"/>
  <c r="F428" i="13"/>
  <c r="E428" i="13"/>
  <c r="D428" i="13"/>
  <c r="C428" i="13"/>
  <c r="Z427" i="13"/>
  <c r="Y427" i="13"/>
  <c r="X427" i="13"/>
  <c r="W427" i="13"/>
  <c r="V427" i="13"/>
  <c r="U427" i="13"/>
  <c r="T427" i="13"/>
  <c r="S427" i="13"/>
  <c r="R427" i="13"/>
  <c r="Q427" i="13"/>
  <c r="P427" i="13"/>
  <c r="O427" i="13"/>
  <c r="N427" i="13"/>
  <c r="M427" i="13"/>
  <c r="L427" i="13"/>
  <c r="K427" i="13"/>
  <c r="J427" i="13"/>
  <c r="I427" i="13"/>
  <c r="H427" i="13"/>
  <c r="G427" i="13"/>
  <c r="F427" i="13"/>
  <c r="E427" i="13"/>
  <c r="D427" i="13"/>
  <c r="C427" i="13"/>
  <c r="Z426" i="13"/>
  <c r="Y426" i="13"/>
  <c r="X426" i="13"/>
  <c r="W426" i="13"/>
  <c r="V426" i="13"/>
  <c r="U426" i="13"/>
  <c r="T426" i="13"/>
  <c r="S426" i="13"/>
  <c r="R426" i="13"/>
  <c r="Q426" i="13"/>
  <c r="P426" i="13"/>
  <c r="O426" i="13"/>
  <c r="N426" i="13"/>
  <c r="M426" i="13"/>
  <c r="L426" i="13"/>
  <c r="K426" i="13"/>
  <c r="J426" i="13"/>
  <c r="I426" i="13"/>
  <c r="H426" i="13"/>
  <c r="G426" i="13"/>
  <c r="F426" i="13"/>
  <c r="E426" i="13"/>
  <c r="D426" i="13"/>
  <c r="C426" i="13"/>
  <c r="Z425" i="13"/>
  <c r="Y425" i="13"/>
  <c r="X425" i="13"/>
  <c r="W425" i="13"/>
  <c r="V425" i="13"/>
  <c r="U425" i="13"/>
  <c r="T425" i="13"/>
  <c r="S425" i="13"/>
  <c r="R425" i="13"/>
  <c r="Q425" i="13"/>
  <c r="P425" i="13"/>
  <c r="O425" i="13"/>
  <c r="N425" i="13"/>
  <c r="M425" i="13"/>
  <c r="L425" i="13"/>
  <c r="K425" i="13"/>
  <c r="J425" i="13"/>
  <c r="I425" i="13"/>
  <c r="H425" i="13"/>
  <c r="G425" i="13"/>
  <c r="F425" i="13"/>
  <c r="E425" i="13"/>
  <c r="D425" i="13"/>
  <c r="C425" i="13"/>
  <c r="Z424" i="13"/>
  <c r="Y424" i="13"/>
  <c r="X424" i="13"/>
  <c r="W424" i="13"/>
  <c r="V424" i="13"/>
  <c r="U424" i="13"/>
  <c r="T424" i="13"/>
  <c r="S424" i="13"/>
  <c r="R424" i="13"/>
  <c r="Q424" i="13"/>
  <c r="P424" i="13"/>
  <c r="O424" i="13"/>
  <c r="N424" i="13"/>
  <c r="M424" i="13"/>
  <c r="L424" i="13"/>
  <c r="K424" i="13"/>
  <c r="J424" i="13"/>
  <c r="I424" i="13"/>
  <c r="H424" i="13"/>
  <c r="G424" i="13"/>
  <c r="F424" i="13"/>
  <c r="E424" i="13"/>
  <c r="D424" i="13"/>
  <c r="C424" i="13"/>
  <c r="Z423" i="13"/>
  <c r="Y423" i="13"/>
  <c r="X423" i="13"/>
  <c r="W423" i="13"/>
  <c r="V423" i="13"/>
  <c r="U423" i="13"/>
  <c r="T423" i="13"/>
  <c r="S423" i="13"/>
  <c r="R423" i="13"/>
  <c r="Q423" i="13"/>
  <c r="P423" i="13"/>
  <c r="O423" i="13"/>
  <c r="N423" i="13"/>
  <c r="M423" i="13"/>
  <c r="L423" i="13"/>
  <c r="K423" i="13"/>
  <c r="J423" i="13"/>
  <c r="I423" i="13"/>
  <c r="H423" i="13"/>
  <c r="G423" i="13"/>
  <c r="F423" i="13"/>
  <c r="E423" i="13"/>
  <c r="D423" i="13"/>
  <c r="C423" i="13"/>
  <c r="Z422" i="13"/>
  <c r="Y422" i="13"/>
  <c r="X422" i="13"/>
  <c r="W422" i="13"/>
  <c r="V422" i="13"/>
  <c r="U422" i="13"/>
  <c r="T422" i="13"/>
  <c r="S422" i="13"/>
  <c r="R422" i="13"/>
  <c r="Q422" i="13"/>
  <c r="P422" i="13"/>
  <c r="O422" i="13"/>
  <c r="N422" i="13"/>
  <c r="M422" i="13"/>
  <c r="L422" i="13"/>
  <c r="K422" i="13"/>
  <c r="J422" i="13"/>
  <c r="I422" i="13"/>
  <c r="H422" i="13"/>
  <c r="G422" i="13"/>
  <c r="F422" i="13"/>
  <c r="E422" i="13"/>
  <c r="D422" i="13"/>
  <c r="C422" i="13"/>
  <c r="Z421" i="13"/>
  <c r="Y421" i="13"/>
  <c r="X421" i="13"/>
  <c r="W421" i="13"/>
  <c r="V421" i="13"/>
  <c r="U421" i="13"/>
  <c r="T421" i="13"/>
  <c r="S421" i="13"/>
  <c r="R421" i="13"/>
  <c r="Q421" i="13"/>
  <c r="P421" i="13"/>
  <c r="O421" i="13"/>
  <c r="N421" i="13"/>
  <c r="M421" i="13"/>
  <c r="L421" i="13"/>
  <c r="K421" i="13"/>
  <c r="J421" i="13"/>
  <c r="I421" i="13"/>
  <c r="H421" i="13"/>
  <c r="G421" i="13"/>
  <c r="F421" i="13"/>
  <c r="E421" i="13"/>
  <c r="D421" i="13"/>
  <c r="C421" i="13"/>
  <c r="Z420" i="13"/>
  <c r="Y420" i="13"/>
  <c r="X420" i="13"/>
  <c r="W420" i="13"/>
  <c r="V420" i="13"/>
  <c r="U420" i="13"/>
  <c r="T420" i="13"/>
  <c r="S420" i="13"/>
  <c r="R420" i="13"/>
  <c r="Q420" i="13"/>
  <c r="P420" i="13"/>
  <c r="O420" i="13"/>
  <c r="N420" i="13"/>
  <c r="M420" i="13"/>
  <c r="L420" i="13"/>
  <c r="K420" i="13"/>
  <c r="J420" i="13"/>
  <c r="I420" i="13"/>
  <c r="H420" i="13"/>
  <c r="G420" i="13"/>
  <c r="F420" i="13"/>
  <c r="E420" i="13"/>
  <c r="D420" i="13"/>
  <c r="C420" i="13"/>
  <c r="Z419" i="13"/>
  <c r="Y419" i="13"/>
  <c r="X419" i="13"/>
  <c r="W419" i="13"/>
  <c r="V419" i="13"/>
  <c r="U419" i="13"/>
  <c r="T419" i="13"/>
  <c r="S419" i="13"/>
  <c r="R419" i="13"/>
  <c r="Q419" i="13"/>
  <c r="P419" i="13"/>
  <c r="O419" i="13"/>
  <c r="N419" i="13"/>
  <c r="M419" i="13"/>
  <c r="L419" i="13"/>
  <c r="K419" i="13"/>
  <c r="J419" i="13"/>
  <c r="I419" i="13"/>
  <c r="H419" i="13"/>
  <c r="G419" i="13"/>
  <c r="F419" i="13"/>
  <c r="E419" i="13"/>
  <c r="D419" i="13"/>
  <c r="C419" i="13"/>
  <c r="Z418" i="13"/>
  <c r="Y418" i="13"/>
  <c r="X418" i="13"/>
  <c r="W418" i="13"/>
  <c r="V418" i="13"/>
  <c r="U418" i="13"/>
  <c r="T418" i="13"/>
  <c r="S418" i="13"/>
  <c r="R418" i="13"/>
  <c r="Q418" i="13"/>
  <c r="P418" i="13"/>
  <c r="O418" i="13"/>
  <c r="N418" i="13"/>
  <c r="M418" i="13"/>
  <c r="L418" i="13"/>
  <c r="K418" i="13"/>
  <c r="J418" i="13"/>
  <c r="I418" i="13"/>
  <c r="H418" i="13"/>
  <c r="G418" i="13"/>
  <c r="F418" i="13"/>
  <c r="E418" i="13"/>
  <c r="D418" i="13"/>
  <c r="C418" i="13"/>
  <c r="Z417" i="13"/>
  <c r="Y417" i="13"/>
  <c r="X417" i="13"/>
  <c r="W417" i="13"/>
  <c r="V417" i="13"/>
  <c r="U417" i="13"/>
  <c r="T417" i="13"/>
  <c r="S417" i="13"/>
  <c r="R417" i="13"/>
  <c r="Q417" i="13"/>
  <c r="P417" i="13"/>
  <c r="O417" i="13"/>
  <c r="N417" i="13"/>
  <c r="M417" i="13"/>
  <c r="L417" i="13"/>
  <c r="K417" i="13"/>
  <c r="J417" i="13"/>
  <c r="I417" i="13"/>
  <c r="H417" i="13"/>
  <c r="G417" i="13"/>
  <c r="F417" i="13"/>
  <c r="E417" i="13"/>
  <c r="D417" i="13"/>
  <c r="C417" i="13"/>
  <c r="Z416" i="13"/>
  <c r="Y416" i="13"/>
  <c r="X416" i="13"/>
  <c r="W416" i="13"/>
  <c r="V416" i="13"/>
  <c r="U416" i="13"/>
  <c r="T416" i="13"/>
  <c r="S416" i="13"/>
  <c r="R416" i="13"/>
  <c r="Q416" i="13"/>
  <c r="P416" i="13"/>
  <c r="O416" i="13"/>
  <c r="N416" i="13"/>
  <c r="M416" i="13"/>
  <c r="L416" i="13"/>
  <c r="K416" i="13"/>
  <c r="J416" i="13"/>
  <c r="I416" i="13"/>
  <c r="H416" i="13"/>
  <c r="G416" i="13"/>
  <c r="F416" i="13"/>
  <c r="E416" i="13"/>
  <c r="D416" i="13"/>
  <c r="C416" i="13"/>
  <c r="Z415" i="13"/>
  <c r="Y415" i="13"/>
  <c r="X415" i="13"/>
  <c r="W415" i="13"/>
  <c r="V415" i="13"/>
  <c r="U415" i="13"/>
  <c r="T415" i="13"/>
  <c r="S415" i="13"/>
  <c r="R415" i="13"/>
  <c r="Q415" i="13"/>
  <c r="P415" i="13"/>
  <c r="O415" i="13"/>
  <c r="N415" i="13"/>
  <c r="M415" i="13"/>
  <c r="L415" i="13"/>
  <c r="K415" i="13"/>
  <c r="J415" i="13"/>
  <c r="I415" i="13"/>
  <c r="H415" i="13"/>
  <c r="G415" i="13"/>
  <c r="F415" i="13"/>
  <c r="E415" i="13"/>
  <c r="D415" i="13"/>
  <c r="C415" i="13"/>
  <c r="Z414" i="13"/>
  <c r="Y414" i="13"/>
  <c r="X414" i="13"/>
  <c r="W414" i="13"/>
  <c r="V414" i="13"/>
  <c r="U414" i="13"/>
  <c r="T414" i="13"/>
  <c r="S414" i="13"/>
  <c r="R414" i="13"/>
  <c r="Q414" i="13"/>
  <c r="P414" i="13"/>
  <c r="O414" i="13"/>
  <c r="N414" i="13"/>
  <c r="M414" i="13"/>
  <c r="L414" i="13"/>
  <c r="K414" i="13"/>
  <c r="J414" i="13"/>
  <c r="I414" i="13"/>
  <c r="H414" i="13"/>
  <c r="G414" i="13"/>
  <c r="F414" i="13"/>
  <c r="E414" i="13"/>
  <c r="D414" i="13"/>
  <c r="C414" i="13"/>
  <c r="Z413" i="13"/>
  <c r="Y413" i="13"/>
  <c r="X413" i="13"/>
  <c r="W413" i="13"/>
  <c r="V413" i="13"/>
  <c r="U413" i="13"/>
  <c r="T413" i="13"/>
  <c r="S413" i="13"/>
  <c r="R413" i="13"/>
  <c r="Q413" i="13"/>
  <c r="P413" i="13"/>
  <c r="O413" i="13"/>
  <c r="N413" i="13"/>
  <c r="M413" i="13"/>
  <c r="L413" i="13"/>
  <c r="K413" i="13"/>
  <c r="J413" i="13"/>
  <c r="I413" i="13"/>
  <c r="H413" i="13"/>
  <c r="G413" i="13"/>
  <c r="F413" i="13"/>
  <c r="E413" i="13"/>
  <c r="D413" i="13"/>
  <c r="C413" i="13"/>
  <c r="Z412" i="13"/>
  <c r="Y412" i="13"/>
  <c r="X412" i="13"/>
  <c r="W412" i="13"/>
  <c r="V412" i="13"/>
  <c r="U412" i="13"/>
  <c r="T412" i="13"/>
  <c r="S412" i="13"/>
  <c r="R412" i="13"/>
  <c r="Q412" i="13"/>
  <c r="P412" i="13"/>
  <c r="O412" i="13"/>
  <c r="N412" i="13"/>
  <c r="M412" i="13"/>
  <c r="L412" i="13"/>
  <c r="K412" i="13"/>
  <c r="J412" i="13"/>
  <c r="I412" i="13"/>
  <c r="H412" i="13"/>
  <c r="G412" i="13"/>
  <c r="F412" i="13"/>
  <c r="E412" i="13"/>
  <c r="D412" i="13"/>
  <c r="C412" i="13"/>
  <c r="Z411" i="13"/>
  <c r="Y411" i="13"/>
  <c r="X411" i="13"/>
  <c r="W411" i="13"/>
  <c r="V411" i="13"/>
  <c r="U411" i="13"/>
  <c r="T411" i="13"/>
  <c r="S411" i="13"/>
  <c r="R411" i="13"/>
  <c r="Q411" i="13"/>
  <c r="P411" i="13"/>
  <c r="O411" i="13"/>
  <c r="N411" i="13"/>
  <c r="M411" i="13"/>
  <c r="L411" i="13"/>
  <c r="K411" i="13"/>
  <c r="J411" i="13"/>
  <c r="I411" i="13"/>
  <c r="H411" i="13"/>
  <c r="G411" i="13"/>
  <c r="F411" i="13"/>
  <c r="E411" i="13"/>
  <c r="D411" i="13"/>
  <c r="C411" i="13"/>
  <c r="Z410" i="13"/>
  <c r="Y410" i="13"/>
  <c r="X410" i="13"/>
  <c r="W410" i="13"/>
  <c r="V410" i="13"/>
  <c r="U410" i="13"/>
  <c r="T410" i="13"/>
  <c r="S410" i="13"/>
  <c r="R410" i="13"/>
  <c r="Q410" i="13"/>
  <c r="P410" i="13"/>
  <c r="O410" i="13"/>
  <c r="N410" i="13"/>
  <c r="M410" i="13"/>
  <c r="L410" i="13"/>
  <c r="K410" i="13"/>
  <c r="J410" i="13"/>
  <c r="I410" i="13"/>
  <c r="H410" i="13"/>
  <c r="G410" i="13"/>
  <c r="F410" i="13"/>
  <c r="E410" i="13"/>
  <c r="D410" i="13"/>
  <c r="C410" i="13"/>
  <c r="Z409" i="13"/>
  <c r="Y409" i="13"/>
  <c r="X409" i="13"/>
  <c r="W409" i="13"/>
  <c r="V409" i="13"/>
  <c r="U409" i="13"/>
  <c r="T409" i="13"/>
  <c r="S409" i="13"/>
  <c r="R409" i="13"/>
  <c r="Q409" i="13"/>
  <c r="P409" i="13"/>
  <c r="O409" i="13"/>
  <c r="N409" i="13"/>
  <c r="M409" i="13"/>
  <c r="L409" i="13"/>
  <c r="K409" i="13"/>
  <c r="J409" i="13"/>
  <c r="I409" i="13"/>
  <c r="H409" i="13"/>
  <c r="G409" i="13"/>
  <c r="F409" i="13"/>
  <c r="E409" i="13"/>
  <c r="D409" i="13"/>
  <c r="C409" i="13"/>
  <c r="Z408" i="13"/>
  <c r="Y408" i="13"/>
  <c r="X408" i="13"/>
  <c r="W408" i="13"/>
  <c r="V408" i="13"/>
  <c r="U408" i="13"/>
  <c r="T408" i="13"/>
  <c r="S408" i="13"/>
  <c r="R408" i="13"/>
  <c r="Q408" i="13"/>
  <c r="P408" i="13"/>
  <c r="O408" i="13"/>
  <c r="N408" i="13"/>
  <c r="M408" i="13"/>
  <c r="L408" i="13"/>
  <c r="K408" i="13"/>
  <c r="J408" i="13"/>
  <c r="I408" i="13"/>
  <c r="H408" i="13"/>
  <c r="G408" i="13"/>
  <c r="F408" i="13"/>
  <c r="E408" i="13"/>
  <c r="D408" i="13"/>
  <c r="C408" i="13"/>
  <c r="Z407" i="13"/>
  <c r="Y407" i="13"/>
  <c r="X407" i="13"/>
  <c r="W407" i="13"/>
  <c r="V407" i="13"/>
  <c r="U407" i="13"/>
  <c r="T407" i="13"/>
  <c r="S407" i="13"/>
  <c r="R407" i="13"/>
  <c r="Q407" i="13"/>
  <c r="P407" i="13"/>
  <c r="O407" i="13"/>
  <c r="N407" i="13"/>
  <c r="M407" i="13"/>
  <c r="L407" i="13"/>
  <c r="K407" i="13"/>
  <c r="J407" i="13"/>
  <c r="I407" i="13"/>
  <c r="H407" i="13"/>
  <c r="G407" i="13"/>
  <c r="F407" i="13"/>
  <c r="E407" i="13"/>
  <c r="D407" i="13"/>
  <c r="C407" i="13"/>
  <c r="Z406" i="13"/>
  <c r="Y406" i="13"/>
  <c r="X406" i="13"/>
  <c r="W406" i="13"/>
  <c r="V406" i="13"/>
  <c r="U406" i="13"/>
  <c r="T406" i="13"/>
  <c r="S406" i="13"/>
  <c r="R406" i="13"/>
  <c r="Q406" i="13"/>
  <c r="P406" i="13"/>
  <c r="O406" i="13"/>
  <c r="N406" i="13"/>
  <c r="M406" i="13"/>
  <c r="L406" i="13"/>
  <c r="K406" i="13"/>
  <c r="J406" i="13"/>
  <c r="I406" i="13"/>
  <c r="H406" i="13"/>
  <c r="G406" i="13"/>
  <c r="F406" i="13"/>
  <c r="E406" i="13"/>
  <c r="D406" i="13"/>
  <c r="C406" i="13"/>
  <c r="Z405" i="13"/>
  <c r="Y405" i="13"/>
  <c r="X405" i="13"/>
  <c r="W405" i="13"/>
  <c r="V405" i="13"/>
  <c r="U405" i="13"/>
  <c r="T405" i="13"/>
  <c r="S405" i="13"/>
  <c r="R405" i="13"/>
  <c r="Q405" i="13"/>
  <c r="P405" i="13"/>
  <c r="O405" i="13"/>
  <c r="N405" i="13"/>
  <c r="M405" i="13"/>
  <c r="L405" i="13"/>
  <c r="K405" i="13"/>
  <c r="J405" i="13"/>
  <c r="I405" i="13"/>
  <c r="H405" i="13"/>
  <c r="G405" i="13"/>
  <c r="F405" i="13"/>
  <c r="E405" i="13"/>
  <c r="D405" i="13"/>
  <c r="C405" i="13"/>
  <c r="Z404" i="13"/>
  <c r="Y404" i="13"/>
  <c r="X404" i="13"/>
  <c r="W404" i="13"/>
  <c r="V404" i="13"/>
  <c r="U404" i="13"/>
  <c r="T404" i="13"/>
  <c r="S404" i="13"/>
  <c r="R404" i="13"/>
  <c r="Q404" i="13"/>
  <c r="P404" i="13"/>
  <c r="O404" i="13"/>
  <c r="N404" i="13"/>
  <c r="M404" i="13"/>
  <c r="L404" i="13"/>
  <c r="K404" i="13"/>
  <c r="J404" i="13"/>
  <c r="I404" i="13"/>
  <c r="H404" i="13"/>
  <c r="G404" i="13"/>
  <c r="F404" i="13"/>
  <c r="E404" i="13"/>
  <c r="D404" i="13"/>
  <c r="C404" i="13"/>
  <c r="Z403" i="13"/>
  <c r="Y403" i="13"/>
  <c r="X403" i="13"/>
  <c r="W403" i="13"/>
  <c r="V403" i="13"/>
  <c r="U403" i="13"/>
  <c r="T403" i="13"/>
  <c r="S403" i="13"/>
  <c r="R403" i="13"/>
  <c r="Q403" i="13"/>
  <c r="P403" i="13"/>
  <c r="O403" i="13"/>
  <c r="N403" i="13"/>
  <c r="M403" i="13"/>
  <c r="L403" i="13"/>
  <c r="K403" i="13"/>
  <c r="J403" i="13"/>
  <c r="I403" i="13"/>
  <c r="H403" i="13"/>
  <c r="G403" i="13"/>
  <c r="F403" i="13"/>
  <c r="E403" i="13"/>
  <c r="D403" i="13"/>
  <c r="C403" i="13"/>
  <c r="Z402" i="13"/>
  <c r="Y402" i="13"/>
  <c r="X402" i="13"/>
  <c r="W402" i="13"/>
  <c r="V402" i="13"/>
  <c r="U402" i="13"/>
  <c r="T402" i="13"/>
  <c r="S402" i="13"/>
  <c r="R402" i="13"/>
  <c r="Q402" i="13"/>
  <c r="P402" i="13"/>
  <c r="O402" i="13"/>
  <c r="N402" i="13"/>
  <c r="M402" i="13"/>
  <c r="L402" i="13"/>
  <c r="K402" i="13"/>
  <c r="J402" i="13"/>
  <c r="I402" i="13"/>
  <c r="H402" i="13"/>
  <c r="G402" i="13"/>
  <c r="F402" i="13"/>
  <c r="E402" i="13"/>
  <c r="D402" i="13"/>
  <c r="C402" i="13"/>
  <c r="Z401" i="13"/>
  <c r="Y401" i="13"/>
  <c r="X401" i="13"/>
  <c r="W401" i="13"/>
  <c r="V401" i="13"/>
  <c r="U401" i="13"/>
  <c r="T401" i="13"/>
  <c r="S401" i="13"/>
  <c r="R401" i="13"/>
  <c r="Q401" i="13"/>
  <c r="P401" i="13"/>
  <c r="O401" i="13"/>
  <c r="N401" i="13"/>
  <c r="M401" i="13"/>
  <c r="L401" i="13"/>
  <c r="K401" i="13"/>
  <c r="J401" i="13"/>
  <c r="I401" i="13"/>
  <c r="H401" i="13"/>
  <c r="G401" i="13"/>
  <c r="F401" i="13"/>
  <c r="E401" i="13"/>
  <c r="D401" i="13"/>
  <c r="C401" i="13"/>
  <c r="Z400" i="13"/>
  <c r="Y400" i="13"/>
  <c r="X400" i="13"/>
  <c r="W400" i="13"/>
  <c r="V400" i="13"/>
  <c r="U400" i="13"/>
  <c r="T400" i="13"/>
  <c r="S400" i="13"/>
  <c r="R400" i="13"/>
  <c r="Q400" i="13"/>
  <c r="P400" i="13"/>
  <c r="O400" i="13"/>
  <c r="N400" i="13"/>
  <c r="M400" i="13"/>
  <c r="L400" i="13"/>
  <c r="K400" i="13"/>
  <c r="J400" i="13"/>
  <c r="I400" i="13"/>
  <c r="H400" i="13"/>
  <c r="G400" i="13"/>
  <c r="F400" i="13"/>
  <c r="E400" i="13"/>
  <c r="D400" i="13"/>
  <c r="C400" i="13"/>
  <c r="Z399" i="13"/>
  <c r="Y399" i="13"/>
  <c r="X399" i="13"/>
  <c r="W399" i="13"/>
  <c r="V399" i="13"/>
  <c r="U399" i="13"/>
  <c r="T399" i="13"/>
  <c r="S399" i="13"/>
  <c r="R399" i="13"/>
  <c r="Q399" i="13"/>
  <c r="P399" i="13"/>
  <c r="O399" i="13"/>
  <c r="N399" i="13"/>
  <c r="M399" i="13"/>
  <c r="L399" i="13"/>
  <c r="K399" i="13"/>
  <c r="J399" i="13"/>
  <c r="I399" i="13"/>
  <c r="H399" i="13"/>
  <c r="G399" i="13"/>
  <c r="F399" i="13"/>
  <c r="E399" i="13"/>
  <c r="D399" i="13"/>
  <c r="C399" i="13"/>
  <c r="Z398" i="13"/>
  <c r="Y398" i="13"/>
  <c r="X398" i="13"/>
  <c r="W398" i="13"/>
  <c r="V398" i="13"/>
  <c r="U398" i="13"/>
  <c r="T398" i="13"/>
  <c r="S398" i="13"/>
  <c r="R398" i="13"/>
  <c r="Q398" i="13"/>
  <c r="P398" i="13"/>
  <c r="O398" i="13"/>
  <c r="N398" i="13"/>
  <c r="M398" i="13"/>
  <c r="L398" i="13"/>
  <c r="K398" i="13"/>
  <c r="J398" i="13"/>
  <c r="I398" i="13"/>
  <c r="H398" i="13"/>
  <c r="G398" i="13"/>
  <c r="F398" i="13"/>
  <c r="E398" i="13"/>
  <c r="D398" i="13"/>
  <c r="C398" i="13"/>
  <c r="Z397" i="13"/>
  <c r="Y397" i="13"/>
  <c r="X397" i="13"/>
  <c r="W397" i="13"/>
  <c r="V397" i="13"/>
  <c r="U397" i="13"/>
  <c r="T397" i="13"/>
  <c r="S397" i="13"/>
  <c r="R397" i="13"/>
  <c r="Q397" i="13"/>
  <c r="P397" i="13"/>
  <c r="O397" i="13"/>
  <c r="N397" i="13"/>
  <c r="M397" i="13"/>
  <c r="L397" i="13"/>
  <c r="K397" i="13"/>
  <c r="J397" i="13"/>
  <c r="I397" i="13"/>
  <c r="H397" i="13"/>
  <c r="G397" i="13"/>
  <c r="F397" i="13"/>
  <c r="E397" i="13"/>
  <c r="D397" i="13"/>
  <c r="C397" i="13"/>
  <c r="Z396" i="13"/>
  <c r="Y396" i="13"/>
  <c r="X396" i="13"/>
  <c r="W396" i="13"/>
  <c r="V396" i="13"/>
  <c r="U396" i="13"/>
  <c r="T396" i="13"/>
  <c r="S396" i="13"/>
  <c r="R396" i="13"/>
  <c r="Q396" i="13"/>
  <c r="P396" i="13"/>
  <c r="O396" i="13"/>
  <c r="N396" i="13"/>
  <c r="M396" i="13"/>
  <c r="L396" i="13"/>
  <c r="K396" i="13"/>
  <c r="J396" i="13"/>
  <c r="I396" i="13"/>
  <c r="H396" i="13"/>
  <c r="G396" i="13"/>
  <c r="F396" i="13"/>
  <c r="E396" i="13"/>
  <c r="D396" i="13"/>
  <c r="C396" i="13"/>
  <c r="Z395" i="13"/>
  <c r="Y395" i="13"/>
  <c r="X395" i="13"/>
  <c r="W395" i="13"/>
  <c r="V395" i="13"/>
  <c r="U395" i="13"/>
  <c r="T395" i="13"/>
  <c r="S395" i="13"/>
  <c r="R395" i="13"/>
  <c r="Q395" i="13"/>
  <c r="P395" i="13"/>
  <c r="O395" i="13"/>
  <c r="N395" i="13"/>
  <c r="M395" i="13"/>
  <c r="L395" i="13"/>
  <c r="K395" i="13"/>
  <c r="J395" i="13"/>
  <c r="I395" i="13"/>
  <c r="H395" i="13"/>
  <c r="G395" i="13"/>
  <c r="F395" i="13"/>
  <c r="E395" i="13"/>
  <c r="D395" i="13"/>
  <c r="C395" i="13"/>
  <c r="Z394" i="13"/>
  <c r="Y394" i="13"/>
  <c r="X394" i="13"/>
  <c r="W394" i="13"/>
  <c r="V394" i="13"/>
  <c r="U394" i="13"/>
  <c r="T394" i="13"/>
  <c r="S394" i="13"/>
  <c r="R394" i="13"/>
  <c r="Q394" i="13"/>
  <c r="P394" i="13"/>
  <c r="O394" i="13"/>
  <c r="N394" i="13"/>
  <c r="M394" i="13"/>
  <c r="L394" i="13"/>
  <c r="K394" i="13"/>
  <c r="J394" i="13"/>
  <c r="I394" i="13"/>
  <c r="H394" i="13"/>
  <c r="G394" i="13"/>
  <c r="F394" i="13"/>
  <c r="E394" i="13"/>
  <c r="D394" i="13"/>
  <c r="C394" i="13"/>
  <c r="Z393" i="13"/>
  <c r="Y393" i="13"/>
  <c r="X393" i="13"/>
  <c r="W393" i="13"/>
  <c r="V393" i="13"/>
  <c r="U393" i="13"/>
  <c r="T393" i="13"/>
  <c r="S393" i="13"/>
  <c r="R393" i="13"/>
  <c r="Q393" i="13"/>
  <c r="P393" i="13"/>
  <c r="O393" i="13"/>
  <c r="N393" i="13"/>
  <c r="M393" i="13"/>
  <c r="L393" i="13"/>
  <c r="K393" i="13"/>
  <c r="J393" i="13"/>
  <c r="I393" i="13"/>
  <c r="H393" i="13"/>
  <c r="G393" i="13"/>
  <c r="F393" i="13"/>
  <c r="E393" i="13"/>
  <c r="D393" i="13"/>
  <c r="C393" i="13"/>
  <c r="Z392" i="13"/>
  <c r="Y392" i="13"/>
  <c r="X392" i="13"/>
  <c r="W392" i="13"/>
  <c r="V392" i="13"/>
  <c r="U392" i="13"/>
  <c r="T392" i="13"/>
  <c r="S392" i="13"/>
  <c r="R392" i="13"/>
  <c r="Q392" i="13"/>
  <c r="P392" i="13"/>
  <c r="O392" i="13"/>
  <c r="N392" i="13"/>
  <c r="M392" i="13"/>
  <c r="L392" i="13"/>
  <c r="K392" i="13"/>
  <c r="J392" i="13"/>
  <c r="I392" i="13"/>
  <c r="H392" i="13"/>
  <c r="G392" i="13"/>
  <c r="F392" i="13"/>
  <c r="E392" i="13"/>
  <c r="D392" i="13"/>
  <c r="C392" i="13"/>
  <c r="Z391" i="13"/>
  <c r="Y391" i="13"/>
  <c r="X391" i="13"/>
  <c r="W391" i="13"/>
  <c r="V391" i="13"/>
  <c r="U391" i="13"/>
  <c r="T391" i="13"/>
  <c r="S391" i="13"/>
  <c r="R391" i="13"/>
  <c r="Q391" i="13"/>
  <c r="P391" i="13"/>
  <c r="O391" i="13"/>
  <c r="N391" i="13"/>
  <c r="M391" i="13"/>
  <c r="L391" i="13"/>
  <c r="K391" i="13"/>
  <c r="J391" i="13"/>
  <c r="I391" i="13"/>
  <c r="H391" i="13"/>
  <c r="G391" i="13"/>
  <c r="F391" i="13"/>
  <c r="E391" i="13"/>
  <c r="D391" i="13"/>
  <c r="C391" i="13"/>
  <c r="Z390" i="13"/>
  <c r="Y390" i="13"/>
  <c r="X390" i="13"/>
  <c r="W390" i="13"/>
  <c r="V390" i="13"/>
  <c r="U390" i="13"/>
  <c r="T390" i="13"/>
  <c r="S390" i="13"/>
  <c r="R390" i="13"/>
  <c r="Q390" i="13"/>
  <c r="P390" i="13"/>
  <c r="O390" i="13"/>
  <c r="N390" i="13"/>
  <c r="M390" i="13"/>
  <c r="L390" i="13"/>
  <c r="K390" i="13"/>
  <c r="J390" i="13"/>
  <c r="I390" i="13"/>
  <c r="H390" i="13"/>
  <c r="G390" i="13"/>
  <c r="F390" i="13"/>
  <c r="E390" i="13"/>
  <c r="D390" i="13"/>
  <c r="C390" i="13"/>
  <c r="Z389" i="13"/>
  <c r="Y389" i="13"/>
  <c r="X389" i="13"/>
  <c r="W389" i="13"/>
  <c r="V389" i="13"/>
  <c r="U389" i="13"/>
  <c r="T389" i="13"/>
  <c r="S389" i="13"/>
  <c r="R389" i="13"/>
  <c r="Q389" i="13"/>
  <c r="P389" i="13"/>
  <c r="O389" i="13"/>
  <c r="N389" i="13"/>
  <c r="M389" i="13"/>
  <c r="L389" i="13"/>
  <c r="K389" i="13"/>
  <c r="J389" i="13"/>
  <c r="I389" i="13"/>
  <c r="H389" i="13"/>
  <c r="G389" i="13"/>
  <c r="F389" i="13"/>
  <c r="E389" i="13"/>
  <c r="D389" i="13"/>
  <c r="C389" i="13"/>
  <c r="Z388" i="13"/>
  <c r="Y388" i="13"/>
  <c r="X388" i="13"/>
  <c r="W388" i="13"/>
  <c r="V388" i="13"/>
  <c r="U388" i="13"/>
  <c r="T388" i="13"/>
  <c r="S388" i="13"/>
  <c r="R388" i="13"/>
  <c r="Q388" i="13"/>
  <c r="P388" i="13"/>
  <c r="O388" i="13"/>
  <c r="N388" i="13"/>
  <c r="M388" i="13"/>
  <c r="L388" i="13"/>
  <c r="K388" i="13"/>
  <c r="J388" i="13"/>
  <c r="I388" i="13"/>
  <c r="H388" i="13"/>
  <c r="G388" i="13"/>
  <c r="F388" i="13"/>
  <c r="E388" i="13"/>
  <c r="D388" i="13"/>
  <c r="C388" i="13"/>
  <c r="Z387" i="13"/>
  <c r="Y387" i="13"/>
  <c r="X387" i="13"/>
  <c r="W387" i="13"/>
  <c r="V387" i="13"/>
  <c r="U387" i="13"/>
  <c r="T387" i="13"/>
  <c r="S387" i="13"/>
  <c r="R387" i="13"/>
  <c r="Q387" i="13"/>
  <c r="P387" i="13"/>
  <c r="O387" i="13"/>
  <c r="N387" i="13"/>
  <c r="M387" i="13"/>
  <c r="L387" i="13"/>
  <c r="K387" i="13"/>
  <c r="J387" i="13"/>
  <c r="I387" i="13"/>
  <c r="H387" i="13"/>
  <c r="G387" i="13"/>
  <c r="F387" i="13"/>
  <c r="E387" i="13"/>
  <c r="D387" i="13"/>
  <c r="C387" i="13"/>
  <c r="Z386" i="13"/>
  <c r="Y386" i="13"/>
  <c r="X386" i="13"/>
  <c r="W386" i="13"/>
  <c r="V386" i="13"/>
  <c r="U386" i="13"/>
  <c r="T386" i="13"/>
  <c r="S386" i="13"/>
  <c r="R386" i="13"/>
  <c r="Q386" i="13"/>
  <c r="P386" i="13"/>
  <c r="O386" i="13"/>
  <c r="N386" i="13"/>
  <c r="M386" i="13"/>
  <c r="L386" i="13"/>
  <c r="K386" i="13"/>
  <c r="J386" i="13"/>
  <c r="I386" i="13"/>
  <c r="H386" i="13"/>
  <c r="G386" i="13"/>
  <c r="F386" i="13"/>
  <c r="E386" i="13"/>
  <c r="D386" i="13"/>
  <c r="C386" i="13"/>
  <c r="Z385" i="13"/>
  <c r="Y385" i="13"/>
  <c r="X385" i="13"/>
  <c r="W385" i="13"/>
  <c r="V385" i="13"/>
  <c r="U385" i="13"/>
  <c r="T385" i="13"/>
  <c r="S385" i="13"/>
  <c r="R385" i="13"/>
  <c r="Q385" i="13"/>
  <c r="P385" i="13"/>
  <c r="O385" i="13"/>
  <c r="N385" i="13"/>
  <c r="M385" i="13"/>
  <c r="L385" i="13"/>
  <c r="K385" i="13"/>
  <c r="J385" i="13"/>
  <c r="I385" i="13"/>
  <c r="H385" i="13"/>
  <c r="G385" i="13"/>
  <c r="F385" i="13"/>
  <c r="E385" i="13"/>
  <c r="D385" i="13"/>
  <c r="C385" i="13"/>
  <c r="Z384" i="13"/>
  <c r="Y384" i="13"/>
  <c r="X384" i="13"/>
  <c r="W384" i="13"/>
  <c r="V384" i="13"/>
  <c r="U384" i="13"/>
  <c r="T384" i="13"/>
  <c r="S384" i="13"/>
  <c r="R384" i="13"/>
  <c r="Q384" i="13"/>
  <c r="P384" i="13"/>
  <c r="O384" i="13"/>
  <c r="N384" i="13"/>
  <c r="M384" i="13"/>
  <c r="L384" i="13"/>
  <c r="K384" i="13"/>
  <c r="J384" i="13"/>
  <c r="I384" i="13"/>
  <c r="H384" i="13"/>
  <c r="G384" i="13"/>
  <c r="F384" i="13"/>
  <c r="E384" i="13"/>
  <c r="D384" i="13"/>
  <c r="C384" i="13"/>
  <c r="Z383" i="13"/>
  <c r="Y383" i="13"/>
  <c r="X383" i="13"/>
  <c r="W383" i="13"/>
  <c r="V383" i="13"/>
  <c r="U383" i="13"/>
  <c r="T383" i="13"/>
  <c r="S383" i="13"/>
  <c r="R383" i="13"/>
  <c r="Q383" i="13"/>
  <c r="P383" i="13"/>
  <c r="O383" i="13"/>
  <c r="N383" i="13"/>
  <c r="M383" i="13"/>
  <c r="L383" i="13"/>
  <c r="K383" i="13"/>
  <c r="J383" i="13"/>
  <c r="I383" i="13"/>
  <c r="H383" i="13"/>
  <c r="G383" i="13"/>
  <c r="F383" i="13"/>
  <c r="E383" i="13"/>
  <c r="D383" i="13"/>
  <c r="C383" i="13"/>
  <c r="Z382" i="13"/>
  <c r="Y382" i="13"/>
  <c r="X382" i="13"/>
  <c r="W382" i="13"/>
  <c r="V382" i="13"/>
  <c r="U382" i="13"/>
  <c r="T382" i="13"/>
  <c r="S382" i="13"/>
  <c r="R382" i="13"/>
  <c r="Q382" i="13"/>
  <c r="P382" i="13"/>
  <c r="O382" i="13"/>
  <c r="N382" i="13"/>
  <c r="M382" i="13"/>
  <c r="L382" i="13"/>
  <c r="K382" i="13"/>
  <c r="J382" i="13"/>
  <c r="I382" i="13"/>
  <c r="H382" i="13"/>
  <c r="G382" i="13"/>
  <c r="F382" i="13"/>
  <c r="E382" i="13"/>
  <c r="D382" i="13"/>
  <c r="C382" i="13"/>
  <c r="Z381" i="13"/>
  <c r="Y381" i="13"/>
  <c r="X381" i="13"/>
  <c r="W381" i="13"/>
  <c r="V381" i="13"/>
  <c r="U381" i="13"/>
  <c r="T381" i="13"/>
  <c r="S381" i="13"/>
  <c r="R381" i="13"/>
  <c r="Q381" i="13"/>
  <c r="P381" i="13"/>
  <c r="O381" i="13"/>
  <c r="N381" i="13"/>
  <c r="M381" i="13"/>
  <c r="L381" i="13"/>
  <c r="K381" i="13"/>
  <c r="J381" i="13"/>
  <c r="I381" i="13"/>
  <c r="H381" i="13"/>
  <c r="G381" i="13"/>
  <c r="F381" i="13"/>
  <c r="E381" i="13"/>
  <c r="D381" i="13"/>
  <c r="C381" i="13"/>
  <c r="Z380" i="13"/>
  <c r="Y380" i="13"/>
  <c r="X380" i="13"/>
  <c r="W380" i="13"/>
  <c r="V380" i="13"/>
  <c r="U380" i="13"/>
  <c r="T380" i="13"/>
  <c r="S380" i="13"/>
  <c r="R380" i="13"/>
  <c r="Q380" i="13"/>
  <c r="P380" i="13"/>
  <c r="O380" i="13"/>
  <c r="N380" i="13"/>
  <c r="M380" i="13"/>
  <c r="L380" i="13"/>
  <c r="K380" i="13"/>
  <c r="J380" i="13"/>
  <c r="I380" i="13"/>
  <c r="H380" i="13"/>
  <c r="G380" i="13"/>
  <c r="F380" i="13"/>
  <c r="E380" i="13"/>
  <c r="D380" i="13"/>
  <c r="C380" i="13"/>
  <c r="Z379" i="13"/>
  <c r="Y379" i="13"/>
  <c r="X379" i="13"/>
  <c r="W379" i="13"/>
  <c r="V379" i="13"/>
  <c r="U379" i="13"/>
  <c r="T379" i="13"/>
  <c r="S379" i="13"/>
  <c r="R379" i="13"/>
  <c r="Q379" i="13"/>
  <c r="P379" i="13"/>
  <c r="O379" i="13"/>
  <c r="N379" i="13"/>
  <c r="M379" i="13"/>
  <c r="L379" i="13"/>
  <c r="K379" i="13"/>
  <c r="J379" i="13"/>
  <c r="I379" i="13"/>
  <c r="H379" i="13"/>
  <c r="G379" i="13"/>
  <c r="F379" i="13"/>
  <c r="E379" i="13"/>
  <c r="D379" i="13"/>
  <c r="C379" i="13"/>
  <c r="Z378" i="13"/>
  <c r="Y378" i="13"/>
  <c r="X378" i="13"/>
  <c r="W378" i="13"/>
  <c r="V378" i="13"/>
  <c r="U378" i="13"/>
  <c r="T378" i="13"/>
  <c r="S378" i="13"/>
  <c r="R378" i="13"/>
  <c r="Q378" i="13"/>
  <c r="P378" i="13"/>
  <c r="O378" i="13"/>
  <c r="N378" i="13"/>
  <c r="M378" i="13"/>
  <c r="L378" i="13"/>
  <c r="K378" i="13"/>
  <c r="J378" i="13"/>
  <c r="I378" i="13"/>
  <c r="H378" i="13"/>
  <c r="G378" i="13"/>
  <c r="F378" i="13"/>
  <c r="E378" i="13"/>
  <c r="D378" i="13"/>
  <c r="C378" i="13"/>
  <c r="Z377" i="13"/>
  <c r="Y377" i="13"/>
  <c r="X377" i="13"/>
  <c r="W377" i="13"/>
  <c r="V377" i="13"/>
  <c r="U377" i="13"/>
  <c r="T377" i="13"/>
  <c r="S377" i="13"/>
  <c r="R377" i="13"/>
  <c r="Q377" i="13"/>
  <c r="P377" i="13"/>
  <c r="O377" i="13"/>
  <c r="N377" i="13"/>
  <c r="M377" i="13"/>
  <c r="L377" i="13"/>
  <c r="K377" i="13"/>
  <c r="J377" i="13"/>
  <c r="I377" i="13"/>
  <c r="H377" i="13"/>
  <c r="G377" i="13"/>
  <c r="F377" i="13"/>
  <c r="E377" i="13"/>
  <c r="D377" i="13"/>
  <c r="C377" i="13"/>
  <c r="Z376" i="13"/>
  <c r="Y376" i="13"/>
  <c r="X376" i="13"/>
  <c r="W376" i="13"/>
  <c r="V376" i="13"/>
  <c r="U376" i="13"/>
  <c r="T376" i="13"/>
  <c r="S376" i="13"/>
  <c r="R376" i="13"/>
  <c r="Q376" i="13"/>
  <c r="P376" i="13"/>
  <c r="O376" i="13"/>
  <c r="N376" i="13"/>
  <c r="M376" i="13"/>
  <c r="L376" i="13"/>
  <c r="K376" i="13"/>
  <c r="J376" i="13"/>
  <c r="I376" i="13"/>
  <c r="H376" i="13"/>
  <c r="G376" i="13"/>
  <c r="F376" i="13"/>
  <c r="E376" i="13"/>
  <c r="D376" i="13"/>
  <c r="C376" i="13"/>
  <c r="Z375" i="13"/>
  <c r="Y375" i="13"/>
  <c r="X375" i="13"/>
  <c r="W375" i="13"/>
  <c r="V375" i="13"/>
  <c r="U375" i="13"/>
  <c r="T375" i="13"/>
  <c r="S375" i="13"/>
  <c r="R375" i="13"/>
  <c r="Q375" i="13"/>
  <c r="P375" i="13"/>
  <c r="O375" i="13"/>
  <c r="N375" i="13"/>
  <c r="M375" i="13"/>
  <c r="L375" i="13"/>
  <c r="K375" i="13"/>
  <c r="J375" i="13"/>
  <c r="I375" i="13"/>
  <c r="H375" i="13"/>
  <c r="G375" i="13"/>
  <c r="F375" i="13"/>
  <c r="E375" i="13"/>
  <c r="D375" i="13"/>
  <c r="C375" i="13"/>
  <c r="Z374" i="13"/>
  <c r="Y374" i="13"/>
  <c r="X374" i="13"/>
  <c r="W374" i="13"/>
  <c r="V374" i="13"/>
  <c r="U374" i="13"/>
  <c r="T374" i="13"/>
  <c r="S374" i="13"/>
  <c r="R374" i="13"/>
  <c r="Q374" i="13"/>
  <c r="P374" i="13"/>
  <c r="O374" i="13"/>
  <c r="N374" i="13"/>
  <c r="M374" i="13"/>
  <c r="L374" i="13"/>
  <c r="K374" i="13"/>
  <c r="J374" i="13"/>
  <c r="I374" i="13"/>
  <c r="H374" i="13"/>
  <c r="G374" i="13"/>
  <c r="F374" i="13"/>
  <c r="E374" i="13"/>
  <c r="D374" i="13"/>
  <c r="C374" i="13"/>
  <c r="Z373" i="13"/>
  <c r="Y373" i="13"/>
  <c r="X373" i="13"/>
  <c r="W373" i="13"/>
  <c r="V373" i="13"/>
  <c r="U373" i="13"/>
  <c r="T373" i="13"/>
  <c r="S373" i="13"/>
  <c r="R373" i="13"/>
  <c r="Q373" i="13"/>
  <c r="P373" i="13"/>
  <c r="O373" i="13"/>
  <c r="N373" i="13"/>
  <c r="M373" i="13"/>
  <c r="L373" i="13"/>
  <c r="K373" i="13"/>
  <c r="J373" i="13"/>
  <c r="I373" i="13"/>
  <c r="H373" i="13"/>
  <c r="G373" i="13"/>
  <c r="F373" i="13"/>
  <c r="E373" i="13"/>
  <c r="D373" i="13"/>
  <c r="C373" i="13"/>
  <c r="Z372" i="13"/>
  <c r="Y372" i="13"/>
  <c r="X372" i="13"/>
  <c r="W372" i="13"/>
  <c r="V372" i="13"/>
  <c r="U372" i="13"/>
  <c r="T372" i="13"/>
  <c r="S372" i="13"/>
  <c r="R372" i="13"/>
  <c r="Q372" i="13"/>
  <c r="P372" i="13"/>
  <c r="O372" i="13"/>
  <c r="N372" i="13"/>
  <c r="M372" i="13"/>
  <c r="L372" i="13"/>
  <c r="K372" i="13"/>
  <c r="J372" i="13"/>
  <c r="I372" i="13"/>
  <c r="H372" i="13"/>
  <c r="G372" i="13"/>
  <c r="F372" i="13"/>
  <c r="E372" i="13"/>
  <c r="D372" i="13"/>
  <c r="C372" i="13"/>
  <c r="Z371" i="13"/>
  <c r="Y371" i="13"/>
  <c r="X371" i="13"/>
  <c r="W371" i="13"/>
  <c r="V371" i="13"/>
  <c r="U371" i="13"/>
  <c r="T371" i="13"/>
  <c r="S371" i="13"/>
  <c r="R371" i="13"/>
  <c r="Q371" i="13"/>
  <c r="P371" i="13"/>
  <c r="O371" i="13"/>
  <c r="N371" i="13"/>
  <c r="M371" i="13"/>
  <c r="L371" i="13"/>
  <c r="K371" i="13"/>
  <c r="J371" i="13"/>
  <c r="I371" i="13"/>
  <c r="H371" i="13"/>
  <c r="G371" i="13"/>
  <c r="F371" i="13"/>
  <c r="E371" i="13"/>
  <c r="D371" i="13"/>
  <c r="C371" i="13"/>
  <c r="Z370" i="13"/>
  <c r="Y370" i="13"/>
  <c r="X370" i="13"/>
  <c r="W370" i="13"/>
  <c r="V370" i="13"/>
  <c r="U370" i="13"/>
  <c r="T370" i="13"/>
  <c r="S370" i="13"/>
  <c r="R370" i="13"/>
  <c r="Q370" i="13"/>
  <c r="P370" i="13"/>
  <c r="O370" i="13"/>
  <c r="N370" i="13"/>
  <c r="M370" i="13"/>
  <c r="L370" i="13"/>
  <c r="K370" i="13"/>
  <c r="J370" i="13"/>
  <c r="I370" i="13"/>
  <c r="H370" i="13"/>
  <c r="G370" i="13"/>
  <c r="F370" i="13"/>
  <c r="E370" i="13"/>
  <c r="D370" i="13"/>
  <c r="C370" i="13"/>
  <c r="Z369" i="13"/>
  <c r="Y369" i="13"/>
  <c r="X369" i="13"/>
  <c r="W369" i="13"/>
  <c r="V369" i="13"/>
  <c r="U369" i="13"/>
  <c r="T369" i="13"/>
  <c r="S369" i="13"/>
  <c r="R369" i="13"/>
  <c r="Q369" i="13"/>
  <c r="P369" i="13"/>
  <c r="O369" i="13"/>
  <c r="N369" i="13"/>
  <c r="M369" i="13"/>
  <c r="L369" i="13"/>
  <c r="K369" i="13"/>
  <c r="J369" i="13"/>
  <c r="I369" i="13"/>
  <c r="H369" i="13"/>
  <c r="G369" i="13"/>
  <c r="F369" i="13"/>
  <c r="E369" i="13"/>
  <c r="D369" i="13"/>
  <c r="C369" i="13"/>
  <c r="Z368" i="13"/>
  <c r="Y368" i="13"/>
  <c r="X368" i="13"/>
  <c r="W368" i="13"/>
  <c r="V368" i="13"/>
  <c r="U368" i="13"/>
  <c r="T368" i="13"/>
  <c r="S368" i="13"/>
  <c r="R368" i="13"/>
  <c r="Q368" i="13"/>
  <c r="P368" i="13"/>
  <c r="O368" i="13"/>
  <c r="N368" i="13"/>
  <c r="M368" i="13"/>
  <c r="L368" i="13"/>
  <c r="K368" i="13"/>
  <c r="J368" i="13"/>
  <c r="I368" i="13"/>
  <c r="H368" i="13"/>
  <c r="G368" i="13"/>
  <c r="F368" i="13"/>
  <c r="E368" i="13"/>
  <c r="D368" i="13"/>
  <c r="C368" i="13"/>
  <c r="Z367" i="13"/>
  <c r="Y367" i="13"/>
  <c r="X367" i="13"/>
  <c r="W367" i="13"/>
  <c r="V367" i="13"/>
  <c r="U367" i="13"/>
  <c r="T367" i="13"/>
  <c r="S367" i="13"/>
  <c r="R367" i="13"/>
  <c r="Q367" i="13"/>
  <c r="P367" i="13"/>
  <c r="O367" i="13"/>
  <c r="N367" i="13"/>
  <c r="M367" i="13"/>
  <c r="L367" i="13"/>
  <c r="K367" i="13"/>
  <c r="J367" i="13"/>
  <c r="I367" i="13"/>
  <c r="H367" i="13"/>
  <c r="G367" i="13"/>
  <c r="F367" i="13"/>
  <c r="E367" i="13"/>
  <c r="D367" i="13"/>
  <c r="C367" i="13"/>
  <c r="Z366" i="13"/>
  <c r="Y366" i="13"/>
  <c r="X366" i="13"/>
  <c r="W366" i="13"/>
  <c r="V366" i="13"/>
  <c r="U366" i="13"/>
  <c r="T366" i="13"/>
  <c r="S366" i="13"/>
  <c r="R366" i="13"/>
  <c r="Q366" i="13"/>
  <c r="P366" i="13"/>
  <c r="O366" i="13"/>
  <c r="N366" i="13"/>
  <c r="M366" i="13"/>
  <c r="L366" i="13"/>
  <c r="K366" i="13"/>
  <c r="J366" i="13"/>
  <c r="I366" i="13"/>
  <c r="H366" i="13"/>
  <c r="G366" i="13"/>
  <c r="F366" i="13"/>
  <c r="E366" i="13"/>
  <c r="D366" i="13"/>
  <c r="C366" i="13"/>
  <c r="Z365" i="13"/>
  <c r="Y365" i="13"/>
  <c r="X365" i="13"/>
  <c r="W365" i="13"/>
  <c r="V365" i="13"/>
  <c r="U365" i="13"/>
  <c r="T365" i="13"/>
  <c r="S365" i="13"/>
  <c r="R365" i="13"/>
  <c r="Q365" i="13"/>
  <c r="P365" i="13"/>
  <c r="O365" i="13"/>
  <c r="N365" i="13"/>
  <c r="M365" i="13"/>
  <c r="L365" i="13"/>
  <c r="K365" i="13"/>
  <c r="J365" i="13"/>
  <c r="I365" i="13"/>
  <c r="H365" i="13"/>
  <c r="G365" i="13"/>
  <c r="F365" i="13"/>
  <c r="E365" i="13"/>
  <c r="D365" i="13"/>
  <c r="C365" i="13"/>
  <c r="Z364" i="13"/>
  <c r="Y364" i="13"/>
  <c r="X364" i="13"/>
  <c r="W364" i="13"/>
  <c r="V364" i="13"/>
  <c r="U364" i="13"/>
  <c r="T364" i="13"/>
  <c r="S364" i="13"/>
  <c r="R364" i="13"/>
  <c r="Q364" i="13"/>
  <c r="P364" i="13"/>
  <c r="O364" i="13"/>
  <c r="N364" i="13"/>
  <c r="M364" i="13"/>
  <c r="L364" i="13"/>
  <c r="K364" i="13"/>
  <c r="J364" i="13"/>
  <c r="I364" i="13"/>
  <c r="H364" i="13"/>
  <c r="G364" i="13"/>
  <c r="F364" i="13"/>
  <c r="E364" i="13"/>
  <c r="D364" i="13"/>
  <c r="C364" i="13"/>
  <c r="Z363" i="13"/>
  <c r="Y363" i="13"/>
  <c r="X363" i="13"/>
  <c r="W363" i="13"/>
  <c r="V363" i="13"/>
  <c r="U363" i="13"/>
  <c r="T363" i="13"/>
  <c r="S363" i="13"/>
  <c r="R363" i="13"/>
  <c r="Q363" i="13"/>
  <c r="P363" i="13"/>
  <c r="O363" i="13"/>
  <c r="N363" i="13"/>
  <c r="M363" i="13"/>
  <c r="L363" i="13"/>
  <c r="K363" i="13"/>
  <c r="J363" i="13"/>
  <c r="I363" i="13"/>
  <c r="H363" i="13"/>
  <c r="G363" i="13"/>
  <c r="F363" i="13"/>
  <c r="E363" i="13"/>
  <c r="D363" i="13"/>
  <c r="C363" i="13"/>
  <c r="Z362" i="13"/>
  <c r="Y362" i="13"/>
  <c r="X362" i="13"/>
  <c r="W362" i="13"/>
  <c r="V362" i="13"/>
  <c r="U362" i="13"/>
  <c r="T362" i="13"/>
  <c r="S362" i="13"/>
  <c r="R362" i="13"/>
  <c r="Q362" i="13"/>
  <c r="P362" i="13"/>
  <c r="O362" i="13"/>
  <c r="N362" i="13"/>
  <c r="M362" i="13"/>
  <c r="L362" i="13"/>
  <c r="K362" i="13"/>
  <c r="J362" i="13"/>
  <c r="I362" i="13"/>
  <c r="H362" i="13"/>
  <c r="G362" i="13"/>
  <c r="F362" i="13"/>
  <c r="E362" i="13"/>
  <c r="D362" i="13"/>
  <c r="C362" i="13"/>
  <c r="Z361" i="13"/>
  <c r="Y361" i="13"/>
  <c r="X361" i="13"/>
  <c r="W361" i="13"/>
  <c r="V361" i="13"/>
  <c r="U361" i="13"/>
  <c r="T361" i="13"/>
  <c r="S361" i="13"/>
  <c r="R361" i="13"/>
  <c r="Q361" i="13"/>
  <c r="P361" i="13"/>
  <c r="O361" i="13"/>
  <c r="N361" i="13"/>
  <c r="M361" i="13"/>
  <c r="L361" i="13"/>
  <c r="K361" i="13"/>
  <c r="J361" i="13"/>
  <c r="I361" i="13"/>
  <c r="H361" i="13"/>
  <c r="G361" i="13"/>
  <c r="F361" i="13"/>
  <c r="E361" i="13"/>
  <c r="D361" i="13"/>
  <c r="C361" i="13"/>
  <c r="Z360" i="13"/>
  <c r="Y360" i="13"/>
  <c r="X360" i="13"/>
  <c r="W360" i="13"/>
  <c r="V360" i="13"/>
  <c r="U360" i="13"/>
  <c r="T360" i="13"/>
  <c r="S360" i="13"/>
  <c r="R360" i="13"/>
  <c r="Q360" i="13"/>
  <c r="P360" i="13"/>
  <c r="O360" i="13"/>
  <c r="N360" i="13"/>
  <c r="M360" i="13"/>
  <c r="L360" i="13"/>
  <c r="K360" i="13"/>
  <c r="J360" i="13"/>
  <c r="I360" i="13"/>
  <c r="H360" i="13"/>
  <c r="G360" i="13"/>
  <c r="F360" i="13"/>
  <c r="E360" i="13"/>
  <c r="D360" i="13"/>
  <c r="C360" i="13"/>
  <c r="Z359" i="13"/>
  <c r="Y359" i="13"/>
  <c r="X359" i="13"/>
  <c r="W359" i="13"/>
  <c r="V359" i="13"/>
  <c r="U359" i="13"/>
  <c r="T359" i="13"/>
  <c r="S359" i="13"/>
  <c r="R359" i="13"/>
  <c r="Q359" i="13"/>
  <c r="P359" i="13"/>
  <c r="O359" i="13"/>
  <c r="N359" i="13"/>
  <c r="M359" i="13"/>
  <c r="L359" i="13"/>
  <c r="K359" i="13"/>
  <c r="J359" i="13"/>
  <c r="I359" i="13"/>
  <c r="H359" i="13"/>
  <c r="G359" i="13"/>
  <c r="F359" i="13"/>
  <c r="E359" i="13"/>
  <c r="D359" i="13"/>
  <c r="C359" i="13"/>
  <c r="Z358" i="13"/>
  <c r="Y358" i="13"/>
  <c r="X358" i="13"/>
  <c r="W358" i="13"/>
  <c r="V358" i="13"/>
  <c r="U358" i="13"/>
  <c r="T358" i="13"/>
  <c r="S358" i="13"/>
  <c r="R358" i="13"/>
  <c r="Q358" i="13"/>
  <c r="P358" i="13"/>
  <c r="O358" i="13"/>
  <c r="N358" i="13"/>
  <c r="M358" i="13"/>
  <c r="L358" i="13"/>
  <c r="K358" i="13"/>
  <c r="J358" i="13"/>
  <c r="I358" i="13"/>
  <c r="H358" i="13"/>
  <c r="G358" i="13"/>
  <c r="F358" i="13"/>
  <c r="E358" i="13"/>
  <c r="D358" i="13"/>
  <c r="C358" i="13"/>
  <c r="Z357" i="13"/>
  <c r="Y357" i="13"/>
  <c r="X357" i="13"/>
  <c r="W357" i="13"/>
  <c r="V357" i="13"/>
  <c r="U357" i="13"/>
  <c r="T357" i="13"/>
  <c r="S357" i="13"/>
  <c r="R357" i="13"/>
  <c r="Q357" i="13"/>
  <c r="P357" i="13"/>
  <c r="O357" i="13"/>
  <c r="N357" i="13"/>
  <c r="M357" i="13"/>
  <c r="L357" i="13"/>
  <c r="K357" i="13"/>
  <c r="J357" i="13"/>
  <c r="I357" i="13"/>
  <c r="H357" i="13"/>
  <c r="G357" i="13"/>
  <c r="F357" i="13"/>
  <c r="E357" i="13"/>
  <c r="D357" i="13"/>
  <c r="C357" i="13"/>
  <c r="Z356" i="13"/>
  <c r="Y356" i="13"/>
  <c r="X356" i="13"/>
  <c r="W356" i="13"/>
  <c r="V356" i="13"/>
  <c r="U356" i="13"/>
  <c r="T356" i="13"/>
  <c r="S356" i="13"/>
  <c r="R356" i="13"/>
  <c r="Q356" i="13"/>
  <c r="P356" i="13"/>
  <c r="O356" i="13"/>
  <c r="N356" i="13"/>
  <c r="M356" i="13"/>
  <c r="L356" i="13"/>
  <c r="K356" i="13"/>
  <c r="J356" i="13"/>
  <c r="I356" i="13"/>
  <c r="H356" i="13"/>
  <c r="G356" i="13"/>
  <c r="F356" i="13"/>
  <c r="E356" i="13"/>
  <c r="D356" i="13"/>
  <c r="C356" i="13"/>
  <c r="Z355" i="13"/>
  <c r="Y355" i="13"/>
  <c r="X355" i="13"/>
  <c r="W355" i="13"/>
  <c r="V355" i="13"/>
  <c r="U355" i="13"/>
  <c r="T355" i="13"/>
  <c r="S355" i="13"/>
  <c r="R355" i="13"/>
  <c r="Q355" i="13"/>
  <c r="P355" i="13"/>
  <c r="O355" i="13"/>
  <c r="N355" i="13"/>
  <c r="M355" i="13"/>
  <c r="L355" i="13"/>
  <c r="K355" i="13"/>
  <c r="J355" i="13"/>
  <c r="I355" i="13"/>
  <c r="H355" i="13"/>
  <c r="G355" i="13"/>
  <c r="F355" i="13"/>
  <c r="E355" i="13"/>
  <c r="D355" i="13"/>
  <c r="C355" i="13"/>
  <c r="Z354" i="13"/>
  <c r="Y354" i="13"/>
  <c r="X354" i="13"/>
  <c r="W354" i="13"/>
  <c r="V354" i="13"/>
  <c r="U354" i="13"/>
  <c r="T354" i="13"/>
  <c r="S354" i="13"/>
  <c r="R354" i="13"/>
  <c r="Q354" i="13"/>
  <c r="P354" i="13"/>
  <c r="O354" i="13"/>
  <c r="N354" i="13"/>
  <c r="M354" i="13"/>
  <c r="L354" i="13"/>
  <c r="K354" i="13"/>
  <c r="J354" i="13"/>
  <c r="I354" i="13"/>
  <c r="H354" i="13"/>
  <c r="G354" i="13"/>
  <c r="F354" i="13"/>
  <c r="E354" i="13"/>
  <c r="D354" i="13"/>
  <c r="C354" i="13"/>
  <c r="Z353" i="13"/>
  <c r="Y353" i="13"/>
  <c r="X353" i="13"/>
  <c r="W353" i="13"/>
  <c r="V353" i="13"/>
  <c r="U353" i="13"/>
  <c r="T353" i="13"/>
  <c r="S353" i="13"/>
  <c r="R353" i="13"/>
  <c r="Q353" i="13"/>
  <c r="P353" i="13"/>
  <c r="O353" i="13"/>
  <c r="N353" i="13"/>
  <c r="M353" i="13"/>
  <c r="L353" i="13"/>
  <c r="K353" i="13"/>
  <c r="J353" i="13"/>
  <c r="I353" i="13"/>
  <c r="H353" i="13"/>
  <c r="G353" i="13"/>
  <c r="F353" i="13"/>
  <c r="E353" i="13"/>
  <c r="D353" i="13"/>
  <c r="C353" i="13"/>
  <c r="Z352" i="13"/>
  <c r="Y352" i="13"/>
  <c r="X352" i="13"/>
  <c r="W352" i="13"/>
  <c r="V352" i="13"/>
  <c r="U352" i="13"/>
  <c r="T352" i="13"/>
  <c r="S352" i="13"/>
  <c r="R352" i="13"/>
  <c r="Q352" i="13"/>
  <c r="P352" i="13"/>
  <c r="O352" i="13"/>
  <c r="N352" i="13"/>
  <c r="M352" i="13"/>
  <c r="L352" i="13"/>
  <c r="K352" i="13"/>
  <c r="J352" i="13"/>
  <c r="I352" i="13"/>
  <c r="H352" i="13"/>
  <c r="G352" i="13"/>
  <c r="F352" i="13"/>
  <c r="E352" i="13"/>
  <c r="D352" i="13"/>
  <c r="C352" i="13"/>
  <c r="Z351" i="13"/>
  <c r="Y351" i="13"/>
  <c r="X351" i="13"/>
  <c r="W351" i="13"/>
  <c r="V351" i="13"/>
  <c r="U351" i="13"/>
  <c r="T351" i="13"/>
  <c r="S351" i="13"/>
  <c r="R351" i="13"/>
  <c r="Q351" i="13"/>
  <c r="P351" i="13"/>
  <c r="O351" i="13"/>
  <c r="N351" i="13"/>
  <c r="M351" i="13"/>
  <c r="L351" i="13"/>
  <c r="K351" i="13"/>
  <c r="J351" i="13"/>
  <c r="I351" i="13"/>
  <c r="H351" i="13"/>
  <c r="G351" i="13"/>
  <c r="F351" i="13"/>
  <c r="E351" i="13"/>
  <c r="D351" i="13"/>
  <c r="C351" i="13"/>
  <c r="Z350" i="13"/>
  <c r="Y350" i="13"/>
  <c r="X350" i="13"/>
  <c r="W350" i="13"/>
  <c r="V350" i="13"/>
  <c r="U350" i="13"/>
  <c r="T350" i="13"/>
  <c r="S350" i="13"/>
  <c r="R350" i="13"/>
  <c r="Q350" i="13"/>
  <c r="P350" i="13"/>
  <c r="O350" i="13"/>
  <c r="N350" i="13"/>
  <c r="M350" i="13"/>
  <c r="L350" i="13"/>
  <c r="K350" i="13"/>
  <c r="J350" i="13"/>
  <c r="I350" i="13"/>
  <c r="H350" i="13"/>
  <c r="G350" i="13"/>
  <c r="F350" i="13"/>
  <c r="E350" i="13"/>
  <c r="D350" i="13"/>
  <c r="C350" i="13"/>
  <c r="Z349" i="13"/>
  <c r="Y349" i="13"/>
  <c r="X349" i="13"/>
  <c r="W349" i="13"/>
  <c r="V349" i="13"/>
  <c r="U349" i="13"/>
  <c r="T349" i="13"/>
  <c r="S349" i="13"/>
  <c r="R349" i="13"/>
  <c r="Q349" i="13"/>
  <c r="P349" i="13"/>
  <c r="O349" i="13"/>
  <c r="N349" i="13"/>
  <c r="M349" i="13"/>
  <c r="L349" i="13"/>
  <c r="K349" i="13"/>
  <c r="J349" i="13"/>
  <c r="I349" i="13"/>
  <c r="H349" i="13"/>
  <c r="G349" i="13"/>
  <c r="F349" i="13"/>
  <c r="E349" i="13"/>
  <c r="D349" i="13"/>
  <c r="C349" i="13"/>
  <c r="Z348" i="13"/>
  <c r="Y348" i="13"/>
  <c r="X348" i="13"/>
  <c r="W348" i="13"/>
  <c r="V348" i="13"/>
  <c r="U348" i="13"/>
  <c r="T348" i="13"/>
  <c r="S348" i="13"/>
  <c r="R348" i="13"/>
  <c r="Q348" i="13"/>
  <c r="P348" i="13"/>
  <c r="O348" i="13"/>
  <c r="N348" i="13"/>
  <c r="M348" i="13"/>
  <c r="L348" i="13"/>
  <c r="K348" i="13"/>
  <c r="J348" i="13"/>
  <c r="I348" i="13"/>
  <c r="H348" i="13"/>
  <c r="G348" i="13"/>
  <c r="F348" i="13"/>
  <c r="E348" i="13"/>
  <c r="D348" i="13"/>
  <c r="C348" i="13"/>
  <c r="Z347" i="13"/>
  <c r="Y347" i="13"/>
  <c r="X347" i="13"/>
  <c r="W347" i="13"/>
  <c r="V347" i="13"/>
  <c r="U347" i="13"/>
  <c r="T347" i="13"/>
  <c r="S347" i="13"/>
  <c r="R347" i="13"/>
  <c r="Q347" i="13"/>
  <c r="P347" i="13"/>
  <c r="O347" i="13"/>
  <c r="N347" i="13"/>
  <c r="M347" i="13"/>
  <c r="L347" i="13"/>
  <c r="K347" i="13"/>
  <c r="J347" i="13"/>
  <c r="I347" i="13"/>
  <c r="H347" i="13"/>
  <c r="G347" i="13"/>
  <c r="F347" i="13"/>
  <c r="E347" i="13"/>
  <c r="D347" i="13"/>
  <c r="C347" i="13"/>
  <c r="Z346" i="13"/>
  <c r="Y346" i="13"/>
  <c r="X346" i="13"/>
  <c r="W346" i="13"/>
  <c r="V346" i="13"/>
  <c r="U346" i="13"/>
  <c r="T346" i="13"/>
  <c r="S346" i="13"/>
  <c r="R346" i="13"/>
  <c r="Q346" i="13"/>
  <c r="P346" i="13"/>
  <c r="O346" i="13"/>
  <c r="N346" i="13"/>
  <c r="M346" i="13"/>
  <c r="L346" i="13"/>
  <c r="K346" i="13"/>
  <c r="J346" i="13"/>
  <c r="I346" i="13"/>
  <c r="H346" i="13"/>
  <c r="G346" i="13"/>
  <c r="F346" i="13"/>
  <c r="E346" i="13"/>
  <c r="D346" i="13"/>
  <c r="C346" i="13"/>
  <c r="Z345" i="13"/>
  <c r="Y345" i="13"/>
  <c r="X345" i="13"/>
  <c r="W345" i="13"/>
  <c r="V345" i="13"/>
  <c r="U345" i="13"/>
  <c r="T345" i="13"/>
  <c r="S345" i="13"/>
  <c r="R345" i="13"/>
  <c r="Q345" i="13"/>
  <c r="P345" i="13"/>
  <c r="O345" i="13"/>
  <c r="N345" i="13"/>
  <c r="M345" i="13"/>
  <c r="L345" i="13"/>
  <c r="K345" i="13"/>
  <c r="J345" i="13"/>
  <c r="I345" i="13"/>
  <c r="H345" i="13"/>
  <c r="G345" i="13"/>
  <c r="F345" i="13"/>
  <c r="E345" i="13"/>
  <c r="D345" i="13"/>
  <c r="C345" i="13"/>
  <c r="Z344" i="13"/>
  <c r="Y344" i="13"/>
  <c r="X344" i="13"/>
  <c r="W344" i="13"/>
  <c r="V344" i="13"/>
  <c r="U344" i="13"/>
  <c r="T344" i="13"/>
  <c r="S344" i="13"/>
  <c r="R344" i="13"/>
  <c r="Q344" i="13"/>
  <c r="P344" i="13"/>
  <c r="O344" i="13"/>
  <c r="N344" i="13"/>
  <c r="M344" i="13"/>
  <c r="L344" i="13"/>
  <c r="K344" i="13"/>
  <c r="J344" i="13"/>
  <c r="I344" i="13"/>
  <c r="H344" i="13"/>
  <c r="G344" i="13"/>
  <c r="F344" i="13"/>
  <c r="E344" i="13"/>
  <c r="D344" i="13"/>
  <c r="C344" i="13"/>
  <c r="Z343" i="13"/>
  <c r="Y343" i="13"/>
  <c r="X343" i="13"/>
  <c r="W343" i="13"/>
  <c r="V343" i="13"/>
  <c r="U343" i="13"/>
  <c r="T343" i="13"/>
  <c r="S343" i="13"/>
  <c r="R343" i="13"/>
  <c r="Q343" i="13"/>
  <c r="P343" i="13"/>
  <c r="O343" i="13"/>
  <c r="N343" i="13"/>
  <c r="M343" i="13"/>
  <c r="L343" i="13"/>
  <c r="K343" i="13"/>
  <c r="J343" i="13"/>
  <c r="I343" i="13"/>
  <c r="H343" i="13"/>
  <c r="G343" i="13"/>
  <c r="F343" i="13"/>
  <c r="E343" i="13"/>
  <c r="D343" i="13"/>
  <c r="C343" i="13"/>
  <c r="Z342" i="13"/>
  <c r="Y342" i="13"/>
  <c r="X342" i="13"/>
  <c r="W342" i="13"/>
  <c r="V342" i="13"/>
  <c r="U342" i="13"/>
  <c r="T342" i="13"/>
  <c r="S342" i="13"/>
  <c r="R342" i="13"/>
  <c r="Q342" i="13"/>
  <c r="P342" i="13"/>
  <c r="O342" i="13"/>
  <c r="N342" i="13"/>
  <c r="M342" i="13"/>
  <c r="L342" i="13"/>
  <c r="K342" i="13"/>
  <c r="J342" i="13"/>
  <c r="I342" i="13"/>
  <c r="H342" i="13"/>
  <c r="G342" i="13"/>
  <c r="F342" i="13"/>
  <c r="E342" i="13"/>
  <c r="D342" i="13"/>
  <c r="C342" i="13"/>
  <c r="Z341" i="13"/>
  <c r="Y341" i="13"/>
  <c r="X341" i="13"/>
  <c r="W341" i="13"/>
  <c r="V341" i="13"/>
  <c r="U341" i="13"/>
  <c r="T341" i="13"/>
  <c r="S341" i="13"/>
  <c r="R341" i="13"/>
  <c r="Q341" i="13"/>
  <c r="P341" i="13"/>
  <c r="O341" i="13"/>
  <c r="N341" i="13"/>
  <c r="M341" i="13"/>
  <c r="L341" i="13"/>
  <c r="K341" i="13"/>
  <c r="J341" i="13"/>
  <c r="I341" i="13"/>
  <c r="H341" i="13"/>
  <c r="G341" i="13"/>
  <c r="F341" i="13"/>
  <c r="E341" i="13"/>
  <c r="D341" i="13"/>
  <c r="C341" i="13"/>
  <c r="Z340" i="13"/>
  <c r="Y340" i="13"/>
  <c r="X340" i="13"/>
  <c r="W340" i="13"/>
  <c r="V340" i="13"/>
  <c r="U340" i="13"/>
  <c r="T340" i="13"/>
  <c r="S340" i="13"/>
  <c r="R340" i="13"/>
  <c r="Q340" i="13"/>
  <c r="P340" i="13"/>
  <c r="O340" i="13"/>
  <c r="N340" i="13"/>
  <c r="M340" i="13"/>
  <c r="L340" i="13"/>
  <c r="K340" i="13"/>
  <c r="J340" i="13"/>
  <c r="I340" i="13"/>
  <c r="H340" i="13"/>
  <c r="G340" i="13"/>
  <c r="F340" i="13"/>
  <c r="E340" i="13"/>
  <c r="D340" i="13"/>
  <c r="C340" i="13"/>
  <c r="Z339" i="13"/>
  <c r="Y339" i="13"/>
  <c r="X339" i="13"/>
  <c r="W339" i="13"/>
  <c r="V339" i="13"/>
  <c r="U339" i="13"/>
  <c r="T339" i="13"/>
  <c r="S339" i="13"/>
  <c r="R339" i="13"/>
  <c r="Q339" i="13"/>
  <c r="P339" i="13"/>
  <c r="O339" i="13"/>
  <c r="N339" i="13"/>
  <c r="M339" i="13"/>
  <c r="L339" i="13"/>
  <c r="K339" i="13"/>
  <c r="J339" i="13"/>
  <c r="I339" i="13"/>
  <c r="H339" i="13"/>
  <c r="G339" i="13"/>
  <c r="F339" i="13"/>
  <c r="E339" i="13"/>
  <c r="D339" i="13"/>
  <c r="C339" i="13"/>
  <c r="Z338" i="13"/>
  <c r="Y338" i="13"/>
  <c r="X338" i="13"/>
  <c r="W338" i="13"/>
  <c r="V338" i="13"/>
  <c r="U338" i="13"/>
  <c r="T338" i="13"/>
  <c r="S338" i="13"/>
  <c r="R338" i="13"/>
  <c r="Q338" i="13"/>
  <c r="P338" i="13"/>
  <c r="O338" i="13"/>
  <c r="N338" i="13"/>
  <c r="M338" i="13"/>
  <c r="L338" i="13"/>
  <c r="K338" i="13"/>
  <c r="J338" i="13"/>
  <c r="I338" i="13"/>
  <c r="H338" i="13"/>
  <c r="G338" i="13"/>
  <c r="F338" i="13"/>
  <c r="E338" i="13"/>
  <c r="D338" i="13"/>
  <c r="C338" i="13"/>
  <c r="Z337" i="13"/>
  <c r="Y337" i="13"/>
  <c r="X337" i="13"/>
  <c r="W337" i="13"/>
  <c r="V337" i="13"/>
  <c r="U337" i="13"/>
  <c r="T337" i="13"/>
  <c r="S337" i="13"/>
  <c r="R337" i="13"/>
  <c r="Q337" i="13"/>
  <c r="P337" i="13"/>
  <c r="O337" i="13"/>
  <c r="N337" i="13"/>
  <c r="M337" i="13"/>
  <c r="L337" i="13"/>
  <c r="K337" i="13"/>
  <c r="J337" i="13"/>
  <c r="I337" i="13"/>
  <c r="H337" i="13"/>
  <c r="G337" i="13"/>
  <c r="F337" i="13"/>
  <c r="E337" i="13"/>
  <c r="D337" i="13"/>
  <c r="C337" i="13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N336" i="13"/>
  <c r="M336" i="13"/>
  <c r="L336" i="13"/>
  <c r="K336" i="13"/>
  <c r="J336" i="13"/>
  <c r="I336" i="13"/>
  <c r="H336" i="13"/>
  <c r="G336" i="13"/>
  <c r="F336" i="13"/>
  <c r="E336" i="13"/>
  <c r="D336" i="13"/>
  <c r="C336" i="13"/>
  <c r="Z335" i="13"/>
  <c r="Y335" i="13"/>
  <c r="X335" i="13"/>
  <c r="W335" i="13"/>
  <c r="V335" i="13"/>
  <c r="U335" i="13"/>
  <c r="T335" i="13"/>
  <c r="S335" i="13"/>
  <c r="R335" i="13"/>
  <c r="Q335" i="13"/>
  <c r="P335" i="13"/>
  <c r="O335" i="13"/>
  <c r="N335" i="13"/>
  <c r="M335" i="13"/>
  <c r="L335" i="13"/>
  <c r="K335" i="13"/>
  <c r="J335" i="13"/>
  <c r="I335" i="13"/>
  <c r="H335" i="13"/>
  <c r="G335" i="13"/>
  <c r="F335" i="13"/>
  <c r="E335" i="13"/>
  <c r="D335" i="13"/>
  <c r="C335" i="13"/>
  <c r="Z334" i="13"/>
  <c r="Y334" i="13"/>
  <c r="X334" i="13"/>
  <c r="W334" i="13"/>
  <c r="V334" i="13"/>
  <c r="U334" i="13"/>
  <c r="T334" i="13"/>
  <c r="S334" i="13"/>
  <c r="R334" i="13"/>
  <c r="Q334" i="13"/>
  <c r="P334" i="13"/>
  <c r="O334" i="13"/>
  <c r="N334" i="13"/>
  <c r="M334" i="13"/>
  <c r="L334" i="13"/>
  <c r="K334" i="13"/>
  <c r="J334" i="13"/>
  <c r="I334" i="13"/>
  <c r="H334" i="13"/>
  <c r="G334" i="13"/>
  <c r="F334" i="13"/>
  <c r="E334" i="13"/>
  <c r="D334" i="13"/>
  <c r="C334" i="13"/>
  <c r="Z333" i="13"/>
  <c r="Y333" i="13"/>
  <c r="X333" i="13"/>
  <c r="W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G333" i="13"/>
  <c r="F333" i="13"/>
  <c r="E333" i="13"/>
  <c r="D333" i="13"/>
  <c r="C333" i="13"/>
  <c r="Z332" i="13"/>
  <c r="Y332" i="13"/>
  <c r="X332" i="13"/>
  <c r="W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G332" i="13"/>
  <c r="F332" i="13"/>
  <c r="E332" i="13"/>
  <c r="D332" i="13"/>
  <c r="C332" i="13"/>
  <c r="Z331" i="13"/>
  <c r="Y331" i="13"/>
  <c r="X331" i="13"/>
  <c r="W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G331" i="13"/>
  <c r="F331" i="13"/>
  <c r="E331" i="13"/>
  <c r="D331" i="13"/>
  <c r="C331" i="13"/>
  <c r="Z330" i="13"/>
  <c r="Y330" i="13"/>
  <c r="X330" i="13"/>
  <c r="W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G330" i="13"/>
  <c r="F330" i="13"/>
  <c r="E330" i="13"/>
  <c r="D330" i="13"/>
  <c r="C330" i="13"/>
  <c r="Z329" i="13"/>
  <c r="Y329" i="13"/>
  <c r="X329" i="13"/>
  <c r="W329" i="13"/>
  <c r="V329" i="13"/>
  <c r="U329" i="13"/>
  <c r="T329" i="13"/>
  <c r="S329" i="13"/>
  <c r="R329" i="13"/>
  <c r="Q329" i="13"/>
  <c r="P329" i="13"/>
  <c r="O329" i="13"/>
  <c r="N329" i="13"/>
  <c r="M329" i="13"/>
  <c r="L329" i="13"/>
  <c r="K329" i="13"/>
  <c r="J329" i="13"/>
  <c r="I329" i="13"/>
  <c r="H329" i="13"/>
  <c r="G329" i="13"/>
  <c r="F329" i="13"/>
  <c r="E329" i="13"/>
  <c r="D329" i="13"/>
  <c r="C329" i="13"/>
  <c r="Z328" i="13"/>
  <c r="Y328" i="13"/>
  <c r="X328" i="13"/>
  <c r="W328" i="13"/>
  <c r="V328" i="13"/>
  <c r="U328" i="13"/>
  <c r="T328" i="13"/>
  <c r="S328" i="13"/>
  <c r="R328" i="13"/>
  <c r="Q328" i="13"/>
  <c r="P328" i="13"/>
  <c r="O328" i="13"/>
  <c r="N328" i="13"/>
  <c r="M328" i="13"/>
  <c r="L328" i="13"/>
  <c r="K328" i="13"/>
  <c r="J328" i="13"/>
  <c r="I328" i="13"/>
  <c r="H328" i="13"/>
  <c r="G328" i="13"/>
  <c r="F328" i="13"/>
  <c r="E328" i="13"/>
  <c r="D328" i="13"/>
  <c r="C328" i="13"/>
  <c r="Z327" i="13"/>
  <c r="Y327" i="13"/>
  <c r="X327" i="13"/>
  <c r="W327" i="13"/>
  <c r="V327" i="13"/>
  <c r="U327" i="13"/>
  <c r="T327" i="13"/>
  <c r="S327" i="13"/>
  <c r="R327" i="13"/>
  <c r="Q327" i="13"/>
  <c r="P327" i="13"/>
  <c r="O327" i="13"/>
  <c r="N327" i="13"/>
  <c r="M327" i="13"/>
  <c r="L327" i="13"/>
  <c r="K327" i="13"/>
  <c r="J327" i="13"/>
  <c r="I327" i="13"/>
  <c r="H327" i="13"/>
  <c r="G327" i="13"/>
  <c r="F327" i="13"/>
  <c r="E327" i="13"/>
  <c r="D327" i="13"/>
  <c r="C327" i="13"/>
  <c r="Z326" i="13"/>
  <c r="Y326" i="13"/>
  <c r="X326" i="13"/>
  <c r="W326" i="13"/>
  <c r="V326" i="13"/>
  <c r="U326" i="13"/>
  <c r="T326" i="13"/>
  <c r="S326" i="13"/>
  <c r="R326" i="13"/>
  <c r="Q326" i="13"/>
  <c r="P326" i="13"/>
  <c r="O326" i="13"/>
  <c r="N326" i="13"/>
  <c r="M326" i="13"/>
  <c r="L326" i="13"/>
  <c r="K326" i="13"/>
  <c r="J326" i="13"/>
  <c r="I326" i="13"/>
  <c r="H326" i="13"/>
  <c r="G326" i="13"/>
  <c r="F326" i="13"/>
  <c r="E326" i="13"/>
  <c r="D326" i="13"/>
  <c r="C326" i="13"/>
  <c r="Z325" i="13"/>
  <c r="Y325" i="13"/>
  <c r="X325" i="13"/>
  <c r="W325" i="13"/>
  <c r="V325" i="13"/>
  <c r="U325" i="13"/>
  <c r="T325" i="13"/>
  <c r="S325" i="13"/>
  <c r="R325" i="13"/>
  <c r="Q325" i="13"/>
  <c r="P325" i="13"/>
  <c r="O325" i="13"/>
  <c r="N325" i="13"/>
  <c r="M325" i="13"/>
  <c r="L325" i="13"/>
  <c r="K325" i="13"/>
  <c r="J325" i="13"/>
  <c r="I325" i="13"/>
  <c r="H325" i="13"/>
  <c r="G325" i="13"/>
  <c r="F325" i="13"/>
  <c r="E325" i="13"/>
  <c r="D325" i="13"/>
  <c r="C325" i="13"/>
  <c r="Z324" i="13"/>
  <c r="Y324" i="13"/>
  <c r="X324" i="13"/>
  <c r="W324" i="13"/>
  <c r="V324" i="13"/>
  <c r="U324" i="13"/>
  <c r="T324" i="13"/>
  <c r="S324" i="13"/>
  <c r="R324" i="13"/>
  <c r="Q324" i="13"/>
  <c r="P324" i="13"/>
  <c r="O324" i="13"/>
  <c r="N324" i="13"/>
  <c r="M324" i="13"/>
  <c r="L324" i="13"/>
  <c r="K324" i="13"/>
  <c r="J324" i="13"/>
  <c r="I324" i="13"/>
  <c r="H324" i="13"/>
  <c r="G324" i="13"/>
  <c r="F324" i="13"/>
  <c r="E324" i="13"/>
  <c r="D324" i="13"/>
  <c r="C324" i="13"/>
  <c r="Z323" i="13"/>
  <c r="Y323" i="13"/>
  <c r="X323" i="13"/>
  <c r="W323" i="13"/>
  <c r="V323" i="13"/>
  <c r="U323" i="13"/>
  <c r="T323" i="13"/>
  <c r="S323" i="13"/>
  <c r="R323" i="13"/>
  <c r="Q323" i="13"/>
  <c r="P323" i="13"/>
  <c r="O323" i="13"/>
  <c r="N323" i="13"/>
  <c r="M323" i="13"/>
  <c r="L323" i="13"/>
  <c r="K323" i="13"/>
  <c r="J323" i="13"/>
  <c r="I323" i="13"/>
  <c r="H323" i="13"/>
  <c r="G323" i="13"/>
  <c r="F323" i="13"/>
  <c r="E323" i="13"/>
  <c r="D323" i="13"/>
  <c r="C323" i="13"/>
  <c r="Z322" i="13"/>
  <c r="Y322" i="13"/>
  <c r="X322" i="13"/>
  <c r="W322" i="13"/>
  <c r="V322" i="13"/>
  <c r="U322" i="13"/>
  <c r="T322" i="13"/>
  <c r="S322" i="13"/>
  <c r="R322" i="13"/>
  <c r="Q322" i="13"/>
  <c r="P322" i="13"/>
  <c r="O322" i="13"/>
  <c r="N322" i="13"/>
  <c r="M322" i="13"/>
  <c r="L322" i="13"/>
  <c r="K322" i="13"/>
  <c r="J322" i="13"/>
  <c r="I322" i="13"/>
  <c r="H322" i="13"/>
  <c r="G322" i="13"/>
  <c r="F322" i="13"/>
  <c r="E322" i="13"/>
  <c r="D322" i="13"/>
  <c r="C322" i="13"/>
  <c r="Z321" i="13"/>
  <c r="Y321" i="13"/>
  <c r="X321" i="13"/>
  <c r="W321" i="13"/>
  <c r="V321" i="13"/>
  <c r="U321" i="13"/>
  <c r="T321" i="13"/>
  <c r="S321" i="13"/>
  <c r="R321" i="13"/>
  <c r="Q321" i="13"/>
  <c r="P321" i="13"/>
  <c r="O321" i="13"/>
  <c r="N321" i="13"/>
  <c r="M321" i="13"/>
  <c r="L321" i="13"/>
  <c r="K321" i="13"/>
  <c r="J321" i="13"/>
  <c r="I321" i="13"/>
  <c r="H321" i="13"/>
  <c r="G321" i="13"/>
  <c r="F321" i="13"/>
  <c r="E321" i="13"/>
  <c r="D321" i="13"/>
  <c r="C321" i="13"/>
  <c r="Z320" i="13"/>
  <c r="Y320" i="13"/>
  <c r="X320" i="13"/>
  <c r="W320" i="13"/>
  <c r="V320" i="13"/>
  <c r="U320" i="13"/>
  <c r="T320" i="13"/>
  <c r="S320" i="13"/>
  <c r="R320" i="13"/>
  <c r="Q320" i="13"/>
  <c r="P320" i="13"/>
  <c r="O320" i="13"/>
  <c r="N320" i="13"/>
  <c r="M320" i="13"/>
  <c r="L320" i="13"/>
  <c r="K320" i="13"/>
  <c r="J320" i="13"/>
  <c r="I320" i="13"/>
  <c r="H320" i="13"/>
  <c r="G320" i="13"/>
  <c r="F320" i="13"/>
  <c r="E320" i="13"/>
  <c r="D320" i="13"/>
  <c r="C320" i="13"/>
  <c r="Z319" i="13"/>
  <c r="Y319" i="13"/>
  <c r="X319" i="13"/>
  <c r="W319" i="13"/>
  <c r="V319" i="13"/>
  <c r="U319" i="13"/>
  <c r="T319" i="13"/>
  <c r="S319" i="13"/>
  <c r="R319" i="13"/>
  <c r="Q319" i="13"/>
  <c r="P319" i="13"/>
  <c r="O319" i="13"/>
  <c r="N319" i="13"/>
  <c r="M319" i="13"/>
  <c r="L319" i="13"/>
  <c r="K319" i="13"/>
  <c r="J319" i="13"/>
  <c r="I319" i="13"/>
  <c r="H319" i="13"/>
  <c r="G319" i="13"/>
  <c r="F319" i="13"/>
  <c r="E319" i="13"/>
  <c r="D319" i="13"/>
  <c r="C319" i="13"/>
  <c r="Z318" i="13"/>
  <c r="Y318" i="13"/>
  <c r="X318" i="13"/>
  <c r="W318" i="13"/>
  <c r="V318" i="13"/>
  <c r="U318" i="13"/>
  <c r="T318" i="13"/>
  <c r="S318" i="13"/>
  <c r="R318" i="13"/>
  <c r="Q318" i="13"/>
  <c r="P318" i="13"/>
  <c r="O318" i="13"/>
  <c r="N318" i="13"/>
  <c r="M318" i="13"/>
  <c r="L318" i="13"/>
  <c r="K318" i="13"/>
  <c r="J318" i="13"/>
  <c r="I318" i="13"/>
  <c r="H318" i="13"/>
  <c r="G318" i="13"/>
  <c r="F318" i="13"/>
  <c r="E318" i="13"/>
  <c r="D318" i="13"/>
  <c r="C318" i="13"/>
  <c r="Z317" i="13"/>
  <c r="Y317" i="13"/>
  <c r="X317" i="13"/>
  <c r="W317" i="13"/>
  <c r="V317" i="13"/>
  <c r="U317" i="13"/>
  <c r="T317" i="13"/>
  <c r="S317" i="13"/>
  <c r="R317" i="13"/>
  <c r="Q317" i="13"/>
  <c r="P317" i="13"/>
  <c r="O317" i="13"/>
  <c r="N317" i="13"/>
  <c r="M317" i="13"/>
  <c r="L317" i="13"/>
  <c r="K317" i="13"/>
  <c r="J317" i="13"/>
  <c r="I317" i="13"/>
  <c r="H317" i="13"/>
  <c r="G317" i="13"/>
  <c r="F317" i="13"/>
  <c r="E317" i="13"/>
  <c r="D317" i="13"/>
  <c r="C317" i="13"/>
  <c r="Z316" i="13"/>
  <c r="Y316" i="13"/>
  <c r="X316" i="13"/>
  <c r="W316" i="13"/>
  <c r="V316" i="13"/>
  <c r="U316" i="13"/>
  <c r="T316" i="13"/>
  <c r="S316" i="13"/>
  <c r="R316" i="13"/>
  <c r="Q316" i="13"/>
  <c r="P316" i="13"/>
  <c r="O316" i="13"/>
  <c r="N316" i="13"/>
  <c r="M316" i="13"/>
  <c r="L316" i="13"/>
  <c r="K316" i="13"/>
  <c r="J316" i="13"/>
  <c r="I316" i="13"/>
  <c r="H316" i="13"/>
  <c r="G316" i="13"/>
  <c r="F316" i="13"/>
  <c r="E316" i="13"/>
  <c r="D316" i="13"/>
  <c r="C316" i="13"/>
  <c r="Z315" i="13"/>
  <c r="Y315" i="13"/>
  <c r="X315" i="13"/>
  <c r="W315" i="13"/>
  <c r="V315" i="13"/>
  <c r="U315" i="13"/>
  <c r="T315" i="13"/>
  <c r="S315" i="13"/>
  <c r="R315" i="13"/>
  <c r="Q315" i="13"/>
  <c r="P315" i="13"/>
  <c r="O315" i="13"/>
  <c r="N315" i="13"/>
  <c r="M315" i="13"/>
  <c r="L315" i="13"/>
  <c r="K315" i="13"/>
  <c r="J315" i="13"/>
  <c r="I315" i="13"/>
  <c r="H315" i="13"/>
  <c r="G315" i="13"/>
  <c r="F315" i="13"/>
  <c r="E315" i="13"/>
  <c r="D315" i="13"/>
  <c r="C315" i="13"/>
  <c r="Z314" i="13"/>
  <c r="Y314" i="13"/>
  <c r="X314" i="13"/>
  <c r="W314" i="13"/>
  <c r="V314" i="13"/>
  <c r="U314" i="13"/>
  <c r="T314" i="13"/>
  <c r="S314" i="13"/>
  <c r="R314" i="13"/>
  <c r="Q314" i="13"/>
  <c r="P314" i="13"/>
  <c r="O314" i="13"/>
  <c r="N314" i="13"/>
  <c r="M314" i="13"/>
  <c r="L314" i="13"/>
  <c r="K314" i="13"/>
  <c r="J314" i="13"/>
  <c r="I314" i="13"/>
  <c r="H314" i="13"/>
  <c r="G314" i="13"/>
  <c r="F314" i="13"/>
  <c r="E314" i="13"/>
  <c r="D314" i="13"/>
  <c r="C314" i="13"/>
  <c r="Z313" i="13"/>
  <c r="Y313" i="13"/>
  <c r="X313" i="13"/>
  <c r="W313" i="13"/>
  <c r="V313" i="13"/>
  <c r="U313" i="13"/>
  <c r="T313" i="13"/>
  <c r="S313" i="13"/>
  <c r="R313" i="13"/>
  <c r="Q313" i="13"/>
  <c r="P313" i="13"/>
  <c r="O313" i="13"/>
  <c r="N313" i="13"/>
  <c r="M313" i="13"/>
  <c r="L313" i="13"/>
  <c r="K313" i="13"/>
  <c r="J313" i="13"/>
  <c r="I313" i="13"/>
  <c r="H313" i="13"/>
  <c r="G313" i="13"/>
  <c r="F313" i="13"/>
  <c r="E313" i="13"/>
  <c r="D313" i="13"/>
  <c r="C313" i="13"/>
  <c r="Z312" i="13"/>
  <c r="Y312" i="13"/>
  <c r="X312" i="13"/>
  <c r="W312" i="13"/>
  <c r="V312" i="13"/>
  <c r="U312" i="13"/>
  <c r="T312" i="13"/>
  <c r="S312" i="13"/>
  <c r="R312" i="13"/>
  <c r="Q312" i="13"/>
  <c r="P312" i="13"/>
  <c r="O312" i="13"/>
  <c r="N312" i="13"/>
  <c r="M312" i="13"/>
  <c r="L312" i="13"/>
  <c r="K312" i="13"/>
  <c r="J312" i="13"/>
  <c r="I312" i="13"/>
  <c r="H312" i="13"/>
  <c r="G312" i="13"/>
  <c r="F312" i="13"/>
  <c r="E312" i="13"/>
  <c r="D312" i="13"/>
  <c r="C312" i="13"/>
  <c r="Z311" i="13"/>
  <c r="Y311" i="13"/>
  <c r="X311" i="13"/>
  <c r="W311" i="13"/>
  <c r="V311" i="13"/>
  <c r="U311" i="13"/>
  <c r="T311" i="13"/>
  <c r="S311" i="13"/>
  <c r="R311" i="13"/>
  <c r="Q311" i="13"/>
  <c r="P311" i="13"/>
  <c r="O311" i="13"/>
  <c r="N311" i="13"/>
  <c r="M311" i="13"/>
  <c r="L311" i="13"/>
  <c r="K311" i="13"/>
  <c r="J311" i="13"/>
  <c r="I311" i="13"/>
  <c r="H311" i="13"/>
  <c r="G311" i="13"/>
  <c r="F311" i="13"/>
  <c r="E311" i="13"/>
  <c r="D311" i="13"/>
  <c r="C311" i="13"/>
  <c r="Z310" i="13"/>
  <c r="Y310" i="13"/>
  <c r="X310" i="13"/>
  <c r="W310" i="13"/>
  <c r="V310" i="13"/>
  <c r="U310" i="13"/>
  <c r="T310" i="13"/>
  <c r="S310" i="13"/>
  <c r="R310" i="13"/>
  <c r="Q310" i="13"/>
  <c r="P310" i="13"/>
  <c r="O310" i="13"/>
  <c r="N310" i="13"/>
  <c r="M310" i="13"/>
  <c r="L310" i="13"/>
  <c r="K310" i="13"/>
  <c r="J310" i="13"/>
  <c r="I310" i="13"/>
  <c r="H310" i="13"/>
  <c r="G310" i="13"/>
  <c r="F310" i="13"/>
  <c r="E310" i="13"/>
  <c r="D310" i="13"/>
  <c r="C310" i="13"/>
  <c r="Z309" i="13"/>
  <c r="Y309" i="13"/>
  <c r="X309" i="13"/>
  <c r="W309" i="13"/>
  <c r="V309" i="13"/>
  <c r="U309" i="13"/>
  <c r="T309" i="13"/>
  <c r="S309" i="13"/>
  <c r="R309" i="13"/>
  <c r="Q309" i="13"/>
  <c r="P309" i="13"/>
  <c r="O309" i="13"/>
  <c r="N309" i="13"/>
  <c r="M309" i="13"/>
  <c r="L309" i="13"/>
  <c r="K309" i="13"/>
  <c r="J309" i="13"/>
  <c r="I309" i="13"/>
  <c r="H309" i="13"/>
  <c r="G309" i="13"/>
  <c r="F309" i="13"/>
  <c r="E309" i="13"/>
  <c r="D309" i="13"/>
  <c r="C309" i="13"/>
  <c r="Z308" i="13"/>
  <c r="Y308" i="13"/>
  <c r="X308" i="13"/>
  <c r="W308" i="13"/>
  <c r="V308" i="13"/>
  <c r="U308" i="13"/>
  <c r="T308" i="13"/>
  <c r="S308" i="13"/>
  <c r="R308" i="13"/>
  <c r="Q308" i="13"/>
  <c r="P308" i="13"/>
  <c r="O308" i="13"/>
  <c r="N308" i="13"/>
  <c r="M308" i="13"/>
  <c r="L308" i="13"/>
  <c r="K308" i="13"/>
  <c r="J308" i="13"/>
  <c r="I308" i="13"/>
  <c r="H308" i="13"/>
  <c r="G308" i="13"/>
  <c r="F308" i="13"/>
  <c r="E308" i="13"/>
  <c r="D308" i="13"/>
  <c r="C308" i="13"/>
  <c r="Z307" i="13"/>
  <c r="Y307" i="13"/>
  <c r="X307" i="13"/>
  <c r="W307" i="13"/>
  <c r="V307" i="13"/>
  <c r="U307" i="13"/>
  <c r="T307" i="13"/>
  <c r="S307" i="13"/>
  <c r="R307" i="13"/>
  <c r="Q307" i="13"/>
  <c r="P307" i="13"/>
  <c r="O307" i="13"/>
  <c r="N307" i="13"/>
  <c r="M307" i="13"/>
  <c r="L307" i="13"/>
  <c r="K307" i="13"/>
  <c r="J307" i="13"/>
  <c r="I307" i="13"/>
  <c r="H307" i="13"/>
  <c r="G307" i="13"/>
  <c r="F307" i="13"/>
  <c r="E307" i="13"/>
  <c r="D307" i="13"/>
  <c r="C307" i="13"/>
  <c r="Z306" i="13"/>
  <c r="Y306" i="13"/>
  <c r="X306" i="13"/>
  <c r="W306" i="13"/>
  <c r="V306" i="13"/>
  <c r="U306" i="13"/>
  <c r="T306" i="13"/>
  <c r="S306" i="13"/>
  <c r="R306" i="13"/>
  <c r="Q306" i="13"/>
  <c r="P306" i="13"/>
  <c r="O306" i="13"/>
  <c r="N306" i="13"/>
  <c r="M306" i="13"/>
  <c r="L306" i="13"/>
  <c r="K306" i="13"/>
  <c r="J306" i="13"/>
  <c r="I306" i="13"/>
  <c r="H306" i="13"/>
  <c r="G306" i="13"/>
  <c r="F306" i="13"/>
  <c r="E306" i="13"/>
  <c r="D306" i="13"/>
  <c r="C306" i="13"/>
  <c r="Z305" i="13"/>
  <c r="Y305" i="13"/>
  <c r="X305" i="13"/>
  <c r="W305" i="13"/>
  <c r="V305" i="13"/>
  <c r="U305" i="13"/>
  <c r="T305" i="13"/>
  <c r="S305" i="13"/>
  <c r="R305" i="13"/>
  <c r="Q305" i="13"/>
  <c r="P305" i="13"/>
  <c r="O305" i="13"/>
  <c r="N305" i="13"/>
  <c r="M305" i="13"/>
  <c r="L305" i="13"/>
  <c r="K305" i="13"/>
  <c r="J305" i="13"/>
  <c r="I305" i="13"/>
  <c r="H305" i="13"/>
  <c r="G305" i="13"/>
  <c r="F305" i="13"/>
  <c r="E305" i="13"/>
  <c r="D305" i="13"/>
  <c r="C305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F304" i="13"/>
  <c r="E304" i="13"/>
  <c r="D304" i="13"/>
  <c r="C304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F303" i="13"/>
  <c r="E303" i="13"/>
  <c r="D303" i="13"/>
  <c r="C303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F302" i="13"/>
  <c r="E302" i="13"/>
  <c r="D302" i="13"/>
  <c r="C302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F301" i="13"/>
  <c r="E301" i="13"/>
  <c r="D301" i="13"/>
  <c r="C301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F300" i="13"/>
  <c r="E300" i="13"/>
  <c r="D300" i="13"/>
  <c r="C300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9" i="13"/>
  <c r="E299" i="13"/>
  <c r="D299" i="13"/>
  <c r="C299" i="13"/>
  <c r="Z298" i="13"/>
  <c r="Y298" i="13"/>
  <c r="X298" i="13"/>
  <c r="W298" i="13"/>
  <c r="V298" i="13"/>
  <c r="U298" i="13"/>
  <c r="T298" i="13"/>
  <c r="S298" i="13"/>
  <c r="R298" i="13"/>
  <c r="Q298" i="13"/>
  <c r="P298" i="13"/>
  <c r="O298" i="13"/>
  <c r="N298" i="13"/>
  <c r="M298" i="13"/>
  <c r="L298" i="13"/>
  <c r="K298" i="13"/>
  <c r="J298" i="13"/>
  <c r="I298" i="13"/>
  <c r="H298" i="13"/>
  <c r="G298" i="13"/>
  <c r="F298" i="13"/>
  <c r="E298" i="13"/>
  <c r="D298" i="13"/>
  <c r="C298" i="13"/>
  <c r="Z297" i="13"/>
  <c r="Y297" i="13"/>
  <c r="X297" i="13"/>
  <c r="W297" i="13"/>
  <c r="V297" i="13"/>
  <c r="U297" i="13"/>
  <c r="T297" i="13"/>
  <c r="S297" i="13"/>
  <c r="R297" i="13"/>
  <c r="Q297" i="13"/>
  <c r="P297" i="13"/>
  <c r="O297" i="13"/>
  <c r="N297" i="13"/>
  <c r="M297" i="13"/>
  <c r="L297" i="13"/>
  <c r="K297" i="13"/>
  <c r="J297" i="13"/>
  <c r="I297" i="13"/>
  <c r="H297" i="13"/>
  <c r="G297" i="13"/>
  <c r="F297" i="13"/>
  <c r="E297" i="13"/>
  <c r="D297" i="13"/>
  <c r="C297" i="13"/>
  <c r="Z296" i="13"/>
  <c r="Y296" i="13"/>
  <c r="X296" i="13"/>
  <c r="W296" i="13"/>
  <c r="V296" i="13"/>
  <c r="U296" i="13"/>
  <c r="T296" i="13"/>
  <c r="S296" i="13"/>
  <c r="R296" i="13"/>
  <c r="Q296" i="13"/>
  <c r="P296" i="13"/>
  <c r="O296" i="13"/>
  <c r="N296" i="13"/>
  <c r="M296" i="13"/>
  <c r="L296" i="13"/>
  <c r="K296" i="13"/>
  <c r="J296" i="13"/>
  <c r="I296" i="13"/>
  <c r="H296" i="13"/>
  <c r="G296" i="13"/>
  <c r="F296" i="13"/>
  <c r="E296" i="13"/>
  <c r="D296" i="13"/>
  <c r="C296" i="13"/>
  <c r="Z295" i="13"/>
  <c r="Y295" i="13"/>
  <c r="X295" i="13"/>
  <c r="W295" i="13"/>
  <c r="V295" i="13"/>
  <c r="U295" i="13"/>
  <c r="T295" i="13"/>
  <c r="S295" i="13"/>
  <c r="R295" i="13"/>
  <c r="Q295" i="13"/>
  <c r="P295" i="13"/>
  <c r="O295" i="13"/>
  <c r="N295" i="13"/>
  <c r="M295" i="13"/>
  <c r="L295" i="13"/>
  <c r="K295" i="13"/>
  <c r="J295" i="13"/>
  <c r="I295" i="13"/>
  <c r="H295" i="13"/>
  <c r="G295" i="13"/>
  <c r="F295" i="13"/>
  <c r="E295" i="13"/>
  <c r="D295" i="13"/>
  <c r="C295" i="13"/>
  <c r="Z294" i="13"/>
  <c r="Y294" i="13"/>
  <c r="X294" i="13"/>
  <c r="W294" i="13"/>
  <c r="V294" i="13"/>
  <c r="U294" i="13"/>
  <c r="T294" i="13"/>
  <c r="S294" i="13"/>
  <c r="R294" i="13"/>
  <c r="Q294" i="13"/>
  <c r="P294" i="13"/>
  <c r="O294" i="13"/>
  <c r="N294" i="13"/>
  <c r="M294" i="13"/>
  <c r="L294" i="13"/>
  <c r="K294" i="13"/>
  <c r="J294" i="13"/>
  <c r="I294" i="13"/>
  <c r="H294" i="13"/>
  <c r="G294" i="13"/>
  <c r="F294" i="13"/>
  <c r="E294" i="13"/>
  <c r="D294" i="13"/>
  <c r="C294" i="13"/>
  <c r="Z293" i="13"/>
  <c r="Y293" i="13"/>
  <c r="X293" i="13"/>
  <c r="W293" i="13"/>
  <c r="V293" i="13"/>
  <c r="U293" i="13"/>
  <c r="T293" i="13"/>
  <c r="S293" i="13"/>
  <c r="R293" i="13"/>
  <c r="Q293" i="13"/>
  <c r="P293" i="13"/>
  <c r="O293" i="13"/>
  <c r="N293" i="13"/>
  <c r="M293" i="13"/>
  <c r="L293" i="13"/>
  <c r="K293" i="13"/>
  <c r="J293" i="13"/>
  <c r="I293" i="13"/>
  <c r="H293" i="13"/>
  <c r="G293" i="13"/>
  <c r="F293" i="13"/>
  <c r="E293" i="13"/>
  <c r="D293" i="13"/>
  <c r="C293" i="13"/>
  <c r="Z292" i="13"/>
  <c r="Y292" i="13"/>
  <c r="X292" i="13"/>
  <c r="W292" i="13"/>
  <c r="V292" i="13"/>
  <c r="U292" i="13"/>
  <c r="T292" i="13"/>
  <c r="S292" i="13"/>
  <c r="R292" i="13"/>
  <c r="Q292" i="13"/>
  <c r="P292" i="13"/>
  <c r="O292" i="13"/>
  <c r="N292" i="13"/>
  <c r="M292" i="13"/>
  <c r="L292" i="13"/>
  <c r="K292" i="13"/>
  <c r="J292" i="13"/>
  <c r="I292" i="13"/>
  <c r="H292" i="13"/>
  <c r="G292" i="13"/>
  <c r="F292" i="13"/>
  <c r="E292" i="13"/>
  <c r="D292" i="13"/>
  <c r="C292" i="13"/>
  <c r="Z291" i="13"/>
  <c r="Y291" i="13"/>
  <c r="X291" i="13"/>
  <c r="W291" i="13"/>
  <c r="V291" i="13"/>
  <c r="U291" i="13"/>
  <c r="T291" i="13"/>
  <c r="S291" i="13"/>
  <c r="R291" i="13"/>
  <c r="Q291" i="13"/>
  <c r="P291" i="13"/>
  <c r="O291" i="13"/>
  <c r="N291" i="13"/>
  <c r="M291" i="13"/>
  <c r="L291" i="13"/>
  <c r="K291" i="13"/>
  <c r="J291" i="13"/>
  <c r="I291" i="13"/>
  <c r="H291" i="13"/>
  <c r="G291" i="13"/>
  <c r="F291" i="13"/>
  <c r="E291" i="13"/>
  <c r="D291" i="13"/>
  <c r="C291" i="13"/>
  <c r="Z290" i="13"/>
  <c r="Y290" i="13"/>
  <c r="X290" i="13"/>
  <c r="W290" i="13"/>
  <c r="V290" i="13"/>
  <c r="U290" i="13"/>
  <c r="T290" i="13"/>
  <c r="S290" i="13"/>
  <c r="R290" i="13"/>
  <c r="Q290" i="13"/>
  <c r="P290" i="13"/>
  <c r="O290" i="13"/>
  <c r="N290" i="13"/>
  <c r="M290" i="13"/>
  <c r="L290" i="13"/>
  <c r="K290" i="13"/>
  <c r="J290" i="13"/>
  <c r="I290" i="13"/>
  <c r="H290" i="13"/>
  <c r="G290" i="13"/>
  <c r="F290" i="13"/>
  <c r="E290" i="13"/>
  <c r="D290" i="13"/>
  <c r="C290" i="13"/>
  <c r="Z289" i="13"/>
  <c r="Y289" i="13"/>
  <c r="X289" i="13"/>
  <c r="W289" i="13"/>
  <c r="V289" i="13"/>
  <c r="U289" i="13"/>
  <c r="T289" i="13"/>
  <c r="S289" i="13"/>
  <c r="R289" i="13"/>
  <c r="Q289" i="13"/>
  <c r="P289" i="13"/>
  <c r="O289" i="13"/>
  <c r="N289" i="13"/>
  <c r="M289" i="13"/>
  <c r="L289" i="13"/>
  <c r="K289" i="13"/>
  <c r="J289" i="13"/>
  <c r="I289" i="13"/>
  <c r="H289" i="13"/>
  <c r="G289" i="13"/>
  <c r="F289" i="13"/>
  <c r="E289" i="13"/>
  <c r="D289" i="13"/>
  <c r="C289" i="13"/>
  <c r="Z288" i="13"/>
  <c r="Y288" i="13"/>
  <c r="X288" i="13"/>
  <c r="W288" i="13"/>
  <c r="V288" i="13"/>
  <c r="U288" i="13"/>
  <c r="T288" i="13"/>
  <c r="S288" i="13"/>
  <c r="R288" i="13"/>
  <c r="Q288" i="13"/>
  <c r="P288" i="13"/>
  <c r="O288" i="13"/>
  <c r="N288" i="13"/>
  <c r="M288" i="13"/>
  <c r="L288" i="13"/>
  <c r="K288" i="13"/>
  <c r="J288" i="13"/>
  <c r="I288" i="13"/>
  <c r="H288" i="13"/>
  <c r="G288" i="13"/>
  <c r="F288" i="13"/>
  <c r="E288" i="13"/>
  <c r="D288" i="13"/>
  <c r="C288" i="13"/>
  <c r="Z287" i="13"/>
  <c r="Y287" i="13"/>
  <c r="X287" i="13"/>
  <c r="W287" i="13"/>
  <c r="V287" i="13"/>
  <c r="U287" i="13"/>
  <c r="T287" i="13"/>
  <c r="S287" i="13"/>
  <c r="R287" i="13"/>
  <c r="Q287" i="13"/>
  <c r="P287" i="13"/>
  <c r="O287" i="13"/>
  <c r="N287" i="13"/>
  <c r="M287" i="13"/>
  <c r="L287" i="13"/>
  <c r="K287" i="13"/>
  <c r="J287" i="13"/>
  <c r="I287" i="13"/>
  <c r="H287" i="13"/>
  <c r="G287" i="13"/>
  <c r="F287" i="13"/>
  <c r="E287" i="13"/>
  <c r="D287" i="13"/>
  <c r="C287" i="13"/>
  <c r="Z286" i="13"/>
  <c r="Y286" i="13"/>
  <c r="X286" i="13"/>
  <c r="W286" i="13"/>
  <c r="V286" i="13"/>
  <c r="U286" i="13"/>
  <c r="T286" i="13"/>
  <c r="S286" i="13"/>
  <c r="R286" i="13"/>
  <c r="Q286" i="13"/>
  <c r="P286" i="13"/>
  <c r="O286" i="13"/>
  <c r="N286" i="13"/>
  <c r="M286" i="13"/>
  <c r="L286" i="13"/>
  <c r="K286" i="13"/>
  <c r="J286" i="13"/>
  <c r="I286" i="13"/>
  <c r="H286" i="13"/>
  <c r="G286" i="13"/>
  <c r="F286" i="13"/>
  <c r="E286" i="13"/>
  <c r="D286" i="13"/>
  <c r="C286" i="13"/>
  <c r="Z285" i="13"/>
  <c r="Y285" i="13"/>
  <c r="X285" i="13"/>
  <c r="W285" i="13"/>
  <c r="V285" i="13"/>
  <c r="U285" i="13"/>
  <c r="T285" i="13"/>
  <c r="S285" i="13"/>
  <c r="R285" i="13"/>
  <c r="Q285" i="13"/>
  <c r="P285" i="13"/>
  <c r="O285" i="13"/>
  <c r="N285" i="13"/>
  <c r="M285" i="13"/>
  <c r="L285" i="13"/>
  <c r="K285" i="13"/>
  <c r="J285" i="13"/>
  <c r="I285" i="13"/>
  <c r="H285" i="13"/>
  <c r="G285" i="13"/>
  <c r="F285" i="13"/>
  <c r="E285" i="13"/>
  <c r="D285" i="13"/>
  <c r="C285" i="13"/>
  <c r="Z284" i="13"/>
  <c r="Y284" i="13"/>
  <c r="X284" i="13"/>
  <c r="W284" i="13"/>
  <c r="V284" i="13"/>
  <c r="U284" i="13"/>
  <c r="T284" i="13"/>
  <c r="S284" i="13"/>
  <c r="R284" i="13"/>
  <c r="Q284" i="13"/>
  <c r="P284" i="13"/>
  <c r="O284" i="13"/>
  <c r="N284" i="13"/>
  <c r="M284" i="13"/>
  <c r="L284" i="13"/>
  <c r="K284" i="13"/>
  <c r="J284" i="13"/>
  <c r="I284" i="13"/>
  <c r="H284" i="13"/>
  <c r="G284" i="13"/>
  <c r="F284" i="13"/>
  <c r="E284" i="13"/>
  <c r="D284" i="13"/>
  <c r="C284" i="13"/>
  <c r="Z283" i="13"/>
  <c r="Y283" i="13"/>
  <c r="X283" i="13"/>
  <c r="W283" i="13"/>
  <c r="V283" i="13"/>
  <c r="U283" i="13"/>
  <c r="T283" i="13"/>
  <c r="S283" i="13"/>
  <c r="R283" i="13"/>
  <c r="Q283" i="13"/>
  <c r="P283" i="13"/>
  <c r="O283" i="13"/>
  <c r="N283" i="13"/>
  <c r="M283" i="13"/>
  <c r="L283" i="13"/>
  <c r="K283" i="13"/>
  <c r="J283" i="13"/>
  <c r="I283" i="13"/>
  <c r="H283" i="13"/>
  <c r="G283" i="13"/>
  <c r="F283" i="13"/>
  <c r="E283" i="13"/>
  <c r="D283" i="13"/>
  <c r="C283" i="13"/>
  <c r="Z282" i="13"/>
  <c r="Y282" i="13"/>
  <c r="X282" i="13"/>
  <c r="W282" i="13"/>
  <c r="V282" i="13"/>
  <c r="U282" i="13"/>
  <c r="T282" i="13"/>
  <c r="S282" i="13"/>
  <c r="R282" i="13"/>
  <c r="Q282" i="13"/>
  <c r="P282" i="13"/>
  <c r="O282" i="13"/>
  <c r="N282" i="13"/>
  <c r="M282" i="13"/>
  <c r="L282" i="13"/>
  <c r="K282" i="13"/>
  <c r="J282" i="13"/>
  <c r="I282" i="13"/>
  <c r="H282" i="13"/>
  <c r="G282" i="13"/>
  <c r="F282" i="13"/>
  <c r="E282" i="13"/>
  <c r="D282" i="13"/>
  <c r="C282" i="13"/>
  <c r="Z281" i="13"/>
  <c r="Y281" i="13"/>
  <c r="X281" i="13"/>
  <c r="W281" i="13"/>
  <c r="V281" i="13"/>
  <c r="U281" i="13"/>
  <c r="T281" i="13"/>
  <c r="S281" i="13"/>
  <c r="R281" i="13"/>
  <c r="Q281" i="13"/>
  <c r="P281" i="13"/>
  <c r="O281" i="13"/>
  <c r="N281" i="13"/>
  <c r="M281" i="13"/>
  <c r="L281" i="13"/>
  <c r="K281" i="13"/>
  <c r="J281" i="13"/>
  <c r="I281" i="13"/>
  <c r="H281" i="13"/>
  <c r="G281" i="13"/>
  <c r="F281" i="13"/>
  <c r="E281" i="13"/>
  <c r="D281" i="13"/>
  <c r="C281" i="13"/>
  <c r="Z280" i="13"/>
  <c r="Y280" i="13"/>
  <c r="X280" i="13"/>
  <c r="W280" i="13"/>
  <c r="V280" i="13"/>
  <c r="U280" i="13"/>
  <c r="T280" i="13"/>
  <c r="S280" i="13"/>
  <c r="R280" i="13"/>
  <c r="Q280" i="13"/>
  <c r="P280" i="13"/>
  <c r="O280" i="13"/>
  <c r="N280" i="13"/>
  <c r="M280" i="13"/>
  <c r="L280" i="13"/>
  <c r="K280" i="13"/>
  <c r="J280" i="13"/>
  <c r="I280" i="13"/>
  <c r="H280" i="13"/>
  <c r="G280" i="13"/>
  <c r="F280" i="13"/>
  <c r="E280" i="13"/>
  <c r="D280" i="13"/>
  <c r="C280" i="13"/>
  <c r="Z279" i="13"/>
  <c r="Y279" i="13"/>
  <c r="X279" i="13"/>
  <c r="W279" i="13"/>
  <c r="V279" i="13"/>
  <c r="U279" i="13"/>
  <c r="T279" i="13"/>
  <c r="S279" i="13"/>
  <c r="R279" i="13"/>
  <c r="Q279" i="13"/>
  <c r="P279" i="13"/>
  <c r="O279" i="13"/>
  <c r="N279" i="13"/>
  <c r="M279" i="13"/>
  <c r="L279" i="13"/>
  <c r="K279" i="13"/>
  <c r="J279" i="13"/>
  <c r="I279" i="13"/>
  <c r="H279" i="13"/>
  <c r="G279" i="13"/>
  <c r="F279" i="13"/>
  <c r="E279" i="13"/>
  <c r="D279" i="13"/>
  <c r="C279" i="13"/>
  <c r="Z278" i="13"/>
  <c r="Y278" i="13"/>
  <c r="X278" i="13"/>
  <c r="W278" i="13"/>
  <c r="V278" i="13"/>
  <c r="U278" i="13"/>
  <c r="T278" i="13"/>
  <c r="S278" i="13"/>
  <c r="R278" i="13"/>
  <c r="Q278" i="13"/>
  <c r="P278" i="13"/>
  <c r="O278" i="13"/>
  <c r="N278" i="13"/>
  <c r="M278" i="13"/>
  <c r="L278" i="13"/>
  <c r="K278" i="13"/>
  <c r="J278" i="13"/>
  <c r="I278" i="13"/>
  <c r="H278" i="13"/>
  <c r="G278" i="13"/>
  <c r="F278" i="13"/>
  <c r="E278" i="13"/>
  <c r="D278" i="13"/>
  <c r="C278" i="13"/>
  <c r="Z277" i="13"/>
  <c r="Y277" i="13"/>
  <c r="X277" i="13"/>
  <c r="W277" i="13"/>
  <c r="V277" i="13"/>
  <c r="U277" i="13"/>
  <c r="T277" i="13"/>
  <c r="S277" i="13"/>
  <c r="R277" i="13"/>
  <c r="Q277" i="13"/>
  <c r="P277" i="13"/>
  <c r="O277" i="13"/>
  <c r="N277" i="13"/>
  <c r="M277" i="13"/>
  <c r="L277" i="13"/>
  <c r="K277" i="13"/>
  <c r="J277" i="13"/>
  <c r="I277" i="13"/>
  <c r="H277" i="13"/>
  <c r="G277" i="13"/>
  <c r="F277" i="13"/>
  <c r="E277" i="13"/>
  <c r="D277" i="13"/>
  <c r="C277" i="13"/>
  <c r="Z276" i="13"/>
  <c r="Y276" i="13"/>
  <c r="X276" i="13"/>
  <c r="W276" i="13"/>
  <c r="V276" i="13"/>
  <c r="U276" i="13"/>
  <c r="T276" i="13"/>
  <c r="S276" i="13"/>
  <c r="R276" i="13"/>
  <c r="Q276" i="13"/>
  <c r="P276" i="13"/>
  <c r="O276" i="13"/>
  <c r="N276" i="13"/>
  <c r="M276" i="13"/>
  <c r="L276" i="13"/>
  <c r="K276" i="13"/>
  <c r="J276" i="13"/>
  <c r="I276" i="13"/>
  <c r="H276" i="13"/>
  <c r="G276" i="13"/>
  <c r="F276" i="13"/>
  <c r="E276" i="13"/>
  <c r="D276" i="13"/>
  <c r="C276" i="13"/>
  <c r="Z275" i="13"/>
  <c r="Y275" i="13"/>
  <c r="X275" i="13"/>
  <c r="W275" i="13"/>
  <c r="V275" i="13"/>
  <c r="U275" i="13"/>
  <c r="T275" i="13"/>
  <c r="S275" i="13"/>
  <c r="R275" i="13"/>
  <c r="Q275" i="13"/>
  <c r="P275" i="13"/>
  <c r="O275" i="13"/>
  <c r="N275" i="13"/>
  <c r="M275" i="13"/>
  <c r="L275" i="13"/>
  <c r="K275" i="13"/>
  <c r="J275" i="13"/>
  <c r="I275" i="13"/>
  <c r="H275" i="13"/>
  <c r="G275" i="13"/>
  <c r="F275" i="13"/>
  <c r="E275" i="13"/>
  <c r="D275" i="13"/>
  <c r="C275" i="13"/>
  <c r="Z274" i="13"/>
  <c r="Y274" i="13"/>
  <c r="X274" i="13"/>
  <c r="W274" i="13"/>
  <c r="V274" i="13"/>
  <c r="U274" i="13"/>
  <c r="T274" i="13"/>
  <c r="S274" i="13"/>
  <c r="R274" i="13"/>
  <c r="Q274" i="13"/>
  <c r="P274" i="13"/>
  <c r="O274" i="13"/>
  <c r="N274" i="13"/>
  <c r="M274" i="13"/>
  <c r="L274" i="13"/>
  <c r="K274" i="13"/>
  <c r="J274" i="13"/>
  <c r="I274" i="13"/>
  <c r="H274" i="13"/>
  <c r="G274" i="13"/>
  <c r="F274" i="13"/>
  <c r="E274" i="13"/>
  <c r="D274" i="13"/>
  <c r="C274" i="13"/>
  <c r="Z273" i="13"/>
  <c r="Y273" i="13"/>
  <c r="X273" i="13"/>
  <c r="W273" i="13"/>
  <c r="V273" i="13"/>
  <c r="U273" i="13"/>
  <c r="T273" i="13"/>
  <c r="S273" i="13"/>
  <c r="R273" i="13"/>
  <c r="Q273" i="13"/>
  <c r="P273" i="13"/>
  <c r="O273" i="13"/>
  <c r="N273" i="13"/>
  <c r="M273" i="13"/>
  <c r="L273" i="13"/>
  <c r="K273" i="13"/>
  <c r="J273" i="13"/>
  <c r="I273" i="13"/>
  <c r="H273" i="13"/>
  <c r="G273" i="13"/>
  <c r="F273" i="13"/>
  <c r="E273" i="13"/>
  <c r="D273" i="13"/>
  <c r="C273" i="13"/>
  <c r="Z272" i="13"/>
  <c r="Y272" i="13"/>
  <c r="X272" i="13"/>
  <c r="W272" i="13"/>
  <c r="V272" i="13"/>
  <c r="U272" i="13"/>
  <c r="T272" i="13"/>
  <c r="S272" i="13"/>
  <c r="R272" i="13"/>
  <c r="Q272" i="13"/>
  <c r="P272" i="13"/>
  <c r="O272" i="13"/>
  <c r="N272" i="13"/>
  <c r="M272" i="13"/>
  <c r="L272" i="13"/>
  <c r="K272" i="13"/>
  <c r="J272" i="13"/>
  <c r="I272" i="13"/>
  <c r="H272" i="13"/>
  <c r="G272" i="13"/>
  <c r="F272" i="13"/>
  <c r="E272" i="13"/>
  <c r="D272" i="13"/>
  <c r="C272" i="13"/>
  <c r="Z271" i="13"/>
  <c r="Y271" i="13"/>
  <c r="X271" i="13"/>
  <c r="W271" i="13"/>
  <c r="V271" i="13"/>
  <c r="U271" i="13"/>
  <c r="T271" i="13"/>
  <c r="S271" i="13"/>
  <c r="R271" i="13"/>
  <c r="Q271" i="13"/>
  <c r="P271" i="13"/>
  <c r="O271" i="13"/>
  <c r="N271" i="13"/>
  <c r="M271" i="13"/>
  <c r="L271" i="13"/>
  <c r="K271" i="13"/>
  <c r="J271" i="13"/>
  <c r="I271" i="13"/>
  <c r="H271" i="13"/>
  <c r="G271" i="13"/>
  <c r="F271" i="13"/>
  <c r="E271" i="13"/>
  <c r="D271" i="13"/>
  <c r="C271" i="13"/>
  <c r="Z270" i="13"/>
  <c r="Y270" i="13"/>
  <c r="X270" i="13"/>
  <c r="W270" i="13"/>
  <c r="V270" i="13"/>
  <c r="U270" i="13"/>
  <c r="T270" i="13"/>
  <c r="S270" i="13"/>
  <c r="R270" i="13"/>
  <c r="Q270" i="13"/>
  <c r="P270" i="13"/>
  <c r="O270" i="13"/>
  <c r="N270" i="13"/>
  <c r="M270" i="13"/>
  <c r="L270" i="13"/>
  <c r="K270" i="13"/>
  <c r="J270" i="13"/>
  <c r="I270" i="13"/>
  <c r="H270" i="13"/>
  <c r="G270" i="13"/>
  <c r="F270" i="13"/>
  <c r="E270" i="13"/>
  <c r="D270" i="13"/>
  <c r="C270" i="13"/>
  <c r="Z269" i="13"/>
  <c r="Y269" i="13"/>
  <c r="X269" i="13"/>
  <c r="W269" i="13"/>
  <c r="V269" i="13"/>
  <c r="U269" i="13"/>
  <c r="T269" i="13"/>
  <c r="S269" i="13"/>
  <c r="R269" i="13"/>
  <c r="Q269" i="13"/>
  <c r="P269" i="13"/>
  <c r="O269" i="13"/>
  <c r="N269" i="13"/>
  <c r="M269" i="13"/>
  <c r="L269" i="13"/>
  <c r="K269" i="13"/>
  <c r="J269" i="13"/>
  <c r="I269" i="13"/>
  <c r="H269" i="13"/>
  <c r="G269" i="13"/>
  <c r="F269" i="13"/>
  <c r="E269" i="13"/>
  <c r="D269" i="13"/>
  <c r="C269" i="13"/>
  <c r="Z268" i="13"/>
  <c r="Y268" i="13"/>
  <c r="X268" i="13"/>
  <c r="W268" i="13"/>
  <c r="V268" i="13"/>
  <c r="U268" i="13"/>
  <c r="T268" i="13"/>
  <c r="S268" i="13"/>
  <c r="R268" i="13"/>
  <c r="Q268" i="13"/>
  <c r="P268" i="13"/>
  <c r="O268" i="13"/>
  <c r="N268" i="13"/>
  <c r="M268" i="13"/>
  <c r="L268" i="13"/>
  <c r="K268" i="13"/>
  <c r="J268" i="13"/>
  <c r="I268" i="13"/>
  <c r="H268" i="13"/>
  <c r="G268" i="13"/>
  <c r="F268" i="13"/>
  <c r="E268" i="13"/>
  <c r="D268" i="13"/>
  <c r="C268" i="13"/>
  <c r="Z267" i="13"/>
  <c r="Y267" i="13"/>
  <c r="X267" i="13"/>
  <c r="W267" i="13"/>
  <c r="V267" i="13"/>
  <c r="U267" i="13"/>
  <c r="T267" i="13"/>
  <c r="S267" i="13"/>
  <c r="R267" i="13"/>
  <c r="Q267" i="13"/>
  <c r="P267" i="13"/>
  <c r="O267" i="13"/>
  <c r="N267" i="13"/>
  <c r="M267" i="13"/>
  <c r="L267" i="13"/>
  <c r="K267" i="13"/>
  <c r="J267" i="13"/>
  <c r="I267" i="13"/>
  <c r="H267" i="13"/>
  <c r="G267" i="13"/>
  <c r="F267" i="13"/>
  <c r="E267" i="13"/>
  <c r="D267" i="13"/>
  <c r="C267" i="13"/>
  <c r="Z266" i="13"/>
  <c r="Y266" i="13"/>
  <c r="X266" i="13"/>
  <c r="W266" i="13"/>
  <c r="V266" i="13"/>
  <c r="U266" i="13"/>
  <c r="T266" i="13"/>
  <c r="S266" i="13"/>
  <c r="R266" i="13"/>
  <c r="Q266" i="13"/>
  <c r="P266" i="13"/>
  <c r="O266" i="13"/>
  <c r="N266" i="13"/>
  <c r="M266" i="13"/>
  <c r="L266" i="13"/>
  <c r="K266" i="13"/>
  <c r="J266" i="13"/>
  <c r="I266" i="13"/>
  <c r="H266" i="13"/>
  <c r="G266" i="13"/>
  <c r="F266" i="13"/>
  <c r="E266" i="13"/>
  <c r="D266" i="13"/>
  <c r="C266" i="13"/>
  <c r="Z265" i="13"/>
  <c r="Y265" i="13"/>
  <c r="X265" i="13"/>
  <c r="W265" i="13"/>
  <c r="V265" i="13"/>
  <c r="U265" i="13"/>
  <c r="T265" i="13"/>
  <c r="S265" i="13"/>
  <c r="R265" i="13"/>
  <c r="Q265" i="13"/>
  <c r="P265" i="13"/>
  <c r="O265" i="13"/>
  <c r="N265" i="13"/>
  <c r="M265" i="13"/>
  <c r="L265" i="13"/>
  <c r="K265" i="13"/>
  <c r="J265" i="13"/>
  <c r="I265" i="13"/>
  <c r="H265" i="13"/>
  <c r="G265" i="13"/>
  <c r="F265" i="13"/>
  <c r="E265" i="13"/>
  <c r="D265" i="13"/>
  <c r="C265" i="13"/>
  <c r="Z264" i="13"/>
  <c r="Y264" i="13"/>
  <c r="X264" i="13"/>
  <c r="W264" i="13"/>
  <c r="V264" i="13"/>
  <c r="U264" i="13"/>
  <c r="T264" i="13"/>
  <c r="S264" i="13"/>
  <c r="R264" i="13"/>
  <c r="Q264" i="13"/>
  <c r="P264" i="13"/>
  <c r="O264" i="13"/>
  <c r="N264" i="13"/>
  <c r="M264" i="13"/>
  <c r="L264" i="13"/>
  <c r="K264" i="13"/>
  <c r="J264" i="13"/>
  <c r="I264" i="13"/>
  <c r="H264" i="13"/>
  <c r="G264" i="13"/>
  <c r="F264" i="13"/>
  <c r="E264" i="13"/>
  <c r="D264" i="13"/>
  <c r="C264" i="13"/>
  <c r="Z263" i="13"/>
  <c r="Y263" i="13"/>
  <c r="X263" i="13"/>
  <c r="W263" i="13"/>
  <c r="V263" i="13"/>
  <c r="U263" i="13"/>
  <c r="T263" i="13"/>
  <c r="S263" i="13"/>
  <c r="R263" i="13"/>
  <c r="Q263" i="13"/>
  <c r="P263" i="13"/>
  <c r="O263" i="13"/>
  <c r="N263" i="13"/>
  <c r="M263" i="13"/>
  <c r="L263" i="13"/>
  <c r="K263" i="13"/>
  <c r="J263" i="13"/>
  <c r="I263" i="13"/>
  <c r="H263" i="13"/>
  <c r="G263" i="13"/>
  <c r="F263" i="13"/>
  <c r="E263" i="13"/>
  <c r="D263" i="13"/>
  <c r="C263" i="13"/>
  <c r="Z262" i="13"/>
  <c r="Y262" i="13"/>
  <c r="X262" i="13"/>
  <c r="W262" i="13"/>
  <c r="V262" i="13"/>
  <c r="U262" i="13"/>
  <c r="T262" i="13"/>
  <c r="S262" i="13"/>
  <c r="R262" i="13"/>
  <c r="Q262" i="13"/>
  <c r="P262" i="13"/>
  <c r="O262" i="13"/>
  <c r="N262" i="13"/>
  <c r="M262" i="13"/>
  <c r="L262" i="13"/>
  <c r="K262" i="13"/>
  <c r="J262" i="13"/>
  <c r="I262" i="13"/>
  <c r="H262" i="13"/>
  <c r="G262" i="13"/>
  <c r="F262" i="13"/>
  <c r="E262" i="13"/>
  <c r="D262" i="13"/>
  <c r="C262" i="13"/>
  <c r="Z261" i="13"/>
  <c r="Y261" i="13"/>
  <c r="X261" i="13"/>
  <c r="W261" i="13"/>
  <c r="V261" i="13"/>
  <c r="U261" i="13"/>
  <c r="T261" i="13"/>
  <c r="S261" i="13"/>
  <c r="R261" i="13"/>
  <c r="Q261" i="13"/>
  <c r="P261" i="13"/>
  <c r="O261" i="13"/>
  <c r="N261" i="13"/>
  <c r="M261" i="13"/>
  <c r="L261" i="13"/>
  <c r="K261" i="13"/>
  <c r="J261" i="13"/>
  <c r="I261" i="13"/>
  <c r="H261" i="13"/>
  <c r="G261" i="13"/>
  <c r="F261" i="13"/>
  <c r="E261" i="13"/>
  <c r="D261" i="13"/>
  <c r="C261" i="13"/>
  <c r="Z260" i="13"/>
  <c r="Y260" i="13"/>
  <c r="X260" i="13"/>
  <c r="W260" i="13"/>
  <c r="V260" i="13"/>
  <c r="U260" i="13"/>
  <c r="T260" i="13"/>
  <c r="S260" i="13"/>
  <c r="R260" i="13"/>
  <c r="Q260" i="13"/>
  <c r="P260" i="13"/>
  <c r="O260" i="13"/>
  <c r="N260" i="13"/>
  <c r="M260" i="13"/>
  <c r="L260" i="13"/>
  <c r="K260" i="13"/>
  <c r="J260" i="13"/>
  <c r="I260" i="13"/>
  <c r="H260" i="13"/>
  <c r="G260" i="13"/>
  <c r="F260" i="13"/>
  <c r="E260" i="13"/>
  <c r="D260" i="13"/>
  <c r="C260" i="13"/>
  <c r="Z259" i="13"/>
  <c r="Y259" i="13"/>
  <c r="X259" i="13"/>
  <c r="W259" i="13"/>
  <c r="V259" i="13"/>
  <c r="U259" i="13"/>
  <c r="T259" i="13"/>
  <c r="S259" i="13"/>
  <c r="R259" i="13"/>
  <c r="Q259" i="13"/>
  <c r="P259" i="13"/>
  <c r="O259" i="13"/>
  <c r="N259" i="13"/>
  <c r="M259" i="13"/>
  <c r="L259" i="13"/>
  <c r="K259" i="13"/>
  <c r="J259" i="13"/>
  <c r="I259" i="13"/>
  <c r="H259" i="13"/>
  <c r="G259" i="13"/>
  <c r="F259" i="13"/>
  <c r="E259" i="13"/>
  <c r="D259" i="13"/>
  <c r="C259" i="13"/>
  <c r="Z258" i="13"/>
  <c r="Y258" i="13"/>
  <c r="X258" i="13"/>
  <c r="W258" i="13"/>
  <c r="V258" i="13"/>
  <c r="U258" i="13"/>
  <c r="T258" i="13"/>
  <c r="S258" i="13"/>
  <c r="R258" i="13"/>
  <c r="Q258" i="13"/>
  <c r="P258" i="13"/>
  <c r="O258" i="13"/>
  <c r="N258" i="13"/>
  <c r="M258" i="13"/>
  <c r="L258" i="13"/>
  <c r="K258" i="13"/>
  <c r="J258" i="13"/>
  <c r="I258" i="13"/>
  <c r="H258" i="13"/>
  <c r="G258" i="13"/>
  <c r="F258" i="13"/>
  <c r="E258" i="13"/>
  <c r="D258" i="13"/>
  <c r="C258" i="13"/>
  <c r="Z257" i="13"/>
  <c r="Y257" i="13"/>
  <c r="X257" i="13"/>
  <c r="W257" i="13"/>
  <c r="V257" i="13"/>
  <c r="U257" i="13"/>
  <c r="T257" i="13"/>
  <c r="S257" i="13"/>
  <c r="R257" i="13"/>
  <c r="Q257" i="13"/>
  <c r="P257" i="13"/>
  <c r="O257" i="13"/>
  <c r="N257" i="13"/>
  <c r="M257" i="13"/>
  <c r="L257" i="13"/>
  <c r="K257" i="13"/>
  <c r="J257" i="13"/>
  <c r="I257" i="13"/>
  <c r="H257" i="13"/>
  <c r="G257" i="13"/>
  <c r="F257" i="13"/>
  <c r="E257" i="13"/>
  <c r="D257" i="13"/>
  <c r="C257" i="13"/>
  <c r="Z256" i="13"/>
  <c r="Y256" i="13"/>
  <c r="X256" i="13"/>
  <c r="W256" i="13"/>
  <c r="V256" i="13"/>
  <c r="U256" i="13"/>
  <c r="T256" i="13"/>
  <c r="S256" i="13"/>
  <c r="R256" i="13"/>
  <c r="Q256" i="13"/>
  <c r="P256" i="13"/>
  <c r="O256" i="13"/>
  <c r="N256" i="13"/>
  <c r="M256" i="13"/>
  <c r="L256" i="13"/>
  <c r="K256" i="13"/>
  <c r="J256" i="13"/>
  <c r="I256" i="13"/>
  <c r="H256" i="13"/>
  <c r="G256" i="13"/>
  <c r="F256" i="13"/>
  <c r="E256" i="13"/>
  <c r="D256" i="13"/>
  <c r="C256" i="13"/>
  <c r="Z255" i="13"/>
  <c r="Y255" i="13"/>
  <c r="X255" i="13"/>
  <c r="W255" i="13"/>
  <c r="V255" i="13"/>
  <c r="U255" i="13"/>
  <c r="T255" i="13"/>
  <c r="S255" i="13"/>
  <c r="R255" i="13"/>
  <c r="Q255" i="13"/>
  <c r="P255" i="13"/>
  <c r="O255" i="13"/>
  <c r="N255" i="13"/>
  <c r="M255" i="13"/>
  <c r="L255" i="13"/>
  <c r="K255" i="13"/>
  <c r="J255" i="13"/>
  <c r="I255" i="13"/>
  <c r="H255" i="13"/>
  <c r="G255" i="13"/>
  <c r="F255" i="13"/>
  <c r="E255" i="13"/>
  <c r="D255" i="13"/>
  <c r="C255" i="13"/>
  <c r="Z254" i="13"/>
  <c r="Y254" i="13"/>
  <c r="X254" i="13"/>
  <c r="W254" i="13"/>
  <c r="V254" i="13"/>
  <c r="U254" i="13"/>
  <c r="T254" i="13"/>
  <c r="S254" i="13"/>
  <c r="R254" i="13"/>
  <c r="Q254" i="13"/>
  <c r="P254" i="13"/>
  <c r="O254" i="13"/>
  <c r="N254" i="13"/>
  <c r="M254" i="13"/>
  <c r="L254" i="13"/>
  <c r="K254" i="13"/>
  <c r="J254" i="13"/>
  <c r="I254" i="13"/>
  <c r="H254" i="13"/>
  <c r="G254" i="13"/>
  <c r="F254" i="13"/>
  <c r="E254" i="13"/>
  <c r="D254" i="13"/>
  <c r="C254" i="13"/>
  <c r="Z253" i="13"/>
  <c r="Y253" i="13"/>
  <c r="X253" i="13"/>
  <c r="W253" i="13"/>
  <c r="V253" i="13"/>
  <c r="U253" i="13"/>
  <c r="T253" i="13"/>
  <c r="S253" i="13"/>
  <c r="R253" i="13"/>
  <c r="Q253" i="13"/>
  <c r="P253" i="13"/>
  <c r="O253" i="13"/>
  <c r="N253" i="13"/>
  <c r="M253" i="13"/>
  <c r="L253" i="13"/>
  <c r="K253" i="13"/>
  <c r="J253" i="13"/>
  <c r="I253" i="13"/>
  <c r="H253" i="13"/>
  <c r="G253" i="13"/>
  <c r="F253" i="13"/>
  <c r="E253" i="13"/>
  <c r="D253" i="13"/>
  <c r="C253" i="13"/>
  <c r="Z252" i="13"/>
  <c r="Y252" i="13"/>
  <c r="X252" i="13"/>
  <c r="W252" i="13"/>
  <c r="V252" i="13"/>
  <c r="U252" i="13"/>
  <c r="T252" i="13"/>
  <c r="S252" i="13"/>
  <c r="R252" i="13"/>
  <c r="Q252" i="13"/>
  <c r="P252" i="13"/>
  <c r="O252" i="13"/>
  <c r="N252" i="13"/>
  <c r="M252" i="13"/>
  <c r="L252" i="13"/>
  <c r="K252" i="13"/>
  <c r="J252" i="13"/>
  <c r="I252" i="13"/>
  <c r="H252" i="13"/>
  <c r="G252" i="13"/>
  <c r="F252" i="13"/>
  <c r="E252" i="13"/>
  <c r="D252" i="13"/>
  <c r="C252" i="13"/>
  <c r="Z251" i="13"/>
  <c r="Y251" i="13"/>
  <c r="X251" i="13"/>
  <c r="W251" i="13"/>
  <c r="V251" i="13"/>
  <c r="U251" i="13"/>
  <c r="T251" i="13"/>
  <c r="S251" i="13"/>
  <c r="R251" i="13"/>
  <c r="Q251" i="13"/>
  <c r="P251" i="13"/>
  <c r="O251" i="13"/>
  <c r="N251" i="13"/>
  <c r="M251" i="13"/>
  <c r="L251" i="13"/>
  <c r="K251" i="13"/>
  <c r="J251" i="13"/>
  <c r="I251" i="13"/>
  <c r="H251" i="13"/>
  <c r="G251" i="13"/>
  <c r="F251" i="13"/>
  <c r="E251" i="13"/>
  <c r="D251" i="13"/>
  <c r="C251" i="13"/>
  <c r="Z250" i="13"/>
  <c r="Y250" i="13"/>
  <c r="X250" i="13"/>
  <c r="W250" i="13"/>
  <c r="V250" i="13"/>
  <c r="U250" i="13"/>
  <c r="T250" i="13"/>
  <c r="S250" i="13"/>
  <c r="R250" i="13"/>
  <c r="Q250" i="13"/>
  <c r="P250" i="13"/>
  <c r="O250" i="13"/>
  <c r="N250" i="13"/>
  <c r="M250" i="13"/>
  <c r="L250" i="13"/>
  <c r="K250" i="13"/>
  <c r="J250" i="13"/>
  <c r="I250" i="13"/>
  <c r="H250" i="13"/>
  <c r="G250" i="13"/>
  <c r="F250" i="13"/>
  <c r="E250" i="13"/>
  <c r="D250" i="13"/>
  <c r="C250" i="13"/>
  <c r="Z249" i="13"/>
  <c r="Y249" i="13"/>
  <c r="X249" i="13"/>
  <c r="W249" i="13"/>
  <c r="V249" i="13"/>
  <c r="U249" i="13"/>
  <c r="T249" i="13"/>
  <c r="S249" i="13"/>
  <c r="R249" i="13"/>
  <c r="Q249" i="13"/>
  <c r="P249" i="13"/>
  <c r="O249" i="13"/>
  <c r="N249" i="13"/>
  <c r="M249" i="13"/>
  <c r="L249" i="13"/>
  <c r="K249" i="13"/>
  <c r="J249" i="13"/>
  <c r="I249" i="13"/>
  <c r="H249" i="13"/>
  <c r="G249" i="13"/>
  <c r="F249" i="13"/>
  <c r="E249" i="13"/>
  <c r="D249" i="13"/>
  <c r="C249" i="13"/>
  <c r="Z248" i="13"/>
  <c r="Y248" i="13"/>
  <c r="X248" i="13"/>
  <c r="W248" i="13"/>
  <c r="V248" i="13"/>
  <c r="U248" i="13"/>
  <c r="T248" i="13"/>
  <c r="S248" i="13"/>
  <c r="R248" i="13"/>
  <c r="Q248" i="13"/>
  <c r="P248" i="13"/>
  <c r="O248" i="13"/>
  <c r="N248" i="13"/>
  <c r="M248" i="13"/>
  <c r="L248" i="13"/>
  <c r="K248" i="13"/>
  <c r="J248" i="13"/>
  <c r="I248" i="13"/>
  <c r="H248" i="13"/>
  <c r="G248" i="13"/>
  <c r="F248" i="13"/>
  <c r="E248" i="13"/>
  <c r="D248" i="13"/>
  <c r="C248" i="13"/>
  <c r="Z247" i="13"/>
  <c r="Y247" i="13"/>
  <c r="X247" i="13"/>
  <c r="W247" i="13"/>
  <c r="V247" i="13"/>
  <c r="U247" i="13"/>
  <c r="T247" i="13"/>
  <c r="S247" i="13"/>
  <c r="R247" i="13"/>
  <c r="Q247" i="13"/>
  <c r="P247" i="13"/>
  <c r="O247" i="13"/>
  <c r="N247" i="13"/>
  <c r="M247" i="13"/>
  <c r="L247" i="13"/>
  <c r="K247" i="13"/>
  <c r="J247" i="13"/>
  <c r="I247" i="13"/>
  <c r="H247" i="13"/>
  <c r="G247" i="13"/>
  <c r="F247" i="13"/>
  <c r="E247" i="13"/>
  <c r="D247" i="13"/>
  <c r="C247" i="13"/>
  <c r="Z246" i="13"/>
  <c r="Y246" i="13"/>
  <c r="X246" i="13"/>
  <c r="W246" i="13"/>
  <c r="V246" i="13"/>
  <c r="U246" i="13"/>
  <c r="T246" i="13"/>
  <c r="S246" i="13"/>
  <c r="R246" i="13"/>
  <c r="Q246" i="13"/>
  <c r="P246" i="13"/>
  <c r="O246" i="13"/>
  <c r="N246" i="13"/>
  <c r="M246" i="13"/>
  <c r="L246" i="13"/>
  <c r="K246" i="13"/>
  <c r="J246" i="13"/>
  <c r="I246" i="13"/>
  <c r="H246" i="13"/>
  <c r="G246" i="13"/>
  <c r="F246" i="13"/>
  <c r="E246" i="13"/>
  <c r="D246" i="13"/>
  <c r="C246" i="13"/>
  <c r="Z245" i="13"/>
  <c r="Y245" i="13"/>
  <c r="X245" i="13"/>
  <c r="W245" i="13"/>
  <c r="V245" i="13"/>
  <c r="U245" i="13"/>
  <c r="T245" i="13"/>
  <c r="S245" i="13"/>
  <c r="R245" i="13"/>
  <c r="Q245" i="13"/>
  <c r="P245" i="13"/>
  <c r="O245" i="13"/>
  <c r="N245" i="13"/>
  <c r="M245" i="13"/>
  <c r="L245" i="13"/>
  <c r="K245" i="13"/>
  <c r="J245" i="13"/>
  <c r="I245" i="13"/>
  <c r="H245" i="13"/>
  <c r="G245" i="13"/>
  <c r="F245" i="13"/>
  <c r="E245" i="13"/>
  <c r="D245" i="13"/>
  <c r="C245" i="13"/>
  <c r="Z244" i="13"/>
  <c r="Y244" i="13"/>
  <c r="X244" i="13"/>
  <c r="W244" i="13"/>
  <c r="V244" i="13"/>
  <c r="U244" i="13"/>
  <c r="T244" i="13"/>
  <c r="S244" i="13"/>
  <c r="R244" i="13"/>
  <c r="Q244" i="13"/>
  <c r="P244" i="13"/>
  <c r="O244" i="13"/>
  <c r="N244" i="13"/>
  <c r="M244" i="13"/>
  <c r="L244" i="13"/>
  <c r="K244" i="13"/>
  <c r="J244" i="13"/>
  <c r="I244" i="13"/>
  <c r="H244" i="13"/>
  <c r="G244" i="13"/>
  <c r="F244" i="13"/>
  <c r="E244" i="13"/>
  <c r="D244" i="13"/>
  <c r="C244" i="13"/>
  <c r="Z243" i="13"/>
  <c r="Y243" i="13"/>
  <c r="X243" i="13"/>
  <c r="W243" i="13"/>
  <c r="V243" i="13"/>
  <c r="U243" i="13"/>
  <c r="T243" i="13"/>
  <c r="S243" i="13"/>
  <c r="R243" i="13"/>
  <c r="Q243" i="13"/>
  <c r="P243" i="13"/>
  <c r="O243" i="13"/>
  <c r="N243" i="13"/>
  <c r="M243" i="13"/>
  <c r="L243" i="13"/>
  <c r="K243" i="13"/>
  <c r="J243" i="13"/>
  <c r="I243" i="13"/>
  <c r="H243" i="13"/>
  <c r="G243" i="13"/>
  <c r="F243" i="13"/>
  <c r="E243" i="13"/>
  <c r="D243" i="13"/>
  <c r="C243" i="13"/>
  <c r="Z242" i="13"/>
  <c r="Y242" i="13"/>
  <c r="X242" i="13"/>
  <c r="W242" i="13"/>
  <c r="V242" i="13"/>
  <c r="U242" i="13"/>
  <c r="T242" i="13"/>
  <c r="S242" i="13"/>
  <c r="R242" i="13"/>
  <c r="Q242" i="13"/>
  <c r="P242" i="13"/>
  <c r="O242" i="13"/>
  <c r="N242" i="13"/>
  <c r="M242" i="13"/>
  <c r="L242" i="13"/>
  <c r="K242" i="13"/>
  <c r="J242" i="13"/>
  <c r="I242" i="13"/>
  <c r="H242" i="13"/>
  <c r="G242" i="13"/>
  <c r="F242" i="13"/>
  <c r="E242" i="13"/>
  <c r="D242" i="13"/>
  <c r="C242" i="13"/>
  <c r="Z241" i="13"/>
  <c r="Y241" i="13"/>
  <c r="X241" i="13"/>
  <c r="W241" i="13"/>
  <c r="V241" i="13"/>
  <c r="U241" i="13"/>
  <c r="T241" i="13"/>
  <c r="S241" i="13"/>
  <c r="R241" i="13"/>
  <c r="Q241" i="13"/>
  <c r="P241" i="13"/>
  <c r="O241" i="13"/>
  <c r="N241" i="13"/>
  <c r="M241" i="13"/>
  <c r="L241" i="13"/>
  <c r="K241" i="13"/>
  <c r="J241" i="13"/>
  <c r="I241" i="13"/>
  <c r="H241" i="13"/>
  <c r="G241" i="13"/>
  <c r="F241" i="13"/>
  <c r="E241" i="13"/>
  <c r="D241" i="13"/>
  <c r="C241" i="13"/>
  <c r="Z240" i="13"/>
  <c r="Y240" i="13"/>
  <c r="X240" i="13"/>
  <c r="W240" i="13"/>
  <c r="V240" i="13"/>
  <c r="U240" i="13"/>
  <c r="T240" i="13"/>
  <c r="S240" i="13"/>
  <c r="R240" i="13"/>
  <c r="Q240" i="13"/>
  <c r="P240" i="13"/>
  <c r="O240" i="13"/>
  <c r="N240" i="13"/>
  <c r="M240" i="13"/>
  <c r="L240" i="13"/>
  <c r="K240" i="13"/>
  <c r="J240" i="13"/>
  <c r="I240" i="13"/>
  <c r="H240" i="13"/>
  <c r="G240" i="13"/>
  <c r="F240" i="13"/>
  <c r="E240" i="13"/>
  <c r="D240" i="13"/>
  <c r="C240" i="13"/>
  <c r="Z239" i="13"/>
  <c r="Y239" i="13"/>
  <c r="X239" i="13"/>
  <c r="W239" i="13"/>
  <c r="V239" i="13"/>
  <c r="U239" i="13"/>
  <c r="T239" i="13"/>
  <c r="S239" i="13"/>
  <c r="R239" i="13"/>
  <c r="Q239" i="13"/>
  <c r="P239" i="13"/>
  <c r="O239" i="13"/>
  <c r="N239" i="13"/>
  <c r="M239" i="13"/>
  <c r="L239" i="13"/>
  <c r="K239" i="13"/>
  <c r="J239" i="13"/>
  <c r="I239" i="13"/>
  <c r="H239" i="13"/>
  <c r="G239" i="13"/>
  <c r="F239" i="13"/>
  <c r="E239" i="13"/>
  <c r="D239" i="13"/>
  <c r="C239" i="13"/>
  <c r="Z238" i="13"/>
  <c r="Y238" i="13"/>
  <c r="X238" i="13"/>
  <c r="W238" i="13"/>
  <c r="V238" i="13"/>
  <c r="U238" i="13"/>
  <c r="T238" i="13"/>
  <c r="S238" i="13"/>
  <c r="R238" i="13"/>
  <c r="Q238" i="13"/>
  <c r="P238" i="13"/>
  <c r="O238" i="13"/>
  <c r="N238" i="13"/>
  <c r="M238" i="13"/>
  <c r="L238" i="13"/>
  <c r="K238" i="13"/>
  <c r="J238" i="13"/>
  <c r="I238" i="13"/>
  <c r="H238" i="13"/>
  <c r="G238" i="13"/>
  <c r="F238" i="13"/>
  <c r="E238" i="13"/>
  <c r="D238" i="13"/>
  <c r="C238" i="13"/>
  <c r="Z237" i="13"/>
  <c r="Y237" i="13"/>
  <c r="X237" i="13"/>
  <c r="W237" i="13"/>
  <c r="V237" i="13"/>
  <c r="U237" i="13"/>
  <c r="T237" i="13"/>
  <c r="S237" i="13"/>
  <c r="R237" i="13"/>
  <c r="Q237" i="13"/>
  <c r="P237" i="13"/>
  <c r="O237" i="13"/>
  <c r="N237" i="13"/>
  <c r="M237" i="13"/>
  <c r="L237" i="13"/>
  <c r="K237" i="13"/>
  <c r="J237" i="13"/>
  <c r="I237" i="13"/>
  <c r="H237" i="13"/>
  <c r="G237" i="13"/>
  <c r="F237" i="13"/>
  <c r="E237" i="13"/>
  <c r="D237" i="13"/>
  <c r="C237" i="13"/>
  <c r="Z236" i="13"/>
  <c r="Y236" i="13"/>
  <c r="X236" i="13"/>
  <c r="W236" i="13"/>
  <c r="V236" i="13"/>
  <c r="U236" i="13"/>
  <c r="T236" i="13"/>
  <c r="S236" i="13"/>
  <c r="R236" i="13"/>
  <c r="Q236" i="13"/>
  <c r="P236" i="13"/>
  <c r="O236" i="13"/>
  <c r="N236" i="13"/>
  <c r="M236" i="13"/>
  <c r="L236" i="13"/>
  <c r="K236" i="13"/>
  <c r="J236" i="13"/>
  <c r="I236" i="13"/>
  <c r="H236" i="13"/>
  <c r="G236" i="13"/>
  <c r="F236" i="13"/>
  <c r="E236" i="13"/>
  <c r="D236" i="13"/>
  <c r="C236" i="13"/>
  <c r="Z235" i="13"/>
  <c r="Y235" i="13"/>
  <c r="X235" i="13"/>
  <c r="W235" i="13"/>
  <c r="V235" i="13"/>
  <c r="U235" i="13"/>
  <c r="T235" i="13"/>
  <c r="S235" i="13"/>
  <c r="R235" i="13"/>
  <c r="Q235" i="13"/>
  <c r="P235" i="13"/>
  <c r="O235" i="13"/>
  <c r="N235" i="13"/>
  <c r="M235" i="13"/>
  <c r="L235" i="13"/>
  <c r="K235" i="13"/>
  <c r="J235" i="13"/>
  <c r="I235" i="13"/>
  <c r="H235" i="13"/>
  <c r="G235" i="13"/>
  <c r="F235" i="13"/>
  <c r="E235" i="13"/>
  <c r="D235" i="13"/>
  <c r="C235" i="13"/>
  <c r="Z234" i="13"/>
  <c r="Y234" i="13"/>
  <c r="X234" i="13"/>
  <c r="W234" i="13"/>
  <c r="V234" i="13"/>
  <c r="U234" i="13"/>
  <c r="T234" i="13"/>
  <c r="S234" i="13"/>
  <c r="R234" i="13"/>
  <c r="Q234" i="13"/>
  <c r="P234" i="13"/>
  <c r="O234" i="13"/>
  <c r="N234" i="13"/>
  <c r="M234" i="13"/>
  <c r="L234" i="13"/>
  <c r="K234" i="13"/>
  <c r="J234" i="13"/>
  <c r="I234" i="13"/>
  <c r="H234" i="13"/>
  <c r="G234" i="13"/>
  <c r="F234" i="13"/>
  <c r="E234" i="13"/>
  <c r="D234" i="13"/>
  <c r="C234" i="13"/>
  <c r="Z233" i="13"/>
  <c r="Y233" i="13"/>
  <c r="X233" i="13"/>
  <c r="W233" i="13"/>
  <c r="V233" i="13"/>
  <c r="U233" i="13"/>
  <c r="T233" i="13"/>
  <c r="S233" i="13"/>
  <c r="R233" i="13"/>
  <c r="Q233" i="13"/>
  <c r="P233" i="13"/>
  <c r="O233" i="13"/>
  <c r="N233" i="13"/>
  <c r="M233" i="13"/>
  <c r="L233" i="13"/>
  <c r="K233" i="13"/>
  <c r="J233" i="13"/>
  <c r="I233" i="13"/>
  <c r="H233" i="13"/>
  <c r="G233" i="13"/>
  <c r="F233" i="13"/>
  <c r="E233" i="13"/>
  <c r="D233" i="13"/>
  <c r="C233" i="13"/>
  <c r="Z232" i="13"/>
  <c r="Y232" i="13"/>
  <c r="X232" i="13"/>
  <c r="W232" i="13"/>
  <c r="V232" i="13"/>
  <c r="U232" i="13"/>
  <c r="T232" i="13"/>
  <c r="S232" i="13"/>
  <c r="R232" i="13"/>
  <c r="Q232" i="13"/>
  <c r="P232" i="13"/>
  <c r="O232" i="13"/>
  <c r="N232" i="13"/>
  <c r="M232" i="13"/>
  <c r="L232" i="13"/>
  <c r="K232" i="13"/>
  <c r="J232" i="13"/>
  <c r="I232" i="13"/>
  <c r="H232" i="13"/>
  <c r="G232" i="13"/>
  <c r="F232" i="13"/>
  <c r="E232" i="13"/>
  <c r="D232" i="13"/>
  <c r="C232" i="13"/>
  <c r="Z231" i="13"/>
  <c r="Y231" i="13"/>
  <c r="X231" i="13"/>
  <c r="W231" i="13"/>
  <c r="V231" i="13"/>
  <c r="U231" i="13"/>
  <c r="T231" i="13"/>
  <c r="S231" i="13"/>
  <c r="R231" i="13"/>
  <c r="Q231" i="13"/>
  <c r="P231" i="13"/>
  <c r="O231" i="13"/>
  <c r="N231" i="13"/>
  <c r="M231" i="13"/>
  <c r="L231" i="13"/>
  <c r="K231" i="13"/>
  <c r="J231" i="13"/>
  <c r="I231" i="13"/>
  <c r="H231" i="13"/>
  <c r="G231" i="13"/>
  <c r="F231" i="13"/>
  <c r="E231" i="13"/>
  <c r="D231" i="13"/>
  <c r="C231" i="13"/>
  <c r="Z230" i="13"/>
  <c r="Y230" i="13"/>
  <c r="X230" i="13"/>
  <c r="W230" i="13"/>
  <c r="V230" i="13"/>
  <c r="U230" i="13"/>
  <c r="T230" i="13"/>
  <c r="S230" i="13"/>
  <c r="R230" i="13"/>
  <c r="Q230" i="13"/>
  <c r="P230" i="13"/>
  <c r="O230" i="13"/>
  <c r="N230" i="13"/>
  <c r="M230" i="13"/>
  <c r="L230" i="13"/>
  <c r="K230" i="13"/>
  <c r="J230" i="13"/>
  <c r="I230" i="13"/>
  <c r="H230" i="13"/>
  <c r="G230" i="13"/>
  <c r="F230" i="13"/>
  <c r="E230" i="13"/>
  <c r="D230" i="13"/>
  <c r="C230" i="13"/>
  <c r="Z229" i="13"/>
  <c r="Y229" i="13"/>
  <c r="X229" i="13"/>
  <c r="W229" i="13"/>
  <c r="V229" i="13"/>
  <c r="U229" i="13"/>
  <c r="T229" i="13"/>
  <c r="S229" i="13"/>
  <c r="R229" i="13"/>
  <c r="Q229" i="13"/>
  <c r="P229" i="13"/>
  <c r="O229" i="13"/>
  <c r="N229" i="13"/>
  <c r="M229" i="13"/>
  <c r="L229" i="13"/>
  <c r="K229" i="13"/>
  <c r="J229" i="13"/>
  <c r="I229" i="13"/>
  <c r="H229" i="13"/>
  <c r="G229" i="13"/>
  <c r="F229" i="13"/>
  <c r="E229" i="13"/>
  <c r="D229" i="13"/>
  <c r="C229" i="13"/>
  <c r="Z228" i="13"/>
  <c r="Y228" i="13"/>
  <c r="X228" i="13"/>
  <c r="W228" i="13"/>
  <c r="V228" i="13"/>
  <c r="U228" i="13"/>
  <c r="T228" i="13"/>
  <c r="S228" i="13"/>
  <c r="R228" i="13"/>
  <c r="Q228" i="13"/>
  <c r="P228" i="13"/>
  <c r="O228" i="13"/>
  <c r="N228" i="13"/>
  <c r="M228" i="13"/>
  <c r="L228" i="13"/>
  <c r="K228" i="13"/>
  <c r="J228" i="13"/>
  <c r="I228" i="13"/>
  <c r="H228" i="13"/>
  <c r="G228" i="13"/>
  <c r="F228" i="13"/>
  <c r="E228" i="13"/>
  <c r="D228" i="13"/>
  <c r="C228" i="13"/>
  <c r="Z227" i="13"/>
  <c r="Y227" i="13"/>
  <c r="X227" i="13"/>
  <c r="W227" i="13"/>
  <c r="V227" i="13"/>
  <c r="U227" i="13"/>
  <c r="T227" i="13"/>
  <c r="S227" i="13"/>
  <c r="R227" i="13"/>
  <c r="Q227" i="13"/>
  <c r="P227" i="13"/>
  <c r="O227" i="13"/>
  <c r="N227" i="13"/>
  <c r="M227" i="13"/>
  <c r="L227" i="13"/>
  <c r="K227" i="13"/>
  <c r="J227" i="13"/>
  <c r="I227" i="13"/>
  <c r="H227" i="13"/>
  <c r="G227" i="13"/>
  <c r="F227" i="13"/>
  <c r="E227" i="13"/>
  <c r="D227" i="13"/>
  <c r="C227" i="13"/>
  <c r="Z226" i="13"/>
  <c r="Y226" i="13"/>
  <c r="X226" i="13"/>
  <c r="W226" i="13"/>
  <c r="V226" i="13"/>
  <c r="U226" i="13"/>
  <c r="T226" i="13"/>
  <c r="S226" i="13"/>
  <c r="R226" i="13"/>
  <c r="Q226" i="13"/>
  <c r="P226" i="13"/>
  <c r="O226" i="13"/>
  <c r="N226" i="13"/>
  <c r="M226" i="13"/>
  <c r="L226" i="13"/>
  <c r="K226" i="13"/>
  <c r="J226" i="13"/>
  <c r="I226" i="13"/>
  <c r="H226" i="13"/>
  <c r="G226" i="13"/>
  <c r="F226" i="13"/>
  <c r="E226" i="13"/>
  <c r="D226" i="13"/>
  <c r="C226" i="13"/>
  <c r="Z225" i="13"/>
  <c r="Y225" i="13"/>
  <c r="X225" i="13"/>
  <c r="W225" i="13"/>
  <c r="V225" i="13"/>
  <c r="U225" i="13"/>
  <c r="T225" i="13"/>
  <c r="S225" i="13"/>
  <c r="R225" i="13"/>
  <c r="Q225" i="13"/>
  <c r="P225" i="13"/>
  <c r="O225" i="13"/>
  <c r="N225" i="13"/>
  <c r="M225" i="13"/>
  <c r="L225" i="13"/>
  <c r="K225" i="13"/>
  <c r="J225" i="13"/>
  <c r="I225" i="13"/>
  <c r="H225" i="13"/>
  <c r="G225" i="13"/>
  <c r="F225" i="13"/>
  <c r="E225" i="13"/>
  <c r="D225" i="13"/>
  <c r="C225" i="13"/>
  <c r="Z224" i="13"/>
  <c r="Y224" i="13"/>
  <c r="X224" i="13"/>
  <c r="W224" i="13"/>
  <c r="V224" i="13"/>
  <c r="U224" i="13"/>
  <c r="T224" i="13"/>
  <c r="S224" i="13"/>
  <c r="R224" i="13"/>
  <c r="Q224" i="13"/>
  <c r="P224" i="13"/>
  <c r="O224" i="13"/>
  <c r="N224" i="13"/>
  <c r="M224" i="13"/>
  <c r="L224" i="13"/>
  <c r="K224" i="13"/>
  <c r="J224" i="13"/>
  <c r="I224" i="13"/>
  <c r="H224" i="13"/>
  <c r="G224" i="13"/>
  <c r="F224" i="13"/>
  <c r="E224" i="13"/>
  <c r="D224" i="13"/>
  <c r="C224" i="13"/>
  <c r="Z223" i="13"/>
  <c r="Y223" i="13"/>
  <c r="X223" i="13"/>
  <c r="W223" i="13"/>
  <c r="V223" i="13"/>
  <c r="U223" i="13"/>
  <c r="T223" i="13"/>
  <c r="S223" i="13"/>
  <c r="R223" i="13"/>
  <c r="Q223" i="13"/>
  <c r="P223" i="13"/>
  <c r="O223" i="13"/>
  <c r="N223" i="13"/>
  <c r="M223" i="13"/>
  <c r="L223" i="13"/>
  <c r="K223" i="13"/>
  <c r="J223" i="13"/>
  <c r="I223" i="13"/>
  <c r="H223" i="13"/>
  <c r="G223" i="13"/>
  <c r="F223" i="13"/>
  <c r="E223" i="13"/>
  <c r="D223" i="13"/>
  <c r="C223" i="13"/>
  <c r="Z222" i="13"/>
  <c r="Y222" i="13"/>
  <c r="X222" i="13"/>
  <c r="W222" i="13"/>
  <c r="V222" i="13"/>
  <c r="U222" i="13"/>
  <c r="T222" i="13"/>
  <c r="S222" i="13"/>
  <c r="R222" i="13"/>
  <c r="Q222" i="13"/>
  <c r="P222" i="13"/>
  <c r="O222" i="13"/>
  <c r="N222" i="13"/>
  <c r="M222" i="13"/>
  <c r="L222" i="13"/>
  <c r="K222" i="13"/>
  <c r="J222" i="13"/>
  <c r="I222" i="13"/>
  <c r="H222" i="13"/>
  <c r="G222" i="13"/>
  <c r="F222" i="13"/>
  <c r="E222" i="13"/>
  <c r="D222" i="13"/>
  <c r="C222" i="13"/>
  <c r="Z221" i="13"/>
  <c r="Y221" i="13"/>
  <c r="X221" i="13"/>
  <c r="W221" i="13"/>
  <c r="V221" i="13"/>
  <c r="U221" i="13"/>
  <c r="T221" i="13"/>
  <c r="S221" i="13"/>
  <c r="R221" i="13"/>
  <c r="Q221" i="13"/>
  <c r="P221" i="13"/>
  <c r="O221" i="13"/>
  <c r="N221" i="13"/>
  <c r="M221" i="13"/>
  <c r="L221" i="13"/>
  <c r="K221" i="13"/>
  <c r="J221" i="13"/>
  <c r="I221" i="13"/>
  <c r="H221" i="13"/>
  <c r="G221" i="13"/>
  <c r="F221" i="13"/>
  <c r="E221" i="13"/>
  <c r="D221" i="13"/>
  <c r="C221" i="13"/>
  <c r="Z220" i="13"/>
  <c r="Y220" i="13"/>
  <c r="X220" i="13"/>
  <c r="W220" i="13"/>
  <c r="V220" i="13"/>
  <c r="U220" i="13"/>
  <c r="T220" i="13"/>
  <c r="S220" i="13"/>
  <c r="R220" i="13"/>
  <c r="Q220" i="13"/>
  <c r="P220" i="13"/>
  <c r="O220" i="13"/>
  <c r="N220" i="13"/>
  <c r="M220" i="13"/>
  <c r="L220" i="13"/>
  <c r="K220" i="13"/>
  <c r="J220" i="13"/>
  <c r="I220" i="13"/>
  <c r="H220" i="13"/>
  <c r="G220" i="13"/>
  <c r="F220" i="13"/>
  <c r="E220" i="13"/>
  <c r="D220" i="13"/>
  <c r="C220" i="13"/>
  <c r="Z219" i="13"/>
  <c r="Y219" i="13"/>
  <c r="X219" i="13"/>
  <c r="W219" i="13"/>
  <c r="V219" i="13"/>
  <c r="U219" i="13"/>
  <c r="T219" i="13"/>
  <c r="S219" i="13"/>
  <c r="R219" i="13"/>
  <c r="Q219" i="13"/>
  <c r="P219" i="13"/>
  <c r="O219" i="13"/>
  <c r="N219" i="13"/>
  <c r="M219" i="13"/>
  <c r="L219" i="13"/>
  <c r="K219" i="13"/>
  <c r="J219" i="13"/>
  <c r="I219" i="13"/>
  <c r="H219" i="13"/>
  <c r="G219" i="13"/>
  <c r="F219" i="13"/>
  <c r="E219" i="13"/>
  <c r="D219" i="13"/>
  <c r="C219" i="13"/>
  <c r="Z218" i="13"/>
  <c r="Y218" i="13"/>
  <c r="X218" i="13"/>
  <c r="W218" i="13"/>
  <c r="V218" i="13"/>
  <c r="U218" i="13"/>
  <c r="T218" i="13"/>
  <c r="S218" i="13"/>
  <c r="R218" i="13"/>
  <c r="Q218" i="13"/>
  <c r="P218" i="13"/>
  <c r="O218" i="13"/>
  <c r="N218" i="13"/>
  <c r="M218" i="13"/>
  <c r="L218" i="13"/>
  <c r="K218" i="13"/>
  <c r="J218" i="13"/>
  <c r="I218" i="13"/>
  <c r="H218" i="13"/>
  <c r="G218" i="13"/>
  <c r="F218" i="13"/>
  <c r="E218" i="13"/>
  <c r="D218" i="13"/>
  <c r="C218" i="13"/>
  <c r="Z217" i="13"/>
  <c r="Y217" i="13"/>
  <c r="X217" i="13"/>
  <c r="W217" i="13"/>
  <c r="V217" i="13"/>
  <c r="U217" i="13"/>
  <c r="T217" i="13"/>
  <c r="S217" i="13"/>
  <c r="R217" i="13"/>
  <c r="Q217" i="13"/>
  <c r="P217" i="13"/>
  <c r="O217" i="13"/>
  <c r="N217" i="13"/>
  <c r="M217" i="13"/>
  <c r="L217" i="13"/>
  <c r="K217" i="13"/>
  <c r="J217" i="13"/>
  <c r="I217" i="13"/>
  <c r="H217" i="13"/>
  <c r="G217" i="13"/>
  <c r="F217" i="13"/>
  <c r="E217" i="13"/>
  <c r="D217" i="13"/>
  <c r="C217" i="13"/>
  <c r="Z216" i="13"/>
  <c r="Y216" i="13"/>
  <c r="X216" i="13"/>
  <c r="W216" i="13"/>
  <c r="V216" i="13"/>
  <c r="U216" i="13"/>
  <c r="T216" i="13"/>
  <c r="S216" i="13"/>
  <c r="R216" i="13"/>
  <c r="Q216" i="13"/>
  <c r="P216" i="13"/>
  <c r="O216" i="13"/>
  <c r="N216" i="13"/>
  <c r="M216" i="13"/>
  <c r="L216" i="13"/>
  <c r="K216" i="13"/>
  <c r="J216" i="13"/>
  <c r="I216" i="13"/>
  <c r="H216" i="13"/>
  <c r="G216" i="13"/>
  <c r="F216" i="13"/>
  <c r="E216" i="13"/>
  <c r="D216" i="13"/>
  <c r="C216" i="13"/>
  <c r="Z215" i="13"/>
  <c r="Y215" i="13"/>
  <c r="X215" i="13"/>
  <c r="W215" i="13"/>
  <c r="V215" i="13"/>
  <c r="U215" i="13"/>
  <c r="T215" i="13"/>
  <c r="S215" i="13"/>
  <c r="R215" i="13"/>
  <c r="Q215" i="13"/>
  <c r="P215" i="13"/>
  <c r="O215" i="13"/>
  <c r="N215" i="13"/>
  <c r="M215" i="13"/>
  <c r="L215" i="13"/>
  <c r="K215" i="13"/>
  <c r="J215" i="13"/>
  <c r="I215" i="13"/>
  <c r="H215" i="13"/>
  <c r="G215" i="13"/>
  <c r="F215" i="13"/>
  <c r="E215" i="13"/>
  <c r="D215" i="13"/>
  <c r="C215" i="13"/>
  <c r="Z214" i="13"/>
  <c r="Y214" i="13"/>
  <c r="X214" i="13"/>
  <c r="W214" i="13"/>
  <c r="V214" i="13"/>
  <c r="U214" i="13"/>
  <c r="T214" i="13"/>
  <c r="S214" i="13"/>
  <c r="R214" i="13"/>
  <c r="Q214" i="13"/>
  <c r="P214" i="13"/>
  <c r="O214" i="13"/>
  <c r="N214" i="13"/>
  <c r="M214" i="13"/>
  <c r="L214" i="13"/>
  <c r="K214" i="13"/>
  <c r="J214" i="13"/>
  <c r="I214" i="13"/>
  <c r="H214" i="13"/>
  <c r="G214" i="13"/>
  <c r="F214" i="13"/>
  <c r="E214" i="13"/>
  <c r="D214" i="13"/>
  <c r="C214" i="13"/>
  <c r="Z213" i="13"/>
  <c r="Y213" i="13"/>
  <c r="X213" i="13"/>
  <c r="W213" i="13"/>
  <c r="V213" i="13"/>
  <c r="U213" i="13"/>
  <c r="T213" i="13"/>
  <c r="S213" i="13"/>
  <c r="R213" i="13"/>
  <c r="Q213" i="13"/>
  <c r="P213" i="13"/>
  <c r="O213" i="13"/>
  <c r="N213" i="13"/>
  <c r="M213" i="13"/>
  <c r="L213" i="13"/>
  <c r="K213" i="13"/>
  <c r="J213" i="13"/>
  <c r="I213" i="13"/>
  <c r="H213" i="13"/>
  <c r="G213" i="13"/>
  <c r="F213" i="13"/>
  <c r="E213" i="13"/>
  <c r="D213" i="13"/>
  <c r="C213" i="13"/>
  <c r="Z212" i="13"/>
  <c r="Y212" i="13"/>
  <c r="X212" i="13"/>
  <c r="W212" i="13"/>
  <c r="V212" i="13"/>
  <c r="U212" i="13"/>
  <c r="T212" i="13"/>
  <c r="S212" i="13"/>
  <c r="R212" i="13"/>
  <c r="Q212" i="13"/>
  <c r="P212" i="13"/>
  <c r="O212" i="13"/>
  <c r="N212" i="13"/>
  <c r="M212" i="13"/>
  <c r="L212" i="13"/>
  <c r="K212" i="13"/>
  <c r="J212" i="13"/>
  <c r="I212" i="13"/>
  <c r="H212" i="13"/>
  <c r="G212" i="13"/>
  <c r="F212" i="13"/>
  <c r="E212" i="13"/>
  <c r="D212" i="13"/>
  <c r="C212" i="13"/>
  <c r="Z211" i="13"/>
  <c r="Y211" i="13"/>
  <c r="X211" i="13"/>
  <c r="W211" i="13"/>
  <c r="V211" i="13"/>
  <c r="U211" i="13"/>
  <c r="T211" i="13"/>
  <c r="S211" i="13"/>
  <c r="R211" i="13"/>
  <c r="Q211" i="13"/>
  <c r="P211" i="13"/>
  <c r="O211" i="13"/>
  <c r="N211" i="13"/>
  <c r="M211" i="13"/>
  <c r="L211" i="13"/>
  <c r="K211" i="13"/>
  <c r="J211" i="13"/>
  <c r="I211" i="13"/>
  <c r="H211" i="13"/>
  <c r="G211" i="13"/>
  <c r="F211" i="13"/>
  <c r="E211" i="13"/>
  <c r="D211" i="13"/>
  <c r="C211" i="13"/>
  <c r="Z210" i="13"/>
  <c r="Y210" i="13"/>
  <c r="X210" i="13"/>
  <c r="W210" i="13"/>
  <c r="V210" i="13"/>
  <c r="U210" i="13"/>
  <c r="T210" i="13"/>
  <c r="S210" i="13"/>
  <c r="R210" i="13"/>
  <c r="Q210" i="13"/>
  <c r="P210" i="13"/>
  <c r="O210" i="13"/>
  <c r="N210" i="13"/>
  <c r="M210" i="13"/>
  <c r="L210" i="13"/>
  <c r="K210" i="13"/>
  <c r="J210" i="13"/>
  <c r="I210" i="13"/>
  <c r="H210" i="13"/>
  <c r="G210" i="13"/>
  <c r="F210" i="13"/>
  <c r="E210" i="13"/>
  <c r="D210" i="13"/>
  <c r="C210" i="13"/>
  <c r="Z209" i="13"/>
  <c r="Y209" i="13"/>
  <c r="X209" i="13"/>
  <c r="W209" i="13"/>
  <c r="V209" i="13"/>
  <c r="U209" i="13"/>
  <c r="T209" i="13"/>
  <c r="S209" i="13"/>
  <c r="R209" i="13"/>
  <c r="Q209" i="13"/>
  <c r="P209" i="13"/>
  <c r="O209" i="13"/>
  <c r="N209" i="13"/>
  <c r="M209" i="13"/>
  <c r="L209" i="13"/>
  <c r="K209" i="13"/>
  <c r="J209" i="13"/>
  <c r="I209" i="13"/>
  <c r="H209" i="13"/>
  <c r="G209" i="13"/>
  <c r="F209" i="13"/>
  <c r="E209" i="13"/>
  <c r="D209" i="13"/>
  <c r="C209" i="13"/>
  <c r="Z208" i="13"/>
  <c r="Y208" i="13"/>
  <c r="X208" i="13"/>
  <c r="W208" i="13"/>
  <c r="V208" i="13"/>
  <c r="U208" i="13"/>
  <c r="T208" i="13"/>
  <c r="S208" i="13"/>
  <c r="R208" i="13"/>
  <c r="Q208" i="13"/>
  <c r="P208" i="13"/>
  <c r="O208" i="13"/>
  <c r="N208" i="13"/>
  <c r="M208" i="13"/>
  <c r="L208" i="13"/>
  <c r="K208" i="13"/>
  <c r="J208" i="13"/>
  <c r="I208" i="13"/>
  <c r="H208" i="13"/>
  <c r="G208" i="13"/>
  <c r="F208" i="13"/>
  <c r="E208" i="13"/>
  <c r="D208" i="13"/>
  <c r="C208" i="13"/>
  <c r="Z207" i="13"/>
  <c r="Y207" i="13"/>
  <c r="X207" i="13"/>
  <c r="W207" i="13"/>
  <c r="V207" i="13"/>
  <c r="U207" i="13"/>
  <c r="T207" i="13"/>
  <c r="S207" i="13"/>
  <c r="R207" i="13"/>
  <c r="Q207" i="13"/>
  <c r="P207" i="13"/>
  <c r="O207" i="13"/>
  <c r="N207" i="13"/>
  <c r="M207" i="13"/>
  <c r="L207" i="13"/>
  <c r="K207" i="13"/>
  <c r="J207" i="13"/>
  <c r="I207" i="13"/>
  <c r="H207" i="13"/>
  <c r="G207" i="13"/>
  <c r="F207" i="13"/>
  <c r="E207" i="13"/>
  <c r="D207" i="13"/>
  <c r="C207" i="13"/>
  <c r="Z206" i="13"/>
  <c r="Y206" i="13"/>
  <c r="X206" i="13"/>
  <c r="W206" i="13"/>
  <c r="V206" i="13"/>
  <c r="U206" i="13"/>
  <c r="T206" i="13"/>
  <c r="S206" i="13"/>
  <c r="R206" i="13"/>
  <c r="Q206" i="13"/>
  <c r="P206" i="13"/>
  <c r="O206" i="13"/>
  <c r="N206" i="13"/>
  <c r="M206" i="13"/>
  <c r="L206" i="13"/>
  <c r="K206" i="13"/>
  <c r="J206" i="13"/>
  <c r="I206" i="13"/>
  <c r="H206" i="13"/>
  <c r="G206" i="13"/>
  <c r="F206" i="13"/>
  <c r="E206" i="13"/>
  <c r="D206" i="13"/>
  <c r="C206" i="13"/>
  <c r="Z205" i="13"/>
  <c r="Y205" i="13"/>
  <c r="X205" i="13"/>
  <c r="W205" i="13"/>
  <c r="V205" i="13"/>
  <c r="U205" i="13"/>
  <c r="T205" i="13"/>
  <c r="S205" i="13"/>
  <c r="R205" i="13"/>
  <c r="Q205" i="13"/>
  <c r="P205" i="13"/>
  <c r="O205" i="13"/>
  <c r="N205" i="13"/>
  <c r="M205" i="13"/>
  <c r="L205" i="13"/>
  <c r="K205" i="13"/>
  <c r="J205" i="13"/>
  <c r="I205" i="13"/>
  <c r="H205" i="13"/>
  <c r="G205" i="13"/>
  <c r="F205" i="13"/>
  <c r="E205" i="13"/>
  <c r="D205" i="13"/>
  <c r="C205" i="13"/>
  <c r="Z204" i="13"/>
  <c r="Y204" i="13"/>
  <c r="X204" i="13"/>
  <c r="W204" i="13"/>
  <c r="V204" i="13"/>
  <c r="U204" i="13"/>
  <c r="T204" i="13"/>
  <c r="S204" i="13"/>
  <c r="R204" i="13"/>
  <c r="Q204" i="13"/>
  <c r="P204" i="13"/>
  <c r="O204" i="13"/>
  <c r="N204" i="13"/>
  <c r="M204" i="13"/>
  <c r="L204" i="13"/>
  <c r="K204" i="13"/>
  <c r="J204" i="13"/>
  <c r="I204" i="13"/>
  <c r="H204" i="13"/>
  <c r="G204" i="13"/>
  <c r="F204" i="13"/>
  <c r="E204" i="13"/>
  <c r="D204" i="13"/>
  <c r="C204" i="13"/>
  <c r="Z203" i="13"/>
  <c r="Y203" i="13"/>
  <c r="X203" i="13"/>
  <c r="W203" i="13"/>
  <c r="V203" i="13"/>
  <c r="U203" i="13"/>
  <c r="T203" i="13"/>
  <c r="S203" i="13"/>
  <c r="R203" i="13"/>
  <c r="Q203" i="13"/>
  <c r="P203" i="13"/>
  <c r="O203" i="13"/>
  <c r="N203" i="13"/>
  <c r="M203" i="13"/>
  <c r="L203" i="13"/>
  <c r="K203" i="13"/>
  <c r="J203" i="13"/>
  <c r="I203" i="13"/>
  <c r="H203" i="13"/>
  <c r="G203" i="13"/>
  <c r="F203" i="13"/>
  <c r="E203" i="13"/>
  <c r="D203" i="13"/>
  <c r="C203" i="13"/>
  <c r="Z202" i="13"/>
  <c r="Y202" i="13"/>
  <c r="X202" i="13"/>
  <c r="W202" i="13"/>
  <c r="V202" i="13"/>
  <c r="U202" i="13"/>
  <c r="T202" i="13"/>
  <c r="S202" i="13"/>
  <c r="R202" i="13"/>
  <c r="Q202" i="13"/>
  <c r="P202" i="13"/>
  <c r="O202" i="13"/>
  <c r="N202" i="13"/>
  <c r="M202" i="13"/>
  <c r="L202" i="13"/>
  <c r="K202" i="13"/>
  <c r="J202" i="13"/>
  <c r="I202" i="13"/>
  <c r="H202" i="13"/>
  <c r="G202" i="13"/>
  <c r="F202" i="13"/>
  <c r="E202" i="13"/>
  <c r="D202" i="13"/>
  <c r="C202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G201" i="13"/>
  <c r="F201" i="13"/>
  <c r="E201" i="13"/>
  <c r="D201" i="13"/>
  <c r="C201" i="13"/>
  <c r="Z200" i="13"/>
  <c r="Y200" i="13"/>
  <c r="X200" i="13"/>
  <c r="W200" i="13"/>
  <c r="V200" i="13"/>
  <c r="U200" i="13"/>
  <c r="T200" i="13"/>
  <c r="S200" i="13"/>
  <c r="R200" i="13"/>
  <c r="Q200" i="13"/>
  <c r="P200" i="13"/>
  <c r="O200" i="13"/>
  <c r="N200" i="13"/>
  <c r="M200" i="13"/>
  <c r="L200" i="13"/>
  <c r="K200" i="13"/>
  <c r="J200" i="13"/>
  <c r="I200" i="13"/>
  <c r="H200" i="13"/>
  <c r="G200" i="13"/>
  <c r="F200" i="13"/>
  <c r="E200" i="13"/>
  <c r="D200" i="13"/>
  <c r="C200" i="13"/>
  <c r="Z199" i="13"/>
  <c r="Y199" i="13"/>
  <c r="X199" i="13"/>
  <c r="W199" i="13"/>
  <c r="V199" i="13"/>
  <c r="U199" i="13"/>
  <c r="T199" i="13"/>
  <c r="S199" i="13"/>
  <c r="R199" i="13"/>
  <c r="Q199" i="13"/>
  <c r="P199" i="13"/>
  <c r="O199" i="13"/>
  <c r="N199" i="13"/>
  <c r="M199" i="13"/>
  <c r="L199" i="13"/>
  <c r="K199" i="13"/>
  <c r="J199" i="13"/>
  <c r="I199" i="13"/>
  <c r="H199" i="13"/>
  <c r="G199" i="13"/>
  <c r="F199" i="13"/>
  <c r="E199" i="13"/>
  <c r="D199" i="13"/>
  <c r="C199" i="13"/>
  <c r="Z198" i="13"/>
  <c r="Y198" i="13"/>
  <c r="X198" i="13"/>
  <c r="W198" i="13"/>
  <c r="V198" i="13"/>
  <c r="U198" i="13"/>
  <c r="T198" i="13"/>
  <c r="S198" i="13"/>
  <c r="R198" i="13"/>
  <c r="Q198" i="13"/>
  <c r="P198" i="13"/>
  <c r="O198" i="13"/>
  <c r="N198" i="13"/>
  <c r="M198" i="13"/>
  <c r="L198" i="13"/>
  <c r="K198" i="13"/>
  <c r="J198" i="13"/>
  <c r="I198" i="13"/>
  <c r="H198" i="13"/>
  <c r="G198" i="13"/>
  <c r="F198" i="13"/>
  <c r="E198" i="13"/>
  <c r="D198" i="13"/>
  <c r="C198" i="13"/>
  <c r="Z197" i="13"/>
  <c r="Y197" i="13"/>
  <c r="X197" i="13"/>
  <c r="W197" i="13"/>
  <c r="V197" i="13"/>
  <c r="U197" i="13"/>
  <c r="T197" i="13"/>
  <c r="S197" i="13"/>
  <c r="R197" i="13"/>
  <c r="Q197" i="13"/>
  <c r="P197" i="13"/>
  <c r="O197" i="13"/>
  <c r="N197" i="13"/>
  <c r="M197" i="13"/>
  <c r="L197" i="13"/>
  <c r="K197" i="13"/>
  <c r="J197" i="13"/>
  <c r="I197" i="13"/>
  <c r="H197" i="13"/>
  <c r="G197" i="13"/>
  <c r="F197" i="13"/>
  <c r="E197" i="13"/>
  <c r="D197" i="13"/>
  <c r="C197" i="13"/>
  <c r="Z196" i="13"/>
  <c r="Y196" i="13"/>
  <c r="X196" i="13"/>
  <c r="W196" i="13"/>
  <c r="V196" i="13"/>
  <c r="U196" i="13"/>
  <c r="T196" i="13"/>
  <c r="S196" i="13"/>
  <c r="R196" i="13"/>
  <c r="Q196" i="13"/>
  <c r="P196" i="13"/>
  <c r="O196" i="13"/>
  <c r="N196" i="13"/>
  <c r="M196" i="13"/>
  <c r="L196" i="13"/>
  <c r="K196" i="13"/>
  <c r="J196" i="13"/>
  <c r="I196" i="13"/>
  <c r="H196" i="13"/>
  <c r="G196" i="13"/>
  <c r="F196" i="13"/>
  <c r="E196" i="13"/>
  <c r="D196" i="13"/>
  <c r="C196" i="13"/>
  <c r="Z195" i="13"/>
  <c r="Y195" i="13"/>
  <c r="X195" i="13"/>
  <c r="W195" i="13"/>
  <c r="V195" i="13"/>
  <c r="U195" i="13"/>
  <c r="T195" i="13"/>
  <c r="S195" i="13"/>
  <c r="R195" i="13"/>
  <c r="Q195" i="13"/>
  <c r="P195" i="13"/>
  <c r="O195" i="13"/>
  <c r="N195" i="13"/>
  <c r="M195" i="13"/>
  <c r="L195" i="13"/>
  <c r="K195" i="13"/>
  <c r="J195" i="13"/>
  <c r="I195" i="13"/>
  <c r="H195" i="13"/>
  <c r="G195" i="13"/>
  <c r="F195" i="13"/>
  <c r="E195" i="13"/>
  <c r="D195" i="13"/>
  <c r="C195" i="13"/>
  <c r="Z194" i="13"/>
  <c r="Y194" i="13"/>
  <c r="X194" i="13"/>
  <c r="W194" i="13"/>
  <c r="V194" i="13"/>
  <c r="U194" i="13"/>
  <c r="T194" i="13"/>
  <c r="S194" i="13"/>
  <c r="R194" i="13"/>
  <c r="Q194" i="13"/>
  <c r="P194" i="13"/>
  <c r="O194" i="13"/>
  <c r="N194" i="13"/>
  <c r="M194" i="13"/>
  <c r="L194" i="13"/>
  <c r="K194" i="13"/>
  <c r="J194" i="13"/>
  <c r="I194" i="13"/>
  <c r="H194" i="13"/>
  <c r="G194" i="13"/>
  <c r="F194" i="13"/>
  <c r="E194" i="13"/>
  <c r="D194" i="13"/>
  <c r="C194" i="13"/>
  <c r="Z193" i="13"/>
  <c r="Y193" i="13"/>
  <c r="X193" i="13"/>
  <c r="W193" i="13"/>
  <c r="V193" i="13"/>
  <c r="U193" i="13"/>
  <c r="T193" i="13"/>
  <c r="S193" i="13"/>
  <c r="R193" i="13"/>
  <c r="Q193" i="13"/>
  <c r="P193" i="13"/>
  <c r="O193" i="13"/>
  <c r="N193" i="13"/>
  <c r="M193" i="13"/>
  <c r="L193" i="13"/>
  <c r="K193" i="13"/>
  <c r="J193" i="13"/>
  <c r="I193" i="13"/>
  <c r="H193" i="13"/>
  <c r="G193" i="13"/>
  <c r="F193" i="13"/>
  <c r="E193" i="13"/>
  <c r="D193" i="13"/>
  <c r="C193" i="13"/>
  <c r="Z192" i="13"/>
  <c r="Y192" i="13"/>
  <c r="X192" i="13"/>
  <c r="W192" i="13"/>
  <c r="V192" i="13"/>
  <c r="U192" i="13"/>
  <c r="T192" i="13"/>
  <c r="S192" i="13"/>
  <c r="R192" i="13"/>
  <c r="Q192" i="13"/>
  <c r="P192" i="13"/>
  <c r="O192" i="13"/>
  <c r="N192" i="13"/>
  <c r="M192" i="13"/>
  <c r="L192" i="13"/>
  <c r="K192" i="13"/>
  <c r="J192" i="13"/>
  <c r="I192" i="13"/>
  <c r="H192" i="13"/>
  <c r="G192" i="13"/>
  <c r="F192" i="13"/>
  <c r="E192" i="13"/>
  <c r="D192" i="13"/>
  <c r="C192" i="13"/>
  <c r="Z191" i="13"/>
  <c r="Y191" i="13"/>
  <c r="X191" i="13"/>
  <c r="W191" i="13"/>
  <c r="V191" i="13"/>
  <c r="U191" i="13"/>
  <c r="T191" i="13"/>
  <c r="S191" i="13"/>
  <c r="R191" i="13"/>
  <c r="Q191" i="13"/>
  <c r="P191" i="13"/>
  <c r="O191" i="13"/>
  <c r="N191" i="13"/>
  <c r="M191" i="13"/>
  <c r="L191" i="13"/>
  <c r="K191" i="13"/>
  <c r="J191" i="13"/>
  <c r="I191" i="13"/>
  <c r="H191" i="13"/>
  <c r="G191" i="13"/>
  <c r="F191" i="13"/>
  <c r="E191" i="13"/>
  <c r="D191" i="13"/>
  <c r="C191" i="13"/>
  <c r="Z190" i="13"/>
  <c r="Y190" i="13"/>
  <c r="X190" i="13"/>
  <c r="W190" i="13"/>
  <c r="V190" i="13"/>
  <c r="U190" i="13"/>
  <c r="T190" i="13"/>
  <c r="S190" i="13"/>
  <c r="R190" i="13"/>
  <c r="Q190" i="13"/>
  <c r="P190" i="13"/>
  <c r="O190" i="13"/>
  <c r="N190" i="13"/>
  <c r="M190" i="13"/>
  <c r="L190" i="13"/>
  <c r="K190" i="13"/>
  <c r="J190" i="13"/>
  <c r="I190" i="13"/>
  <c r="H190" i="13"/>
  <c r="G190" i="13"/>
  <c r="F190" i="13"/>
  <c r="E190" i="13"/>
  <c r="D190" i="13"/>
  <c r="C190" i="13"/>
  <c r="Z189" i="13"/>
  <c r="Y189" i="13"/>
  <c r="X189" i="13"/>
  <c r="W189" i="13"/>
  <c r="V189" i="13"/>
  <c r="U189" i="13"/>
  <c r="T189" i="13"/>
  <c r="S189" i="13"/>
  <c r="R189" i="13"/>
  <c r="Q189" i="13"/>
  <c r="P189" i="13"/>
  <c r="O189" i="13"/>
  <c r="N189" i="13"/>
  <c r="M189" i="13"/>
  <c r="L189" i="13"/>
  <c r="K189" i="13"/>
  <c r="J189" i="13"/>
  <c r="I189" i="13"/>
  <c r="H189" i="13"/>
  <c r="G189" i="13"/>
  <c r="F189" i="13"/>
  <c r="E189" i="13"/>
  <c r="D189" i="13"/>
  <c r="C189" i="13"/>
  <c r="Z188" i="13"/>
  <c r="Y188" i="13"/>
  <c r="X188" i="13"/>
  <c r="W188" i="13"/>
  <c r="V188" i="13"/>
  <c r="U188" i="13"/>
  <c r="T188" i="13"/>
  <c r="S188" i="13"/>
  <c r="R188" i="13"/>
  <c r="Q188" i="13"/>
  <c r="P188" i="13"/>
  <c r="O188" i="13"/>
  <c r="N188" i="13"/>
  <c r="M188" i="13"/>
  <c r="L188" i="13"/>
  <c r="K188" i="13"/>
  <c r="J188" i="13"/>
  <c r="I188" i="13"/>
  <c r="H188" i="13"/>
  <c r="G188" i="13"/>
  <c r="F188" i="13"/>
  <c r="E188" i="13"/>
  <c r="D188" i="13"/>
  <c r="C188" i="13"/>
  <c r="Z187" i="13"/>
  <c r="Y187" i="13"/>
  <c r="X187" i="13"/>
  <c r="W187" i="13"/>
  <c r="V187" i="13"/>
  <c r="U187" i="13"/>
  <c r="T187" i="13"/>
  <c r="S187" i="13"/>
  <c r="R187" i="13"/>
  <c r="Q187" i="13"/>
  <c r="P187" i="13"/>
  <c r="O187" i="13"/>
  <c r="N187" i="13"/>
  <c r="M187" i="13"/>
  <c r="L187" i="13"/>
  <c r="K187" i="13"/>
  <c r="J187" i="13"/>
  <c r="I187" i="13"/>
  <c r="H187" i="13"/>
  <c r="G187" i="13"/>
  <c r="F187" i="13"/>
  <c r="E187" i="13"/>
  <c r="D187" i="13"/>
  <c r="C187" i="13"/>
  <c r="Z186" i="13"/>
  <c r="Y186" i="13"/>
  <c r="X186" i="13"/>
  <c r="W186" i="13"/>
  <c r="V186" i="13"/>
  <c r="U186" i="13"/>
  <c r="T186" i="13"/>
  <c r="S186" i="13"/>
  <c r="R186" i="13"/>
  <c r="Q186" i="13"/>
  <c r="P186" i="13"/>
  <c r="O186" i="13"/>
  <c r="N186" i="13"/>
  <c r="M186" i="13"/>
  <c r="L186" i="13"/>
  <c r="K186" i="13"/>
  <c r="J186" i="13"/>
  <c r="I186" i="13"/>
  <c r="H186" i="13"/>
  <c r="G186" i="13"/>
  <c r="F186" i="13"/>
  <c r="E186" i="13"/>
  <c r="D186" i="13"/>
  <c r="C186" i="13"/>
  <c r="Z185" i="13"/>
  <c r="Y185" i="13"/>
  <c r="X185" i="13"/>
  <c r="W185" i="13"/>
  <c r="V185" i="13"/>
  <c r="U185" i="13"/>
  <c r="T185" i="13"/>
  <c r="S185" i="13"/>
  <c r="R185" i="13"/>
  <c r="Q185" i="13"/>
  <c r="P185" i="13"/>
  <c r="O185" i="13"/>
  <c r="N185" i="13"/>
  <c r="M185" i="13"/>
  <c r="L185" i="13"/>
  <c r="K185" i="13"/>
  <c r="J185" i="13"/>
  <c r="I185" i="13"/>
  <c r="H185" i="13"/>
  <c r="G185" i="13"/>
  <c r="F185" i="13"/>
  <c r="E185" i="13"/>
  <c r="D185" i="13"/>
  <c r="C185" i="13"/>
  <c r="Z184" i="13"/>
  <c r="Y184" i="13"/>
  <c r="X184" i="13"/>
  <c r="W184" i="13"/>
  <c r="V184" i="13"/>
  <c r="U184" i="13"/>
  <c r="T184" i="13"/>
  <c r="S184" i="13"/>
  <c r="R184" i="13"/>
  <c r="Q184" i="13"/>
  <c r="P184" i="13"/>
  <c r="O184" i="13"/>
  <c r="N184" i="13"/>
  <c r="M184" i="13"/>
  <c r="L184" i="13"/>
  <c r="K184" i="13"/>
  <c r="J184" i="13"/>
  <c r="I184" i="13"/>
  <c r="H184" i="13"/>
  <c r="G184" i="13"/>
  <c r="F184" i="13"/>
  <c r="E184" i="13"/>
  <c r="D184" i="13"/>
  <c r="C184" i="13"/>
  <c r="Z183" i="13"/>
  <c r="Y183" i="13"/>
  <c r="X183" i="13"/>
  <c r="W183" i="13"/>
  <c r="V183" i="13"/>
  <c r="U183" i="13"/>
  <c r="T183" i="13"/>
  <c r="S183" i="13"/>
  <c r="R183" i="13"/>
  <c r="Q183" i="13"/>
  <c r="P183" i="13"/>
  <c r="O183" i="13"/>
  <c r="N183" i="13"/>
  <c r="M183" i="13"/>
  <c r="L183" i="13"/>
  <c r="K183" i="13"/>
  <c r="J183" i="13"/>
  <c r="I183" i="13"/>
  <c r="H183" i="13"/>
  <c r="G183" i="13"/>
  <c r="F183" i="13"/>
  <c r="E183" i="13"/>
  <c r="D183" i="13"/>
  <c r="C183" i="13"/>
  <c r="Z182" i="13"/>
  <c r="Y182" i="13"/>
  <c r="X182" i="13"/>
  <c r="W182" i="13"/>
  <c r="V182" i="13"/>
  <c r="U182" i="13"/>
  <c r="T182" i="13"/>
  <c r="S182" i="13"/>
  <c r="R182" i="13"/>
  <c r="Q182" i="13"/>
  <c r="P182" i="13"/>
  <c r="O182" i="13"/>
  <c r="N182" i="13"/>
  <c r="M182" i="13"/>
  <c r="L182" i="13"/>
  <c r="K182" i="13"/>
  <c r="J182" i="13"/>
  <c r="I182" i="13"/>
  <c r="H182" i="13"/>
  <c r="G182" i="13"/>
  <c r="F182" i="13"/>
  <c r="E182" i="13"/>
  <c r="D182" i="13"/>
  <c r="C182" i="13"/>
  <c r="Z181" i="13"/>
  <c r="Y181" i="13"/>
  <c r="X181" i="13"/>
  <c r="W181" i="13"/>
  <c r="V181" i="13"/>
  <c r="U181" i="13"/>
  <c r="T181" i="13"/>
  <c r="S181" i="13"/>
  <c r="R181" i="13"/>
  <c r="Q181" i="13"/>
  <c r="P181" i="13"/>
  <c r="O181" i="13"/>
  <c r="N181" i="13"/>
  <c r="M181" i="13"/>
  <c r="L181" i="13"/>
  <c r="K181" i="13"/>
  <c r="J181" i="13"/>
  <c r="I181" i="13"/>
  <c r="H181" i="13"/>
  <c r="G181" i="13"/>
  <c r="F181" i="13"/>
  <c r="E181" i="13"/>
  <c r="D181" i="13"/>
  <c r="C181" i="13"/>
  <c r="Z180" i="13"/>
  <c r="Y180" i="13"/>
  <c r="X180" i="13"/>
  <c r="W180" i="13"/>
  <c r="V180" i="13"/>
  <c r="U180" i="13"/>
  <c r="T180" i="13"/>
  <c r="S180" i="13"/>
  <c r="R180" i="13"/>
  <c r="Q180" i="13"/>
  <c r="P180" i="13"/>
  <c r="O180" i="13"/>
  <c r="N180" i="13"/>
  <c r="M180" i="13"/>
  <c r="L180" i="13"/>
  <c r="K180" i="13"/>
  <c r="J180" i="13"/>
  <c r="I180" i="13"/>
  <c r="H180" i="13"/>
  <c r="G180" i="13"/>
  <c r="F180" i="13"/>
  <c r="E180" i="13"/>
  <c r="D180" i="13"/>
  <c r="C180" i="13"/>
  <c r="Z179" i="13"/>
  <c r="Y179" i="13"/>
  <c r="X179" i="13"/>
  <c r="W179" i="13"/>
  <c r="V179" i="13"/>
  <c r="U179" i="13"/>
  <c r="T179" i="13"/>
  <c r="S179" i="13"/>
  <c r="R179" i="13"/>
  <c r="Q179" i="13"/>
  <c r="P179" i="13"/>
  <c r="O179" i="13"/>
  <c r="N179" i="13"/>
  <c r="M179" i="13"/>
  <c r="L179" i="13"/>
  <c r="K179" i="13"/>
  <c r="J179" i="13"/>
  <c r="I179" i="13"/>
  <c r="H179" i="13"/>
  <c r="G179" i="13"/>
  <c r="F179" i="13"/>
  <c r="E179" i="13"/>
  <c r="D179" i="13"/>
  <c r="C179" i="13"/>
  <c r="Z178" i="13"/>
  <c r="Y178" i="13"/>
  <c r="X178" i="13"/>
  <c r="W178" i="13"/>
  <c r="V178" i="13"/>
  <c r="U178" i="13"/>
  <c r="T178" i="13"/>
  <c r="S178" i="13"/>
  <c r="R178" i="13"/>
  <c r="Q178" i="13"/>
  <c r="P178" i="13"/>
  <c r="O178" i="13"/>
  <c r="N178" i="13"/>
  <c r="M178" i="13"/>
  <c r="L178" i="13"/>
  <c r="K178" i="13"/>
  <c r="J178" i="13"/>
  <c r="I178" i="13"/>
  <c r="H178" i="13"/>
  <c r="G178" i="13"/>
  <c r="F178" i="13"/>
  <c r="E178" i="13"/>
  <c r="D178" i="13"/>
  <c r="C178" i="13"/>
  <c r="Z177" i="13"/>
  <c r="Y177" i="13"/>
  <c r="X177" i="13"/>
  <c r="W177" i="13"/>
  <c r="V177" i="13"/>
  <c r="U177" i="13"/>
  <c r="T177" i="13"/>
  <c r="S177" i="13"/>
  <c r="R177" i="13"/>
  <c r="Q177" i="13"/>
  <c r="P177" i="13"/>
  <c r="O177" i="13"/>
  <c r="N177" i="13"/>
  <c r="M177" i="13"/>
  <c r="L177" i="13"/>
  <c r="K177" i="13"/>
  <c r="J177" i="13"/>
  <c r="I177" i="13"/>
  <c r="H177" i="13"/>
  <c r="G177" i="13"/>
  <c r="F177" i="13"/>
  <c r="E177" i="13"/>
  <c r="D177" i="13"/>
  <c r="C177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F176" i="13"/>
  <c r="E176" i="13"/>
  <c r="D176" i="13"/>
  <c r="C176" i="13"/>
  <c r="Z175" i="13"/>
  <c r="Y175" i="13"/>
  <c r="X175" i="13"/>
  <c r="W175" i="13"/>
  <c r="V175" i="13"/>
  <c r="U175" i="13"/>
  <c r="T175" i="13"/>
  <c r="S175" i="13"/>
  <c r="R175" i="13"/>
  <c r="Q175" i="13"/>
  <c r="P175" i="13"/>
  <c r="O175" i="13"/>
  <c r="N175" i="13"/>
  <c r="M175" i="13"/>
  <c r="L175" i="13"/>
  <c r="K175" i="13"/>
  <c r="J175" i="13"/>
  <c r="I175" i="13"/>
  <c r="H175" i="13"/>
  <c r="G175" i="13"/>
  <c r="F175" i="13"/>
  <c r="E175" i="13"/>
  <c r="D175" i="13"/>
  <c r="C175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L174" i="13"/>
  <c r="K174" i="13"/>
  <c r="J174" i="13"/>
  <c r="I174" i="13"/>
  <c r="H174" i="13"/>
  <c r="G174" i="13"/>
  <c r="F174" i="13"/>
  <c r="E174" i="13"/>
  <c r="D174" i="13"/>
  <c r="C174" i="13"/>
  <c r="Z173" i="13"/>
  <c r="Y173" i="13"/>
  <c r="X173" i="13"/>
  <c r="W173" i="13"/>
  <c r="V173" i="13"/>
  <c r="U173" i="13"/>
  <c r="T173" i="13"/>
  <c r="S173" i="13"/>
  <c r="R173" i="13"/>
  <c r="Q173" i="13"/>
  <c r="P173" i="13"/>
  <c r="O173" i="13"/>
  <c r="N173" i="13"/>
  <c r="M173" i="13"/>
  <c r="L173" i="13"/>
  <c r="K173" i="13"/>
  <c r="J173" i="13"/>
  <c r="I173" i="13"/>
  <c r="H173" i="13"/>
  <c r="G173" i="13"/>
  <c r="F173" i="13"/>
  <c r="E173" i="13"/>
  <c r="D173" i="13"/>
  <c r="C173" i="13"/>
  <c r="Z172" i="13"/>
  <c r="Y172" i="13"/>
  <c r="X172" i="13"/>
  <c r="W172" i="13"/>
  <c r="V172" i="13"/>
  <c r="U172" i="13"/>
  <c r="T172" i="13"/>
  <c r="S172" i="13"/>
  <c r="R172" i="13"/>
  <c r="Q172" i="13"/>
  <c r="P172" i="13"/>
  <c r="O172" i="13"/>
  <c r="N172" i="13"/>
  <c r="M172" i="13"/>
  <c r="L172" i="13"/>
  <c r="K172" i="13"/>
  <c r="J172" i="13"/>
  <c r="I172" i="13"/>
  <c r="H172" i="13"/>
  <c r="G172" i="13"/>
  <c r="F172" i="13"/>
  <c r="E172" i="13"/>
  <c r="D172" i="13"/>
  <c r="C172" i="13"/>
  <c r="Z171" i="13"/>
  <c r="Y171" i="13"/>
  <c r="X171" i="13"/>
  <c r="W171" i="13"/>
  <c r="V171" i="13"/>
  <c r="U171" i="13"/>
  <c r="T171" i="13"/>
  <c r="S171" i="13"/>
  <c r="R171" i="13"/>
  <c r="Q171" i="13"/>
  <c r="P171" i="13"/>
  <c r="O171" i="13"/>
  <c r="N171" i="13"/>
  <c r="M171" i="13"/>
  <c r="L171" i="13"/>
  <c r="K171" i="13"/>
  <c r="J171" i="13"/>
  <c r="I171" i="13"/>
  <c r="H171" i="13"/>
  <c r="G171" i="13"/>
  <c r="F171" i="13"/>
  <c r="E171" i="13"/>
  <c r="D171" i="13"/>
  <c r="C171" i="13"/>
  <c r="Z170" i="13"/>
  <c r="Y170" i="13"/>
  <c r="X170" i="13"/>
  <c r="W170" i="13"/>
  <c r="V170" i="13"/>
  <c r="U170" i="13"/>
  <c r="T170" i="13"/>
  <c r="S170" i="13"/>
  <c r="R170" i="13"/>
  <c r="Q170" i="13"/>
  <c r="P170" i="13"/>
  <c r="O170" i="13"/>
  <c r="N170" i="13"/>
  <c r="M170" i="13"/>
  <c r="L170" i="13"/>
  <c r="K170" i="13"/>
  <c r="J170" i="13"/>
  <c r="I170" i="13"/>
  <c r="H170" i="13"/>
  <c r="G170" i="13"/>
  <c r="F170" i="13"/>
  <c r="E170" i="13"/>
  <c r="D170" i="13"/>
  <c r="C170" i="13"/>
  <c r="Z169" i="13"/>
  <c r="Y169" i="13"/>
  <c r="X169" i="13"/>
  <c r="W169" i="13"/>
  <c r="V169" i="13"/>
  <c r="U169" i="13"/>
  <c r="T169" i="13"/>
  <c r="S169" i="13"/>
  <c r="R169" i="13"/>
  <c r="Q169" i="13"/>
  <c r="P169" i="13"/>
  <c r="O169" i="13"/>
  <c r="N169" i="13"/>
  <c r="M169" i="13"/>
  <c r="L169" i="13"/>
  <c r="K169" i="13"/>
  <c r="J169" i="13"/>
  <c r="I169" i="13"/>
  <c r="H169" i="13"/>
  <c r="G169" i="13"/>
  <c r="F169" i="13"/>
  <c r="E169" i="13"/>
  <c r="D169" i="13"/>
  <c r="C169" i="13"/>
  <c r="Z168" i="13"/>
  <c r="Y168" i="13"/>
  <c r="X168" i="13"/>
  <c r="W168" i="13"/>
  <c r="V168" i="13"/>
  <c r="U168" i="13"/>
  <c r="T168" i="13"/>
  <c r="S168" i="13"/>
  <c r="R168" i="13"/>
  <c r="Q168" i="13"/>
  <c r="P168" i="13"/>
  <c r="O168" i="13"/>
  <c r="N168" i="13"/>
  <c r="M168" i="13"/>
  <c r="L168" i="13"/>
  <c r="K168" i="13"/>
  <c r="J168" i="13"/>
  <c r="I168" i="13"/>
  <c r="H168" i="13"/>
  <c r="G168" i="13"/>
  <c r="F168" i="13"/>
  <c r="E168" i="13"/>
  <c r="D168" i="13"/>
  <c r="C168" i="13"/>
  <c r="Z167" i="13"/>
  <c r="Y167" i="13"/>
  <c r="X167" i="13"/>
  <c r="W167" i="13"/>
  <c r="V167" i="13"/>
  <c r="U167" i="13"/>
  <c r="T167" i="13"/>
  <c r="S167" i="13"/>
  <c r="R167" i="13"/>
  <c r="Q167" i="13"/>
  <c r="P167" i="13"/>
  <c r="O167" i="13"/>
  <c r="N167" i="13"/>
  <c r="M167" i="13"/>
  <c r="L167" i="13"/>
  <c r="K167" i="13"/>
  <c r="J167" i="13"/>
  <c r="I167" i="13"/>
  <c r="H167" i="13"/>
  <c r="G167" i="13"/>
  <c r="F167" i="13"/>
  <c r="E167" i="13"/>
  <c r="D167" i="13"/>
  <c r="C167" i="13"/>
  <c r="Z166" i="13"/>
  <c r="Y166" i="13"/>
  <c r="X166" i="13"/>
  <c r="W166" i="13"/>
  <c r="V166" i="13"/>
  <c r="U166" i="13"/>
  <c r="T166" i="13"/>
  <c r="S166" i="13"/>
  <c r="R166" i="13"/>
  <c r="Q166" i="13"/>
  <c r="P166" i="13"/>
  <c r="O166" i="13"/>
  <c r="N166" i="13"/>
  <c r="M166" i="13"/>
  <c r="L166" i="13"/>
  <c r="K166" i="13"/>
  <c r="J166" i="13"/>
  <c r="I166" i="13"/>
  <c r="H166" i="13"/>
  <c r="G166" i="13"/>
  <c r="F166" i="13"/>
  <c r="E166" i="13"/>
  <c r="D166" i="13"/>
  <c r="C166" i="13"/>
  <c r="Z165" i="13"/>
  <c r="Y165" i="13"/>
  <c r="X165" i="13"/>
  <c r="W165" i="13"/>
  <c r="V165" i="13"/>
  <c r="U165" i="13"/>
  <c r="T165" i="13"/>
  <c r="S165" i="13"/>
  <c r="R165" i="13"/>
  <c r="Q165" i="13"/>
  <c r="P165" i="13"/>
  <c r="O165" i="13"/>
  <c r="N165" i="13"/>
  <c r="M165" i="13"/>
  <c r="L165" i="13"/>
  <c r="K165" i="13"/>
  <c r="J165" i="13"/>
  <c r="I165" i="13"/>
  <c r="H165" i="13"/>
  <c r="G165" i="13"/>
  <c r="F165" i="13"/>
  <c r="E165" i="13"/>
  <c r="D165" i="13"/>
  <c r="C165" i="13"/>
  <c r="Z164" i="13"/>
  <c r="Y164" i="13"/>
  <c r="X164" i="13"/>
  <c r="W164" i="13"/>
  <c r="V164" i="13"/>
  <c r="U164" i="13"/>
  <c r="T164" i="13"/>
  <c r="S164" i="13"/>
  <c r="R164" i="13"/>
  <c r="Q164" i="13"/>
  <c r="P164" i="13"/>
  <c r="O164" i="13"/>
  <c r="N164" i="13"/>
  <c r="M164" i="13"/>
  <c r="L164" i="13"/>
  <c r="K164" i="13"/>
  <c r="J164" i="13"/>
  <c r="I164" i="13"/>
  <c r="H164" i="13"/>
  <c r="G164" i="13"/>
  <c r="F164" i="13"/>
  <c r="E164" i="13"/>
  <c r="D164" i="13"/>
  <c r="C164" i="13"/>
  <c r="Z163" i="13"/>
  <c r="Y163" i="13"/>
  <c r="X163" i="13"/>
  <c r="W163" i="13"/>
  <c r="V163" i="13"/>
  <c r="U163" i="13"/>
  <c r="T163" i="13"/>
  <c r="S163" i="13"/>
  <c r="R163" i="13"/>
  <c r="Q163" i="13"/>
  <c r="P163" i="13"/>
  <c r="O163" i="13"/>
  <c r="N163" i="13"/>
  <c r="M163" i="13"/>
  <c r="L163" i="13"/>
  <c r="K163" i="13"/>
  <c r="J163" i="13"/>
  <c r="I163" i="13"/>
  <c r="H163" i="13"/>
  <c r="G163" i="13"/>
  <c r="F163" i="13"/>
  <c r="E163" i="13"/>
  <c r="D163" i="13"/>
  <c r="C163" i="13"/>
  <c r="Z162" i="13"/>
  <c r="Y162" i="13"/>
  <c r="X162" i="13"/>
  <c r="W162" i="13"/>
  <c r="V162" i="13"/>
  <c r="U162" i="13"/>
  <c r="T162" i="13"/>
  <c r="S162" i="13"/>
  <c r="R162" i="13"/>
  <c r="Q162" i="13"/>
  <c r="P162" i="13"/>
  <c r="O162" i="13"/>
  <c r="N162" i="13"/>
  <c r="M162" i="13"/>
  <c r="L162" i="13"/>
  <c r="K162" i="13"/>
  <c r="J162" i="13"/>
  <c r="I162" i="13"/>
  <c r="H162" i="13"/>
  <c r="G162" i="13"/>
  <c r="F162" i="13"/>
  <c r="E162" i="13"/>
  <c r="D162" i="13"/>
  <c r="C162" i="13"/>
  <c r="Z161" i="13"/>
  <c r="Y161" i="13"/>
  <c r="X161" i="13"/>
  <c r="W161" i="13"/>
  <c r="V161" i="13"/>
  <c r="U161" i="13"/>
  <c r="T161" i="13"/>
  <c r="S161" i="13"/>
  <c r="R161" i="13"/>
  <c r="Q161" i="13"/>
  <c r="P161" i="13"/>
  <c r="O161" i="13"/>
  <c r="N161" i="13"/>
  <c r="M161" i="13"/>
  <c r="L161" i="13"/>
  <c r="K161" i="13"/>
  <c r="J161" i="13"/>
  <c r="I161" i="13"/>
  <c r="H161" i="13"/>
  <c r="G161" i="13"/>
  <c r="F161" i="13"/>
  <c r="E161" i="13"/>
  <c r="D161" i="13"/>
  <c r="C161" i="13"/>
  <c r="Z160" i="13"/>
  <c r="Y160" i="13"/>
  <c r="X160" i="13"/>
  <c r="W160" i="13"/>
  <c r="V160" i="13"/>
  <c r="U160" i="13"/>
  <c r="T160" i="13"/>
  <c r="S160" i="13"/>
  <c r="R160" i="13"/>
  <c r="Q160" i="13"/>
  <c r="P160" i="13"/>
  <c r="O160" i="13"/>
  <c r="N160" i="13"/>
  <c r="M160" i="13"/>
  <c r="L160" i="13"/>
  <c r="K160" i="13"/>
  <c r="J160" i="13"/>
  <c r="I160" i="13"/>
  <c r="H160" i="13"/>
  <c r="G160" i="13"/>
  <c r="F160" i="13"/>
  <c r="E160" i="13"/>
  <c r="D160" i="13"/>
  <c r="C160" i="13"/>
  <c r="Z159" i="13"/>
  <c r="Y159" i="13"/>
  <c r="X159" i="13"/>
  <c r="W159" i="13"/>
  <c r="V159" i="13"/>
  <c r="U159" i="13"/>
  <c r="T159" i="13"/>
  <c r="S159" i="13"/>
  <c r="R159" i="13"/>
  <c r="Q159" i="13"/>
  <c r="P159" i="13"/>
  <c r="O159" i="13"/>
  <c r="N159" i="13"/>
  <c r="M159" i="13"/>
  <c r="L159" i="13"/>
  <c r="K159" i="13"/>
  <c r="J159" i="13"/>
  <c r="I159" i="13"/>
  <c r="H159" i="13"/>
  <c r="G159" i="13"/>
  <c r="F159" i="13"/>
  <c r="E159" i="13"/>
  <c r="D159" i="13"/>
  <c r="C159" i="13"/>
  <c r="Z158" i="13"/>
  <c r="Y158" i="13"/>
  <c r="X158" i="13"/>
  <c r="W158" i="13"/>
  <c r="V158" i="13"/>
  <c r="U158" i="13"/>
  <c r="T158" i="13"/>
  <c r="S158" i="13"/>
  <c r="R158" i="13"/>
  <c r="Q158" i="13"/>
  <c r="P158" i="13"/>
  <c r="O158" i="13"/>
  <c r="N158" i="13"/>
  <c r="M158" i="13"/>
  <c r="L158" i="13"/>
  <c r="K158" i="13"/>
  <c r="J158" i="13"/>
  <c r="I158" i="13"/>
  <c r="H158" i="13"/>
  <c r="G158" i="13"/>
  <c r="F158" i="13"/>
  <c r="E158" i="13"/>
  <c r="D158" i="13"/>
  <c r="C158" i="13"/>
  <c r="Z157" i="13"/>
  <c r="Y157" i="13"/>
  <c r="X157" i="13"/>
  <c r="W157" i="13"/>
  <c r="V157" i="13"/>
  <c r="U157" i="13"/>
  <c r="T157" i="13"/>
  <c r="S157" i="13"/>
  <c r="R157" i="13"/>
  <c r="Q157" i="13"/>
  <c r="P157" i="13"/>
  <c r="O157" i="13"/>
  <c r="N157" i="13"/>
  <c r="M157" i="13"/>
  <c r="L157" i="13"/>
  <c r="K157" i="13"/>
  <c r="J157" i="13"/>
  <c r="I157" i="13"/>
  <c r="H157" i="13"/>
  <c r="G157" i="13"/>
  <c r="F157" i="13"/>
  <c r="E157" i="13"/>
  <c r="D157" i="13"/>
  <c r="C157" i="13"/>
  <c r="Z156" i="13"/>
  <c r="Y156" i="13"/>
  <c r="X156" i="13"/>
  <c r="W156" i="13"/>
  <c r="V156" i="13"/>
  <c r="U156" i="13"/>
  <c r="T156" i="13"/>
  <c r="S156" i="13"/>
  <c r="R156" i="13"/>
  <c r="Q156" i="13"/>
  <c r="P156" i="13"/>
  <c r="O156" i="13"/>
  <c r="N156" i="13"/>
  <c r="M156" i="13"/>
  <c r="L156" i="13"/>
  <c r="K156" i="13"/>
  <c r="J156" i="13"/>
  <c r="I156" i="13"/>
  <c r="H156" i="13"/>
  <c r="G156" i="13"/>
  <c r="F156" i="13"/>
  <c r="E156" i="13"/>
  <c r="D156" i="13"/>
  <c r="C156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5" i="13"/>
  <c r="E155" i="13"/>
  <c r="D155" i="13"/>
  <c r="C155" i="13"/>
  <c r="Z154" i="13"/>
  <c r="Y154" i="13"/>
  <c r="X154" i="13"/>
  <c r="W154" i="13"/>
  <c r="V154" i="13"/>
  <c r="U154" i="13"/>
  <c r="T154" i="13"/>
  <c r="S154" i="13"/>
  <c r="R154" i="13"/>
  <c r="Q154" i="13"/>
  <c r="P154" i="13"/>
  <c r="O154" i="13"/>
  <c r="N154" i="13"/>
  <c r="M154" i="13"/>
  <c r="L154" i="13"/>
  <c r="K154" i="13"/>
  <c r="J154" i="13"/>
  <c r="I154" i="13"/>
  <c r="H154" i="13"/>
  <c r="G154" i="13"/>
  <c r="F154" i="13"/>
  <c r="E154" i="13"/>
  <c r="D154" i="13"/>
  <c r="C154" i="13"/>
  <c r="Z153" i="13"/>
  <c r="Y153" i="13"/>
  <c r="X153" i="13"/>
  <c r="W153" i="13"/>
  <c r="V153" i="13"/>
  <c r="U153" i="13"/>
  <c r="T153" i="13"/>
  <c r="S153" i="13"/>
  <c r="R153" i="13"/>
  <c r="Q153" i="13"/>
  <c r="P153" i="13"/>
  <c r="O153" i="13"/>
  <c r="N153" i="13"/>
  <c r="M153" i="13"/>
  <c r="L153" i="13"/>
  <c r="K153" i="13"/>
  <c r="J153" i="13"/>
  <c r="I153" i="13"/>
  <c r="H153" i="13"/>
  <c r="G153" i="13"/>
  <c r="F153" i="13"/>
  <c r="E153" i="13"/>
  <c r="D153" i="13"/>
  <c r="C153" i="13"/>
  <c r="Z152" i="13"/>
  <c r="Y152" i="13"/>
  <c r="X152" i="13"/>
  <c r="W152" i="13"/>
  <c r="V152" i="13"/>
  <c r="U152" i="13"/>
  <c r="T152" i="13"/>
  <c r="S152" i="13"/>
  <c r="R152" i="13"/>
  <c r="Q152" i="13"/>
  <c r="P152" i="13"/>
  <c r="O152" i="13"/>
  <c r="N152" i="13"/>
  <c r="M152" i="13"/>
  <c r="L152" i="13"/>
  <c r="K152" i="13"/>
  <c r="J152" i="13"/>
  <c r="I152" i="13"/>
  <c r="H152" i="13"/>
  <c r="G152" i="13"/>
  <c r="F152" i="13"/>
  <c r="E152" i="13"/>
  <c r="D152" i="13"/>
  <c r="C152" i="13"/>
  <c r="Z151" i="13"/>
  <c r="Y151" i="13"/>
  <c r="X151" i="13"/>
  <c r="W151" i="13"/>
  <c r="V151" i="13"/>
  <c r="U151" i="13"/>
  <c r="T151" i="13"/>
  <c r="S151" i="13"/>
  <c r="R151" i="13"/>
  <c r="Q151" i="13"/>
  <c r="P151" i="13"/>
  <c r="O151" i="13"/>
  <c r="N151" i="13"/>
  <c r="M151" i="13"/>
  <c r="L151" i="13"/>
  <c r="K151" i="13"/>
  <c r="J151" i="13"/>
  <c r="I151" i="13"/>
  <c r="H151" i="13"/>
  <c r="G151" i="13"/>
  <c r="F151" i="13"/>
  <c r="E151" i="13"/>
  <c r="D151" i="13"/>
  <c r="C151" i="13"/>
  <c r="Z150" i="13"/>
  <c r="Y150" i="13"/>
  <c r="X150" i="13"/>
  <c r="W150" i="13"/>
  <c r="V150" i="13"/>
  <c r="U150" i="13"/>
  <c r="T150" i="13"/>
  <c r="S150" i="13"/>
  <c r="R150" i="13"/>
  <c r="Q150" i="13"/>
  <c r="P150" i="13"/>
  <c r="O150" i="13"/>
  <c r="N150" i="13"/>
  <c r="M150" i="13"/>
  <c r="L150" i="13"/>
  <c r="K150" i="13"/>
  <c r="J150" i="13"/>
  <c r="I150" i="13"/>
  <c r="H150" i="13"/>
  <c r="G150" i="13"/>
  <c r="F150" i="13"/>
  <c r="E150" i="13"/>
  <c r="D150" i="13"/>
  <c r="C150" i="13"/>
  <c r="Z149" i="13"/>
  <c r="Y149" i="13"/>
  <c r="X149" i="13"/>
  <c r="W149" i="13"/>
  <c r="V149" i="13"/>
  <c r="U149" i="13"/>
  <c r="T149" i="13"/>
  <c r="S149" i="13"/>
  <c r="R149" i="13"/>
  <c r="Q149" i="13"/>
  <c r="P149" i="13"/>
  <c r="O149" i="13"/>
  <c r="N149" i="13"/>
  <c r="M149" i="13"/>
  <c r="L149" i="13"/>
  <c r="K149" i="13"/>
  <c r="J149" i="13"/>
  <c r="I149" i="13"/>
  <c r="H149" i="13"/>
  <c r="G149" i="13"/>
  <c r="F149" i="13"/>
  <c r="E149" i="13"/>
  <c r="D149" i="13"/>
  <c r="C149" i="13"/>
  <c r="Z148" i="13"/>
  <c r="Y148" i="13"/>
  <c r="X148" i="13"/>
  <c r="W148" i="13"/>
  <c r="V148" i="13"/>
  <c r="U148" i="13"/>
  <c r="T148" i="13"/>
  <c r="S148" i="13"/>
  <c r="R148" i="13"/>
  <c r="Q148" i="13"/>
  <c r="P148" i="13"/>
  <c r="O148" i="13"/>
  <c r="N148" i="13"/>
  <c r="M148" i="13"/>
  <c r="L148" i="13"/>
  <c r="K148" i="13"/>
  <c r="J148" i="13"/>
  <c r="I148" i="13"/>
  <c r="H148" i="13"/>
  <c r="G148" i="13"/>
  <c r="F148" i="13"/>
  <c r="E148" i="13"/>
  <c r="D148" i="13"/>
  <c r="C148" i="13"/>
  <c r="Z147" i="13"/>
  <c r="Y147" i="13"/>
  <c r="X147" i="13"/>
  <c r="W147" i="13"/>
  <c r="V147" i="13"/>
  <c r="U147" i="13"/>
  <c r="T147" i="13"/>
  <c r="S147" i="13"/>
  <c r="R147" i="13"/>
  <c r="Q147" i="13"/>
  <c r="P147" i="13"/>
  <c r="O147" i="13"/>
  <c r="N147" i="13"/>
  <c r="M147" i="13"/>
  <c r="L147" i="13"/>
  <c r="K147" i="13"/>
  <c r="J147" i="13"/>
  <c r="I147" i="13"/>
  <c r="H147" i="13"/>
  <c r="G147" i="13"/>
  <c r="F147" i="13"/>
  <c r="E147" i="13"/>
  <c r="D147" i="13"/>
  <c r="C147" i="13"/>
  <c r="Z146" i="13"/>
  <c r="Y146" i="13"/>
  <c r="X146" i="13"/>
  <c r="W146" i="13"/>
  <c r="V146" i="13"/>
  <c r="U146" i="13"/>
  <c r="T146" i="13"/>
  <c r="S146" i="13"/>
  <c r="R146" i="13"/>
  <c r="Q146" i="13"/>
  <c r="P146" i="13"/>
  <c r="O146" i="13"/>
  <c r="N146" i="13"/>
  <c r="M146" i="13"/>
  <c r="L146" i="13"/>
  <c r="K146" i="13"/>
  <c r="J146" i="13"/>
  <c r="I146" i="13"/>
  <c r="H146" i="13"/>
  <c r="G146" i="13"/>
  <c r="F146" i="13"/>
  <c r="E146" i="13"/>
  <c r="D146" i="13"/>
  <c r="C146" i="13"/>
  <c r="Z145" i="13"/>
  <c r="Y145" i="13"/>
  <c r="X145" i="13"/>
  <c r="W145" i="13"/>
  <c r="V145" i="13"/>
  <c r="U145" i="13"/>
  <c r="T145" i="13"/>
  <c r="S145" i="13"/>
  <c r="R145" i="13"/>
  <c r="Q145" i="13"/>
  <c r="P145" i="13"/>
  <c r="O145" i="13"/>
  <c r="N145" i="13"/>
  <c r="M145" i="13"/>
  <c r="L145" i="13"/>
  <c r="K145" i="13"/>
  <c r="J145" i="13"/>
  <c r="I145" i="13"/>
  <c r="H145" i="13"/>
  <c r="G145" i="13"/>
  <c r="F145" i="13"/>
  <c r="E145" i="13"/>
  <c r="D145" i="13"/>
  <c r="C145" i="13"/>
  <c r="Z144" i="13"/>
  <c r="Y144" i="13"/>
  <c r="X144" i="13"/>
  <c r="W144" i="13"/>
  <c r="V144" i="13"/>
  <c r="U144" i="13"/>
  <c r="T144" i="13"/>
  <c r="S144" i="13"/>
  <c r="R144" i="13"/>
  <c r="Q144" i="13"/>
  <c r="P144" i="13"/>
  <c r="O144" i="13"/>
  <c r="N144" i="13"/>
  <c r="M144" i="13"/>
  <c r="L144" i="13"/>
  <c r="K144" i="13"/>
  <c r="J144" i="13"/>
  <c r="I144" i="13"/>
  <c r="H144" i="13"/>
  <c r="G144" i="13"/>
  <c r="F144" i="13"/>
  <c r="E144" i="13"/>
  <c r="D144" i="13"/>
  <c r="C144" i="13"/>
  <c r="Z143" i="13"/>
  <c r="Y143" i="13"/>
  <c r="X143" i="13"/>
  <c r="W143" i="13"/>
  <c r="V143" i="13"/>
  <c r="U143" i="13"/>
  <c r="T143" i="13"/>
  <c r="S143" i="13"/>
  <c r="R143" i="13"/>
  <c r="Q143" i="13"/>
  <c r="P143" i="13"/>
  <c r="O143" i="13"/>
  <c r="N143" i="13"/>
  <c r="M143" i="13"/>
  <c r="L143" i="13"/>
  <c r="K143" i="13"/>
  <c r="J143" i="13"/>
  <c r="I143" i="13"/>
  <c r="H143" i="13"/>
  <c r="G143" i="13"/>
  <c r="F143" i="13"/>
  <c r="E143" i="13"/>
  <c r="D143" i="13"/>
  <c r="C143" i="13"/>
  <c r="Z142" i="13"/>
  <c r="Y142" i="13"/>
  <c r="X142" i="13"/>
  <c r="W142" i="13"/>
  <c r="V142" i="13"/>
  <c r="U142" i="13"/>
  <c r="T142" i="13"/>
  <c r="S142" i="13"/>
  <c r="R142" i="13"/>
  <c r="Q142" i="13"/>
  <c r="P142" i="13"/>
  <c r="O142" i="13"/>
  <c r="N142" i="13"/>
  <c r="M142" i="13"/>
  <c r="L142" i="13"/>
  <c r="K142" i="13"/>
  <c r="J142" i="13"/>
  <c r="I142" i="13"/>
  <c r="H142" i="13"/>
  <c r="G142" i="13"/>
  <c r="F142" i="13"/>
  <c r="E142" i="13"/>
  <c r="D142" i="13"/>
  <c r="C142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1" i="13"/>
  <c r="E141" i="13"/>
  <c r="D141" i="13"/>
  <c r="C141" i="13"/>
  <c r="Z140" i="13"/>
  <c r="Y140" i="13"/>
  <c r="X140" i="13"/>
  <c r="W140" i="13"/>
  <c r="V140" i="13"/>
  <c r="U140" i="13"/>
  <c r="T140" i="13"/>
  <c r="S140" i="13"/>
  <c r="R140" i="13"/>
  <c r="Q140" i="13"/>
  <c r="P140" i="13"/>
  <c r="O140" i="13"/>
  <c r="N140" i="13"/>
  <c r="M140" i="13"/>
  <c r="L140" i="13"/>
  <c r="K140" i="13"/>
  <c r="J140" i="13"/>
  <c r="I140" i="13"/>
  <c r="H140" i="13"/>
  <c r="G140" i="13"/>
  <c r="F140" i="13"/>
  <c r="E140" i="13"/>
  <c r="D140" i="13"/>
  <c r="C140" i="13"/>
  <c r="Z139" i="13"/>
  <c r="Y139" i="13"/>
  <c r="X139" i="13"/>
  <c r="W139" i="13"/>
  <c r="V139" i="13"/>
  <c r="U139" i="13"/>
  <c r="T139" i="13"/>
  <c r="S139" i="13"/>
  <c r="R139" i="13"/>
  <c r="Q139" i="13"/>
  <c r="P139" i="13"/>
  <c r="O139" i="13"/>
  <c r="N139" i="13"/>
  <c r="M139" i="13"/>
  <c r="L139" i="13"/>
  <c r="K139" i="13"/>
  <c r="J139" i="13"/>
  <c r="I139" i="13"/>
  <c r="H139" i="13"/>
  <c r="G139" i="13"/>
  <c r="F139" i="13"/>
  <c r="E139" i="13"/>
  <c r="D139" i="13"/>
  <c r="C139" i="13"/>
  <c r="Z138" i="13"/>
  <c r="Y138" i="13"/>
  <c r="X138" i="13"/>
  <c r="W138" i="13"/>
  <c r="V138" i="13"/>
  <c r="U138" i="13"/>
  <c r="T138" i="13"/>
  <c r="S138" i="13"/>
  <c r="R138" i="13"/>
  <c r="Q138" i="13"/>
  <c r="P138" i="13"/>
  <c r="O138" i="13"/>
  <c r="N138" i="13"/>
  <c r="M138" i="13"/>
  <c r="L138" i="13"/>
  <c r="K138" i="13"/>
  <c r="J138" i="13"/>
  <c r="I138" i="13"/>
  <c r="H138" i="13"/>
  <c r="G138" i="13"/>
  <c r="F138" i="13"/>
  <c r="E138" i="13"/>
  <c r="D138" i="13"/>
  <c r="C138" i="13"/>
  <c r="Z137" i="13"/>
  <c r="Y137" i="13"/>
  <c r="X137" i="13"/>
  <c r="W137" i="13"/>
  <c r="V137" i="13"/>
  <c r="U137" i="13"/>
  <c r="T137" i="13"/>
  <c r="S137" i="13"/>
  <c r="R137" i="13"/>
  <c r="Q137" i="13"/>
  <c r="P137" i="13"/>
  <c r="O137" i="13"/>
  <c r="N137" i="13"/>
  <c r="M137" i="13"/>
  <c r="L137" i="13"/>
  <c r="K137" i="13"/>
  <c r="J137" i="13"/>
  <c r="I137" i="13"/>
  <c r="H137" i="13"/>
  <c r="G137" i="13"/>
  <c r="F137" i="13"/>
  <c r="E137" i="13"/>
  <c r="D137" i="13"/>
  <c r="C137" i="13"/>
  <c r="Z136" i="13"/>
  <c r="Y136" i="13"/>
  <c r="X136" i="13"/>
  <c r="W136" i="13"/>
  <c r="V136" i="13"/>
  <c r="U136" i="13"/>
  <c r="T136" i="13"/>
  <c r="S136" i="13"/>
  <c r="R136" i="13"/>
  <c r="Q136" i="13"/>
  <c r="P136" i="13"/>
  <c r="O136" i="13"/>
  <c r="N136" i="13"/>
  <c r="M136" i="13"/>
  <c r="L136" i="13"/>
  <c r="K136" i="13"/>
  <c r="J136" i="13"/>
  <c r="I136" i="13"/>
  <c r="H136" i="13"/>
  <c r="G136" i="13"/>
  <c r="F136" i="13"/>
  <c r="E136" i="13"/>
  <c r="D136" i="13"/>
  <c r="C136" i="13"/>
  <c r="Z135" i="13"/>
  <c r="Y135" i="13"/>
  <c r="X135" i="13"/>
  <c r="W135" i="13"/>
  <c r="V135" i="13"/>
  <c r="U135" i="13"/>
  <c r="T135" i="13"/>
  <c r="S135" i="13"/>
  <c r="R135" i="13"/>
  <c r="Q135" i="13"/>
  <c r="P135" i="13"/>
  <c r="O135" i="13"/>
  <c r="N135" i="13"/>
  <c r="M135" i="13"/>
  <c r="L135" i="13"/>
  <c r="K135" i="13"/>
  <c r="J135" i="13"/>
  <c r="I135" i="13"/>
  <c r="H135" i="13"/>
  <c r="G135" i="13"/>
  <c r="F135" i="13"/>
  <c r="E135" i="13"/>
  <c r="D135" i="13"/>
  <c r="C135" i="13"/>
  <c r="Z134" i="13"/>
  <c r="Y134" i="13"/>
  <c r="X134" i="13"/>
  <c r="W134" i="13"/>
  <c r="V134" i="13"/>
  <c r="U134" i="13"/>
  <c r="T134" i="13"/>
  <c r="S134" i="13"/>
  <c r="R134" i="13"/>
  <c r="Q134" i="13"/>
  <c r="P134" i="13"/>
  <c r="O134" i="13"/>
  <c r="N134" i="13"/>
  <c r="M134" i="13"/>
  <c r="L134" i="13"/>
  <c r="K134" i="13"/>
  <c r="J134" i="13"/>
  <c r="I134" i="13"/>
  <c r="H134" i="13"/>
  <c r="G134" i="13"/>
  <c r="F134" i="13"/>
  <c r="E134" i="13"/>
  <c r="D134" i="13"/>
  <c r="C134" i="13"/>
  <c r="Z133" i="13"/>
  <c r="Y133" i="13"/>
  <c r="X133" i="13"/>
  <c r="W133" i="13"/>
  <c r="V133" i="13"/>
  <c r="U133" i="13"/>
  <c r="T133" i="13"/>
  <c r="S133" i="13"/>
  <c r="R133" i="13"/>
  <c r="Q133" i="13"/>
  <c r="P133" i="13"/>
  <c r="O133" i="13"/>
  <c r="N133" i="13"/>
  <c r="M133" i="13"/>
  <c r="L133" i="13"/>
  <c r="K133" i="13"/>
  <c r="J133" i="13"/>
  <c r="I133" i="13"/>
  <c r="H133" i="13"/>
  <c r="G133" i="13"/>
  <c r="F133" i="13"/>
  <c r="E133" i="13"/>
  <c r="D133" i="13"/>
  <c r="C133" i="13"/>
  <c r="Z132" i="13"/>
  <c r="Y132" i="13"/>
  <c r="X132" i="13"/>
  <c r="W132" i="13"/>
  <c r="V132" i="13"/>
  <c r="U132" i="13"/>
  <c r="T132" i="13"/>
  <c r="S132" i="13"/>
  <c r="R132" i="13"/>
  <c r="Q132" i="13"/>
  <c r="P132" i="13"/>
  <c r="O132" i="13"/>
  <c r="N132" i="13"/>
  <c r="M132" i="13"/>
  <c r="L132" i="13"/>
  <c r="K132" i="13"/>
  <c r="J132" i="13"/>
  <c r="I132" i="13"/>
  <c r="H132" i="13"/>
  <c r="G132" i="13"/>
  <c r="F132" i="13"/>
  <c r="E132" i="13"/>
  <c r="D132" i="13"/>
  <c r="C132" i="13"/>
  <c r="Z131" i="13"/>
  <c r="Y131" i="13"/>
  <c r="X131" i="13"/>
  <c r="W131" i="13"/>
  <c r="V131" i="13"/>
  <c r="U131" i="13"/>
  <c r="T131" i="13"/>
  <c r="S131" i="13"/>
  <c r="R131" i="13"/>
  <c r="Q131" i="13"/>
  <c r="P131" i="13"/>
  <c r="O131" i="13"/>
  <c r="N131" i="13"/>
  <c r="M131" i="13"/>
  <c r="L131" i="13"/>
  <c r="K131" i="13"/>
  <c r="J131" i="13"/>
  <c r="I131" i="13"/>
  <c r="H131" i="13"/>
  <c r="G131" i="13"/>
  <c r="F131" i="13"/>
  <c r="E131" i="13"/>
  <c r="D131" i="13"/>
  <c r="C131" i="13"/>
  <c r="Z130" i="13"/>
  <c r="Y130" i="13"/>
  <c r="X130" i="13"/>
  <c r="W130" i="13"/>
  <c r="V130" i="13"/>
  <c r="U130" i="13"/>
  <c r="T130" i="13"/>
  <c r="S130" i="13"/>
  <c r="R130" i="13"/>
  <c r="Q130" i="13"/>
  <c r="P130" i="13"/>
  <c r="O130" i="13"/>
  <c r="N130" i="13"/>
  <c r="M130" i="13"/>
  <c r="L130" i="13"/>
  <c r="K130" i="13"/>
  <c r="J130" i="13"/>
  <c r="I130" i="13"/>
  <c r="H130" i="13"/>
  <c r="G130" i="13"/>
  <c r="F130" i="13"/>
  <c r="E130" i="13"/>
  <c r="D130" i="13"/>
  <c r="C130" i="13"/>
  <c r="Z129" i="13"/>
  <c r="Y129" i="13"/>
  <c r="X129" i="13"/>
  <c r="W129" i="13"/>
  <c r="V129" i="13"/>
  <c r="U129" i="13"/>
  <c r="T129" i="13"/>
  <c r="S129" i="13"/>
  <c r="R129" i="13"/>
  <c r="Q129" i="13"/>
  <c r="P129" i="13"/>
  <c r="O129" i="13"/>
  <c r="N129" i="13"/>
  <c r="M129" i="13"/>
  <c r="L129" i="13"/>
  <c r="K129" i="13"/>
  <c r="J129" i="13"/>
  <c r="I129" i="13"/>
  <c r="H129" i="13"/>
  <c r="G129" i="13"/>
  <c r="F129" i="13"/>
  <c r="E129" i="13"/>
  <c r="D129" i="13"/>
  <c r="C129" i="13"/>
  <c r="Z128" i="13"/>
  <c r="Y128" i="13"/>
  <c r="X128" i="13"/>
  <c r="W128" i="13"/>
  <c r="V128" i="13"/>
  <c r="U128" i="13"/>
  <c r="T128" i="13"/>
  <c r="S128" i="13"/>
  <c r="R128" i="13"/>
  <c r="Q128" i="13"/>
  <c r="P128" i="13"/>
  <c r="O128" i="13"/>
  <c r="N128" i="13"/>
  <c r="M128" i="13"/>
  <c r="L128" i="13"/>
  <c r="K128" i="13"/>
  <c r="J128" i="13"/>
  <c r="I128" i="13"/>
  <c r="H128" i="13"/>
  <c r="G128" i="13"/>
  <c r="F128" i="13"/>
  <c r="E128" i="13"/>
  <c r="D128" i="13"/>
  <c r="C128" i="13"/>
  <c r="Z127" i="13"/>
  <c r="Y127" i="13"/>
  <c r="X127" i="13"/>
  <c r="W127" i="13"/>
  <c r="V127" i="13"/>
  <c r="U127" i="13"/>
  <c r="T127" i="13"/>
  <c r="S127" i="13"/>
  <c r="R127" i="13"/>
  <c r="Q127" i="13"/>
  <c r="P127" i="13"/>
  <c r="O127" i="13"/>
  <c r="N127" i="13"/>
  <c r="M127" i="13"/>
  <c r="L127" i="13"/>
  <c r="K127" i="13"/>
  <c r="J127" i="13"/>
  <c r="I127" i="13"/>
  <c r="H127" i="13"/>
  <c r="G127" i="13"/>
  <c r="F127" i="13"/>
  <c r="E127" i="13"/>
  <c r="D127" i="13"/>
  <c r="C127" i="13"/>
  <c r="Z126" i="13"/>
  <c r="Y126" i="13"/>
  <c r="X126" i="13"/>
  <c r="W126" i="13"/>
  <c r="V126" i="13"/>
  <c r="U126" i="13"/>
  <c r="T126" i="13"/>
  <c r="S126" i="13"/>
  <c r="R126" i="13"/>
  <c r="Q126" i="13"/>
  <c r="P126" i="13"/>
  <c r="O126" i="13"/>
  <c r="N126" i="13"/>
  <c r="M126" i="13"/>
  <c r="L126" i="13"/>
  <c r="K126" i="13"/>
  <c r="J126" i="13"/>
  <c r="I126" i="13"/>
  <c r="H126" i="13"/>
  <c r="G126" i="13"/>
  <c r="F126" i="13"/>
  <c r="E126" i="13"/>
  <c r="D126" i="13"/>
  <c r="C126" i="13"/>
  <c r="Z125" i="13"/>
  <c r="Y125" i="13"/>
  <c r="X125" i="13"/>
  <c r="W125" i="13"/>
  <c r="V125" i="13"/>
  <c r="U125" i="13"/>
  <c r="T125" i="13"/>
  <c r="S125" i="13"/>
  <c r="R125" i="13"/>
  <c r="Q125" i="13"/>
  <c r="P125" i="13"/>
  <c r="O125" i="13"/>
  <c r="N125" i="13"/>
  <c r="M125" i="13"/>
  <c r="L125" i="13"/>
  <c r="K125" i="13"/>
  <c r="J125" i="13"/>
  <c r="I125" i="13"/>
  <c r="H125" i="13"/>
  <c r="G125" i="13"/>
  <c r="F125" i="13"/>
  <c r="E125" i="13"/>
  <c r="D125" i="13"/>
  <c r="C125" i="13"/>
  <c r="Z124" i="13"/>
  <c r="Y124" i="13"/>
  <c r="X124" i="13"/>
  <c r="W124" i="13"/>
  <c r="V124" i="13"/>
  <c r="U124" i="13"/>
  <c r="T124" i="13"/>
  <c r="S124" i="13"/>
  <c r="R124" i="13"/>
  <c r="Q124" i="13"/>
  <c r="P124" i="13"/>
  <c r="O124" i="13"/>
  <c r="N124" i="13"/>
  <c r="M124" i="13"/>
  <c r="L124" i="13"/>
  <c r="K124" i="13"/>
  <c r="J124" i="13"/>
  <c r="I124" i="13"/>
  <c r="H124" i="13"/>
  <c r="G124" i="13"/>
  <c r="F124" i="13"/>
  <c r="E124" i="13"/>
  <c r="D124" i="13"/>
  <c r="C124" i="13"/>
  <c r="Z123" i="13"/>
  <c r="Y123" i="13"/>
  <c r="X123" i="13"/>
  <c r="W123" i="13"/>
  <c r="V123" i="13"/>
  <c r="U123" i="13"/>
  <c r="T123" i="13"/>
  <c r="S123" i="13"/>
  <c r="R123" i="13"/>
  <c r="Q123" i="13"/>
  <c r="P123" i="13"/>
  <c r="O123" i="13"/>
  <c r="N123" i="13"/>
  <c r="M123" i="13"/>
  <c r="L123" i="13"/>
  <c r="K123" i="13"/>
  <c r="J123" i="13"/>
  <c r="I123" i="13"/>
  <c r="H123" i="13"/>
  <c r="G123" i="13"/>
  <c r="F123" i="13"/>
  <c r="E123" i="13"/>
  <c r="D123" i="13"/>
  <c r="C123" i="13"/>
  <c r="Z122" i="13"/>
  <c r="Y122" i="13"/>
  <c r="X122" i="13"/>
  <c r="W122" i="13"/>
  <c r="V122" i="13"/>
  <c r="U122" i="13"/>
  <c r="T122" i="13"/>
  <c r="S122" i="13"/>
  <c r="R122" i="13"/>
  <c r="Q122" i="13"/>
  <c r="P122" i="13"/>
  <c r="O122" i="13"/>
  <c r="N122" i="13"/>
  <c r="M122" i="13"/>
  <c r="L122" i="13"/>
  <c r="K122" i="13"/>
  <c r="J122" i="13"/>
  <c r="I122" i="13"/>
  <c r="H122" i="13"/>
  <c r="G122" i="13"/>
  <c r="F122" i="13"/>
  <c r="E122" i="13"/>
  <c r="D122" i="13"/>
  <c r="C122" i="13"/>
  <c r="Z121" i="13"/>
  <c r="Y121" i="13"/>
  <c r="X121" i="13"/>
  <c r="W121" i="13"/>
  <c r="V121" i="13"/>
  <c r="U121" i="13"/>
  <c r="T121" i="13"/>
  <c r="S121" i="13"/>
  <c r="R121" i="13"/>
  <c r="Q121" i="13"/>
  <c r="P121" i="13"/>
  <c r="O121" i="13"/>
  <c r="N121" i="13"/>
  <c r="M121" i="13"/>
  <c r="L121" i="13"/>
  <c r="K121" i="13"/>
  <c r="J121" i="13"/>
  <c r="I121" i="13"/>
  <c r="H121" i="13"/>
  <c r="G121" i="13"/>
  <c r="F121" i="13"/>
  <c r="E121" i="13"/>
  <c r="D121" i="13"/>
  <c r="C121" i="13"/>
  <c r="Z120" i="13"/>
  <c r="Y120" i="13"/>
  <c r="X120" i="13"/>
  <c r="W120" i="13"/>
  <c r="V120" i="13"/>
  <c r="U120" i="13"/>
  <c r="T120" i="13"/>
  <c r="S120" i="13"/>
  <c r="R120" i="13"/>
  <c r="Q120" i="13"/>
  <c r="P120" i="13"/>
  <c r="O120" i="13"/>
  <c r="N120" i="13"/>
  <c r="M120" i="13"/>
  <c r="L120" i="13"/>
  <c r="K120" i="13"/>
  <c r="J120" i="13"/>
  <c r="I120" i="13"/>
  <c r="H120" i="13"/>
  <c r="G120" i="13"/>
  <c r="F120" i="13"/>
  <c r="E120" i="13"/>
  <c r="D120" i="13"/>
  <c r="C120" i="13"/>
  <c r="Z119" i="13"/>
  <c r="Y119" i="13"/>
  <c r="X119" i="13"/>
  <c r="W119" i="13"/>
  <c r="V119" i="13"/>
  <c r="U119" i="13"/>
  <c r="T119" i="13"/>
  <c r="S119" i="13"/>
  <c r="R119" i="13"/>
  <c r="Q119" i="13"/>
  <c r="P119" i="13"/>
  <c r="O119" i="13"/>
  <c r="N119" i="13"/>
  <c r="M119" i="13"/>
  <c r="L119" i="13"/>
  <c r="K119" i="13"/>
  <c r="J119" i="13"/>
  <c r="I119" i="13"/>
  <c r="H119" i="13"/>
  <c r="G119" i="13"/>
  <c r="F119" i="13"/>
  <c r="E119" i="13"/>
  <c r="D119" i="13"/>
  <c r="C119" i="13"/>
  <c r="Z118" i="13"/>
  <c r="Y118" i="13"/>
  <c r="X118" i="13"/>
  <c r="W118" i="13"/>
  <c r="V118" i="13"/>
  <c r="U118" i="13"/>
  <c r="T118" i="13"/>
  <c r="S118" i="13"/>
  <c r="R118" i="13"/>
  <c r="Q118" i="13"/>
  <c r="P118" i="13"/>
  <c r="O118" i="13"/>
  <c r="N118" i="13"/>
  <c r="M118" i="13"/>
  <c r="L118" i="13"/>
  <c r="K118" i="13"/>
  <c r="J118" i="13"/>
  <c r="I118" i="13"/>
  <c r="H118" i="13"/>
  <c r="G118" i="13"/>
  <c r="F118" i="13"/>
  <c r="E118" i="13"/>
  <c r="D118" i="13"/>
  <c r="C118" i="13"/>
  <c r="Z117" i="13"/>
  <c r="Y117" i="13"/>
  <c r="X117" i="13"/>
  <c r="W117" i="13"/>
  <c r="V117" i="13"/>
  <c r="U117" i="13"/>
  <c r="T117" i="13"/>
  <c r="S117" i="13"/>
  <c r="R117" i="13"/>
  <c r="Q117" i="13"/>
  <c r="P117" i="13"/>
  <c r="O117" i="13"/>
  <c r="N117" i="13"/>
  <c r="M117" i="13"/>
  <c r="L117" i="13"/>
  <c r="K117" i="13"/>
  <c r="J117" i="13"/>
  <c r="I117" i="13"/>
  <c r="H117" i="13"/>
  <c r="G117" i="13"/>
  <c r="F117" i="13"/>
  <c r="E117" i="13"/>
  <c r="D117" i="13"/>
  <c r="C117" i="13"/>
  <c r="Z116" i="13"/>
  <c r="Y116" i="13"/>
  <c r="X116" i="13"/>
  <c r="W116" i="13"/>
  <c r="V116" i="13"/>
  <c r="U116" i="13"/>
  <c r="T116" i="13"/>
  <c r="S116" i="13"/>
  <c r="R116" i="13"/>
  <c r="Q116" i="13"/>
  <c r="P116" i="13"/>
  <c r="O116" i="13"/>
  <c r="N116" i="13"/>
  <c r="M116" i="13"/>
  <c r="L116" i="13"/>
  <c r="K116" i="13"/>
  <c r="J116" i="13"/>
  <c r="I116" i="13"/>
  <c r="H116" i="13"/>
  <c r="G116" i="13"/>
  <c r="F116" i="13"/>
  <c r="E116" i="13"/>
  <c r="D116" i="13"/>
  <c r="C116" i="13"/>
  <c r="Z115" i="13"/>
  <c r="Y115" i="13"/>
  <c r="X115" i="13"/>
  <c r="W115" i="13"/>
  <c r="V115" i="13"/>
  <c r="U115" i="13"/>
  <c r="T115" i="13"/>
  <c r="S115" i="13"/>
  <c r="R115" i="13"/>
  <c r="Q115" i="13"/>
  <c r="P115" i="13"/>
  <c r="O115" i="13"/>
  <c r="N115" i="13"/>
  <c r="M115" i="13"/>
  <c r="L115" i="13"/>
  <c r="K115" i="13"/>
  <c r="J115" i="13"/>
  <c r="I115" i="13"/>
  <c r="H115" i="13"/>
  <c r="G115" i="13"/>
  <c r="F115" i="13"/>
  <c r="E115" i="13"/>
  <c r="D115" i="13"/>
  <c r="C115" i="13"/>
  <c r="Z114" i="13"/>
  <c r="Y114" i="13"/>
  <c r="X114" i="13"/>
  <c r="W114" i="13"/>
  <c r="V114" i="13"/>
  <c r="U114" i="13"/>
  <c r="T114" i="13"/>
  <c r="S114" i="13"/>
  <c r="R114" i="13"/>
  <c r="Q114" i="13"/>
  <c r="P114" i="13"/>
  <c r="O114" i="13"/>
  <c r="N114" i="13"/>
  <c r="M114" i="13"/>
  <c r="L114" i="13"/>
  <c r="K114" i="13"/>
  <c r="J114" i="13"/>
  <c r="I114" i="13"/>
  <c r="H114" i="13"/>
  <c r="G114" i="13"/>
  <c r="F114" i="13"/>
  <c r="E114" i="13"/>
  <c r="D114" i="13"/>
  <c r="C114" i="13"/>
  <c r="Z113" i="13"/>
  <c r="Y113" i="13"/>
  <c r="X113" i="13"/>
  <c r="W113" i="13"/>
  <c r="V113" i="13"/>
  <c r="U113" i="13"/>
  <c r="T113" i="13"/>
  <c r="S113" i="13"/>
  <c r="R113" i="13"/>
  <c r="Q113" i="13"/>
  <c r="P113" i="13"/>
  <c r="O113" i="13"/>
  <c r="N113" i="13"/>
  <c r="M113" i="13"/>
  <c r="L113" i="13"/>
  <c r="K113" i="13"/>
  <c r="J113" i="13"/>
  <c r="I113" i="13"/>
  <c r="H113" i="13"/>
  <c r="G113" i="13"/>
  <c r="F113" i="13"/>
  <c r="E113" i="13"/>
  <c r="D113" i="13"/>
  <c r="C113" i="13"/>
  <c r="Z112" i="13"/>
  <c r="Y112" i="13"/>
  <c r="X112" i="13"/>
  <c r="W112" i="13"/>
  <c r="V112" i="13"/>
  <c r="U112" i="13"/>
  <c r="T112" i="13"/>
  <c r="S112" i="13"/>
  <c r="R112" i="13"/>
  <c r="Q112" i="13"/>
  <c r="P112" i="13"/>
  <c r="O112" i="13"/>
  <c r="N112" i="13"/>
  <c r="M112" i="13"/>
  <c r="L112" i="13"/>
  <c r="K112" i="13"/>
  <c r="J112" i="13"/>
  <c r="I112" i="13"/>
  <c r="H112" i="13"/>
  <c r="G112" i="13"/>
  <c r="F112" i="13"/>
  <c r="E112" i="13"/>
  <c r="D112" i="13"/>
  <c r="C112" i="13"/>
  <c r="Z111" i="13"/>
  <c r="Y111" i="13"/>
  <c r="X111" i="13"/>
  <c r="W111" i="13"/>
  <c r="V111" i="13"/>
  <c r="U111" i="13"/>
  <c r="T111" i="13"/>
  <c r="S111" i="13"/>
  <c r="R111" i="13"/>
  <c r="Q111" i="13"/>
  <c r="P111" i="13"/>
  <c r="O111" i="13"/>
  <c r="N111" i="13"/>
  <c r="M111" i="13"/>
  <c r="L111" i="13"/>
  <c r="K111" i="13"/>
  <c r="J111" i="13"/>
  <c r="I111" i="13"/>
  <c r="H111" i="13"/>
  <c r="G111" i="13"/>
  <c r="F111" i="13"/>
  <c r="E111" i="13"/>
  <c r="D111" i="13"/>
  <c r="C111" i="13"/>
  <c r="Z110" i="13"/>
  <c r="Y110" i="13"/>
  <c r="X110" i="13"/>
  <c r="W110" i="13"/>
  <c r="V110" i="13"/>
  <c r="U110" i="13"/>
  <c r="T110" i="13"/>
  <c r="S110" i="13"/>
  <c r="R110" i="13"/>
  <c r="Q110" i="13"/>
  <c r="P110" i="13"/>
  <c r="O110" i="13"/>
  <c r="N110" i="13"/>
  <c r="M110" i="13"/>
  <c r="L110" i="13"/>
  <c r="K110" i="13"/>
  <c r="J110" i="13"/>
  <c r="I110" i="13"/>
  <c r="H110" i="13"/>
  <c r="G110" i="13"/>
  <c r="F110" i="13"/>
  <c r="E110" i="13"/>
  <c r="D110" i="13"/>
  <c r="C110" i="13"/>
  <c r="Z109" i="13"/>
  <c r="Y109" i="13"/>
  <c r="X109" i="13"/>
  <c r="W109" i="13"/>
  <c r="V109" i="13"/>
  <c r="U109" i="13"/>
  <c r="T109" i="13"/>
  <c r="S109" i="13"/>
  <c r="R109" i="13"/>
  <c r="Q109" i="13"/>
  <c r="P109" i="13"/>
  <c r="O109" i="13"/>
  <c r="N109" i="13"/>
  <c r="M109" i="13"/>
  <c r="L109" i="13"/>
  <c r="K109" i="13"/>
  <c r="J109" i="13"/>
  <c r="I109" i="13"/>
  <c r="H109" i="13"/>
  <c r="G109" i="13"/>
  <c r="F109" i="13"/>
  <c r="E109" i="13"/>
  <c r="D109" i="13"/>
  <c r="C109" i="13"/>
  <c r="Z108" i="13"/>
  <c r="Y108" i="13"/>
  <c r="X108" i="13"/>
  <c r="W108" i="13"/>
  <c r="V108" i="13"/>
  <c r="U108" i="13"/>
  <c r="T108" i="13"/>
  <c r="S108" i="13"/>
  <c r="R108" i="13"/>
  <c r="Q108" i="13"/>
  <c r="P108" i="13"/>
  <c r="O108" i="13"/>
  <c r="N108" i="13"/>
  <c r="M108" i="13"/>
  <c r="L108" i="13"/>
  <c r="K108" i="13"/>
  <c r="J108" i="13"/>
  <c r="I108" i="13"/>
  <c r="H108" i="13"/>
  <c r="G108" i="13"/>
  <c r="F108" i="13"/>
  <c r="E108" i="13"/>
  <c r="D108" i="13"/>
  <c r="C108" i="13"/>
  <c r="Z107" i="13"/>
  <c r="Y107" i="13"/>
  <c r="X107" i="13"/>
  <c r="W107" i="13"/>
  <c r="V107" i="13"/>
  <c r="U107" i="13"/>
  <c r="T107" i="13"/>
  <c r="S107" i="13"/>
  <c r="R107" i="13"/>
  <c r="Q107" i="13"/>
  <c r="P107" i="13"/>
  <c r="O107" i="13"/>
  <c r="N107" i="13"/>
  <c r="M107" i="13"/>
  <c r="L107" i="13"/>
  <c r="K107" i="13"/>
  <c r="J107" i="13"/>
  <c r="I107" i="13"/>
  <c r="H107" i="13"/>
  <c r="G107" i="13"/>
  <c r="F107" i="13"/>
  <c r="E107" i="13"/>
  <c r="D107" i="13"/>
  <c r="C107" i="13"/>
  <c r="Z106" i="13"/>
  <c r="Y106" i="13"/>
  <c r="X106" i="13"/>
  <c r="W106" i="13"/>
  <c r="V106" i="13"/>
  <c r="U106" i="13"/>
  <c r="T106" i="13"/>
  <c r="S106" i="13"/>
  <c r="R106" i="13"/>
  <c r="Q106" i="13"/>
  <c r="P106" i="13"/>
  <c r="O106" i="13"/>
  <c r="N106" i="13"/>
  <c r="M106" i="13"/>
  <c r="L106" i="13"/>
  <c r="K106" i="13"/>
  <c r="J106" i="13"/>
  <c r="I106" i="13"/>
  <c r="H106" i="13"/>
  <c r="G106" i="13"/>
  <c r="F106" i="13"/>
  <c r="E106" i="13"/>
  <c r="D106" i="13"/>
  <c r="C106" i="13"/>
  <c r="Z105" i="13"/>
  <c r="Y105" i="13"/>
  <c r="X105" i="13"/>
  <c r="W105" i="13"/>
  <c r="V105" i="13"/>
  <c r="U105" i="13"/>
  <c r="T105" i="13"/>
  <c r="S105" i="13"/>
  <c r="R105" i="13"/>
  <c r="Q105" i="13"/>
  <c r="P105" i="13"/>
  <c r="O105" i="13"/>
  <c r="N105" i="13"/>
  <c r="M105" i="13"/>
  <c r="L105" i="13"/>
  <c r="K105" i="13"/>
  <c r="J105" i="13"/>
  <c r="I105" i="13"/>
  <c r="H105" i="13"/>
  <c r="G105" i="13"/>
  <c r="F105" i="13"/>
  <c r="E105" i="13"/>
  <c r="D105" i="13"/>
  <c r="C105" i="13"/>
  <c r="Z104" i="13"/>
  <c r="Y104" i="13"/>
  <c r="X104" i="13"/>
  <c r="W104" i="13"/>
  <c r="V104" i="13"/>
  <c r="U104" i="13"/>
  <c r="T104" i="13"/>
  <c r="S104" i="13"/>
  <c r="R104" i="13"/>
  <c r="Q104" i="13"/>
  <c r="P104" i="13"/>
  <c r="O104" i="13"/>
  <c r="N104" i="13"/>
  <c r="M104" i="13"/>
  <c r="L104" i="13"/>
  <c r="K104" i="13"/>
  <c r="J104" i="13"/>
  <c r="I104" i="13"/>
  <c r="H104" i="13"/>
  <c r="G104" i="13"/>
  <c r="F104" i="13"/>
  <c r="E104" i="13"/>
  <c r="D104" i="13"/>
  <c r="C104" i="13"/>
  <c r="Z103" i="13"/>
  <c r="Y103" i="13"/>
  <c r="X103" i="13"/>
  <c r="W103" i="13"/>
  <c r="V103" i="13"/>
  <c r="U103" i="13"/>
  <c r="T103" i="13"/>
  <c r="S103" i="13"/>
  <c r="R103" i="13"/>
  <c r="Q103" i="13"/>
  <c r="P103" i="13"/>
  <c r="O103" i="13"/>
  <c r="N103" i="13"/>
  <c r="M103" i="13"/>
  <c r="L103" i="13"/>
  <c r="K103" i="13"/>
  <c r="J103" i="13"/>
  <c r="I103" i="13"/>
  <c r="H103" i="13"/>
  <c r="G103" i="13"/>
  <c r="F103" i="13"/>
  <c r="E103" i="13"/>
  <c r="D103" i="13"/>
  <c r="C103" i="13"/>
  <c r="Z102" i="13"/>
  <c r="Y102" i="13"/>
  <c r="X102" i="13"/>
  <c r="W102" i="13"/>
  <c r="V102" i="13"/>
  <c r="U102" i="13"/>
  <c r="T102" i="13"/>
  <c r="S102" i="13"/>
  <c r="R102" i="13"/>
  <c r="Q102" i="13"/>
  <c r="P102" i="13"/>
  <c r="O102" i="13"/>
  <c r="N102" i="13"/>
  <c r="M102" i="13"/>
  <c r="L102" i="13"/>
  <c r="K102" i="13"/>
  <c r="J102" i="13"/>
  <c r="I102" i="13"/>
  <c r="H102" i="13"/>
  <c r="G102" i="13"/>
  <c r="F102" i="13"/>
  <c r="E102" i="13"/>
  <c r="D102" i="13"/>
  <c r="C102" i="13"/>
  <c r="Z101" i="13"/>
  <c r="Y101" i="13"/>
  <c r="X101" i="13"/>
  <c r="W101" i="13"/>
  <c r="V101" i="13"/>
  <c r="U101" i="13"/>
  <c r="T101" i="13"/>
  <c r="S101" i="13"/>
  <c r="R101" i="13"/>
  <c r="Q101" i="13"/>
  <c r="P101" i="13"/>
  <c r="O101" i="13"/>
  <c r="N101" i="13"/>
  <c r="M101" i="13"/>
  <c r="L101" i="13"/>
  <c r="K101" i="13"/>
  <c r="J101" i="13"/>
  <c r="I101" i="13"/>
  <c r="H101" i="13"/>
  <c r="G101" i="13"/>
  <c r="F101" i="13"/>
  <c r="E101" i="13"/>
  <c r="D101" i="13"/>
  <c r="C101" i="13"/>
  <c r="Z100" i="13"/>
  <c r="Y100" i="13"/>
  <c r="X100" i="13"/>
  <c r="W100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J100" i="13"/>
  <c r="I100" i="13"/>
  <c r="H100" i="13"/>
  <c r="G100" i="13"/>
  <c r="F100" i="13"/>
  <c r="E100" i="13"/>
  <c r="D100" i="13"/>
  <c r="C100" i="13"/>
  <c r="Z99" i="13"/>
  <c r="Y99" i="13"/>
  <c r="X99" i="13"/>
  <c r="W99" i="13"/>
  <c r="V99" i="13"/>
  <c r="U99" i="13"/>
  <c r="T99" i="13"/>
  <c r="S99" i="13"/>
  <c r="R99" i="13"/>
  <c r="Q99" i="13"/>
  <c r="P99" i="13"/>
  <c r="O99" i="13"/>
  <c r="N99" i="13"/>
  <c r="M99" i="13"/>
  <c r="L99" i="13"/>
  <c r="K99" i="13"/>
  <c r="J99" i="13"/>
  <c r="I99" i="13"/>
  <c r="H99" i="13"/>
  <c r="G99" i="13"/>
  <c r="F99" i="13"/>
  <c r="E99" i="13"/>
  <c r="D99" i="13"/>
  <c r="C99" i="13"/>
  <c r="Z98" i="13"/>
  <c r="Y98" i="13"/>
  <c r="X98" i="13"/>
  <c r="W98" i="13"/>
  <c r="V98" i="13"/>
  <c r="U98" i="13"/>
  <c r="T98" i="13"/>
  <c r="S98" i="13"/>
  <c r="R98" i="13"/>
  <c r="Q98" i="13"/>
  <c r="P98" i="13"/>
  <c r="O98" i="13"/>
  <c r="N98" i="13"/>
  <c r="M98" i="13"/>
  <c r="L98" i="13"/>
  <c r="K98" i="13"/>
  <c r="J98" i="13"/>
  <c r="I98" i="13"/>
  <c r="H98" i="13"/>
  <c r="G98" i="13"/>
  <c r="F98" i="13"/>
  <c r="E98" i="13"/>
  <c r="D98" i="13"/>
  <c r="C98" i="13"/>
  <c r="Z97" i="13"/>
  <c r="Y97" i="13"/>
  <c r="X97" i="13"/>
  <c r="W97" i="13"/>
  <c r="V97" i="13"/>
  <c r="U97" i="13"/>
  <c r="T97" i="13"/>
  <c r="S97" i="13"/>
  <c r="R97" i="13"/>
  <c r="Q97" i="13"/>
  <c r="P97" i="13"/>
  <c r="O97" i="13"/>
  <c r="N97" i="13"/>
  <c r="M97" i="13"/>
  <c r="L97" i="13"/>
  <c r="K97" i="13"/>
  <c r="J97" i="13"/>
  <c r="I97" i="13"/>
  <c r="H97" i="13"/>
  <c r="G97" i="13"/>
  <c r="F97" i="13"/>
  <c r="E97" i="13"/>
  <c r="D97" i="13"/>
  <c r="C97" i="13"/>
  <c r="Z96" i="13"/>
  <c r="Y96" i="13"/>
  <c r="X96" i="13"/>
  <c r="W96" i="13"/>
  <c r="V96" i="13"/>
  <c r="U96" i="13"/>
  <c r="T96" i="13"/>
  <c r="S96" i="13"/>
  <c r="R96" i="13"/>
  <c r="Q96" i="13"/>
  <c r="P96" i="13"/>
  <c r="O96" i="13"/>
  <c r="N96" i="13"/>
  <c r="M96" i="13"/>
  <c r="L96" i="13"/>
  <c r="K96" i="13"/>
  <c r="J96" i="13"/>
  <c r="I96" i="13"/>
  <c r="H96" i="13"/>
  <c r="G96" i="13"/>
  <c r="F96" i="13"/>
  <c r="E96" i="13"/>
  <c r="D96" i="13"/>
  <c r="C96" i="13"/>
  <c r="Z95" i="13"/>
  <c r="Y95" i="13"/>
  <c r="X95" i="13"/>
  <c r="W95" i="13"/>
  <c r="V95" i="13"/>
  <c r="U95" i="13"/>
  <c r="T95" i="13"/>
  <c r="S95" i="13"/>
  <c r="R95" i="13"/>
  <c r="Q95" i="13"/>
  <c r="P95" i="13"/>
  <c r="O95" i="13"/>
  <c r="N95" i="13"/>
  <c r="M95" i="13"/>
  <c r="L95" i="13"/>
  <c r="K95" i="13"/>
  <c r="J95" i="13"/>
  <c r="I95" i="13"/>
  <c r="H95" i="13"/>
  <c r="G95" i="13"/>
  <c r="F95" i="13"/>
  <c r="E95" i="13"/>
  <c r="D95" i="13"/>
  <c r="C95" i="13"/>
  <c r="Z94" i="13"/>
  <c r="Y94" i="13"/>
  <c r="X94" i="13"/>
  <c r="W94" i="13"/>
  <c r="V94" i="13"/>
  <c r="U94" i="13"/>
  <c r="T94" i="13"/>
  <c r="S94" i="13"/>
  <c r="R94" i="13"/>
  <c r="Q94" i="13"/>
  <c r="P94" i="13"/>
  <c r="O94" i="13"/>
  <c r="N94" i="13"/>
  <c r="M94" i="13"/>
  <c r="L94" i="13"/>
  <c r="K94" i="13"/>
  <c r="J94" i="13"/>
  <c r="I94" i="13"/>
  <c r="H94" i="13"/>
  <c r="G94" i="13"/>
  <c r="F94" i="13"/>
  <c r="E94" i="13"/>
  <c r="D94" i="13"/>
  <c r="C94" i="13"/>
  <c r="Z93" i="13"/>
  <c r="Y93" i="13"/>
  <c r="X93" i="13"/>
  <c r="W93" i="13"/>
  <c r="V93" i="13"/>
  <c r="U93" i="13"/>
  <c r="T93" i="13"/>
  <c r="S93" i="13"/>
  <c r="R93" i="13"/>
  <c r="Q93" i="13"/>
  <c r="P93" i="13"/>
  <c r="O93" i="13"/>
  <c r="N93" i="13"/>
  <c r="M93" i="13"/>
  <c r="L93" i="13"/>
  <c r="K93" i="13"/>
  <c r="J93" i="13"/>
  <c r="I93" i="13"/>
  <c r="H93" i="13"/>
  <c r="G93" i="13"/>
  <c r="F93" i="13"/>
  <c r="E93" i="13"/>
  <c r="D93" i="13"/>
  <c r="C93" i="13"/>
  <c r="Z92" i="13"/>
  <c r="Y92" i="13"/>
  <c r="X92" i="13"/>
  <c r="W92" i="13"/>
  <c r="V92" i="13"/>
  <c r="U92" i="13"/>
  <c r="T92" i="13"/>
  <c r="S92" i="13"/>
  <c r="R92" i="13"/>
  <c r="Q92" i="13"/>
  <c r="P92" i="13"/>
  <c r="O92" i="13"/>
  <c r="N92" i="13"/>
  <c r="M92" i="13"/>
  <c r="L92" i="13"/>
  <c r="K92" i="13"/>
  <c r="J92" i="13"/>
  <c r="I92" i="13"/>
  <c r="H92" i="13"/>
  <c r="G92" i="13"/>
  <c r="F92" i="13"/>
  <c r="E92" i="13"/>
  <c r="D92" i="13"/>
  <c r="C92" i="13"/>
  <c r="Z91" i="13"/>
  <c r="Y91" i="13"/>
  <c r="X91" i="13"/>
  <c r="W91" i="13"/>
  <c r="V91" i="13"/>
  <c r="U91" i="13"/>
  <c r="T91" i="13"/>
  <c r="S91" i="13"/>
  <c r="R91" i="13"/>
  <c r="Q91" i="13"/>
  <c r="P91" i="13"/>
  <c r="O91" i="13"/>
  <c r="N91" i="13"/>
  <c r="M91" i="13"/>
  <c r="L91" i="13"/>
  <c r="K91" i="13"/>
  <c r="J91" i="13"/>
  <c r="I91" i="13"/>
  <c r="H91" i="13"/>
  <c r="G91" i="13"/>
  <c r="F91" i="13"/>
  <c r="E91" i="13"/>
  <c r="D91" i="13"/>
  <c r="C91" i="13"/>
  <c r="Z90" i="13"/>
  <c r="Y90" i="13"/>
  <c r="X90" i="13"/>
  <c r="W90" i="13"/>
  <c r="V90" i="13"/>
  <c r="U90" i="13"/>
  <c r="T90" i="13"/>
  <c r="S90" i="13"/>
  <c r="R90" i="13"/>
  <c r="Q90" i="13"/>
  <c r="P90" i="13"/>
  <c r="O90" i="13"/>
  <c r="N90" i="13"/>
  <c r="M90" i="13"/>
  <c r="L90" i="13"/>
  <c r="K90" i="13"/>
  <c r="J90" i="13"/>
  <c r="I90" i="13"/>
  <c r="H90" i="13"/>
  <c r="G90" i="13"/>
  <c r="F90" i="13"/>
  <c r="E90" i="13"/>
  <c r="D90" i="13"/>
  <c r="C90" i="13"/>
  <c r="Z89" i="13"/>
  <c r="Y89" i="13"/>
  <c r="X89" i="13"/>
  <c r="W89" i="13"/>
  <c r="V89" i="13"/>
  <c r="U89" i="13"/>
  <c r="T89" i="13"/>
  <c r="S89" i="13"/>
  <c r="R89" i="13"/>
  <c r="Q89" i="13"/>
  <c r="P89" i="13"/>
  <c r="O89" i="13"/>
  <c r="N89" i="13"/>
  <c r="M89" i="13"/>
  <c r="L89" i="13"/>
  <c r="K89" i="13"/>
  <c r="J89" i="13"/>
  <c r="I89" i="13"/>
  <c r="H89" i="13"/>
  <c r="G89" i="13"/>
  <c r="F89" i="13"/>
  <c r="E89" i="13"/>
  <c r="D89" i="13"/>
  <c r="C89" i="13"/>
  <c r="Z88" i="13"/>
  <c r="Y88" i="13"/>
  <c r="X88" i="13"/>
  <c r="W88" i="13"/>
  <c r="V88" i="13"/>
  <c r="U88" i="13"/>
  <c r="T88" i="13"/>
  <c r="S88" i="13"/>
  <c r="R88" i="13"/>
  <c r="Q88" i="13"/>
  <c r="P88" i="13"/>
  <c r="O88" i="13"/>
  <c r="N88" i="13"/>
  <c r="M88" i="13"/>
  <c r="L88" i="13"/>
  <c r="K88" i="13"/>
  <c r="J88" i="13"/>
  <c r="I88" i="13"/>
  <c r="H88" i="13"/>
  <c r="G88" i="13"/>
  <c r="F88" i="13"/>
  <c r="E88" i="13"/>
  <c r="D88" i="13"/>
  <c r="C88" i="13"/>
  <c r="Z87" i="13"/>
  <c r="Y87" i="13"/>
  <c r="X87" i="13"/>
  <c r="W87" i="13"/>
  <c r="V87" i="13"/>
  <c r="U87" i="13"/>
  <c r="T87" i="13"/>
  <c r="S87" i="13"/>
  <c r="R87" i="13"/>
  <c r="Q87" i="13"/>
  <c r="P87" i="13"/>
  <c r="O87" i="13"/>
  <c r="N87" i="13"/>
  <c r="M87" i="13"/>
  <c r="L87" i="13"/>
  <c r="K87" i="13"/>
  <c r="J87" i="13"/>
  <c r="I87" i="13"/>
  <c r="H87" i="13"/>
  <c r="G87" i="13"/>
  <c r="F87" i="13"/>
  <c r="E87" i="13"/>
  <c r="D87" i="13"/>
  <c r="C87" i="13"/>
  <c r="Z86" i="13"/>
  <c r="Y86" i="13"/>
  <c r="X86" i="13"/>
  <c r="W86" i="13"/>
  <c r="V86" i="13"/>
  <c r="U86" i="13"/>
  <c r="T86" i="13"/>
  <c r="S86" i="13"/>
  <c r="R86" i="13"/>
  <c r="Q86" i="13"/>
  <c r="P86" i="13"/>
  <c r="O86" i="13"/>
  <c r="N86" i="13"/>
  <c r="M86" i="13"/>
  <c r="L86" i="13"/>
  <c r="K86" i="13"/>
  <c r="J86" i="13"/>
  <c r="I86" i="13"/>
  <c r="H86" i="13"/>
  <c r="G86" i="13"/>
  <c r="F86" i="13"/>
  <c r="E86" i="13"/>
  <c r="D86" i="13"/>
  <c r="C86" i="13"/>
  <c r="Z85" i="13"/>
  <c r="Y85" i="13"/>
  <c r="X85" i="13"/>
  <c r="W85" i="13"/>
  <c r="V85" i="13"/>
  <c r="U85" i="13"/>
  <c r="T85" i="13"/>
  <c r="S85" i="13"/>
  <c r="R85" i="13"/>
  <c r="Q85" i="13"/>
  <c r="P85" i="13"/>
  <c r="O85" i="13"/>
  <c r="N85" i="13"/>
  <c r="M85" i="13"/>
  <c r="L85" i="13"/>
  <c r="K85" i="13"/>
  <c r="J85" i="13"/>
  <c r="I85" i="13"/>
  <c r="H85" i="13"/>
  <c r="G85" i="13"/>
  <c r="F85" i="13"/>
  <c r="E85" i="13"/>
  <c r="D85" i="13"/>
  <c r="C85" i="13"/>
  <c r="Z84" i="13"/>
  <c r="Y84" i="13"/>
  <c r="X84" i="13"/>
  <c r="W84" i="13"/>
  <c r="V84" i="13"/>
  <c r="U84" i="13"/>
  <c r="T84" i="13"/>
  <c r="S84" i="13"/>
  <c r="R84" i="13"/>
  <c r="Q84" i="13"/>
  <c r="P84" i="13"/>
  <c r="O84" i="13"/>
  <c r="N84" i="13"/>
  <c r="M84" i="13"/>
  <c r="L84" i="13"/>
  <c r="K84" i="13"/>
  <c r="J84" i="13"/>
  <c r="I84" i="13"/>
  <c r="H84" i="13"/>
  <c r="G84" i="13"/>
  <c r="F84" i="13"/>
  <c r="E84" i="13"/>
  <c r="D84" i="13"/>
  <c r="C84" i="13"/>
  <c r="Z83" i="13"/>
  <c r="Y83" i="13"/>
  <c r="X83" i="13"/>
  <c r="W83" i="13"/>
  <c r="V83" i="13"/>
  <c r="U83" i="13"/>
  <c r="T83" i="13"/>
  <c r="S83" i="13"/>
  <c r="R83" i="13"/>
  <c r="Q83" i="13"/>
  <c r="P83" i="13"/>
  <c r="O83" i="13"/>
  <c r="N83" i="13"/>
  <c r="M83" i="13"/>
  <c r="L83" i="13"/>
  <c r="K83" i="13"/>
  <c r="J83" i="13"/>
  <c r="I83" i="13"/>
  <c r="H83" i="13"/>
  <c r="G83" i="13"/>
  <c r="F83" i="13"/>
  <c r="E83" i="13"/>
  <c r="D83" i="13"/>
  <c r="C83" i="13"/>
  <c r="Z82" i="13"/>
  <c r="Y82" i="13"/>
  <c r="X82" i="13"/>
  <c r="W82" i="13"/>
  <c r="V82" i="13"/>
  <c r="U82" i="13"/>
  <c r="T82" i="13"/>
  <c r="S82" i="13"/>
  <c r="R82" i="13"/>
  <c r="Q82" i="13"/>
  <c r="P82" i="13"/>
  <c r="O82" i="13"/>
  <c r="N82" i="13"/>
  <c r="M82" i="13"/>
  <c r="L82" i="13"/>
  <c r="K82" i="13"/>
  <c r="J82" i="13"/>
  <c r="I82" i="13"/>
  <c r="H82" i="13"/>
  <c r="G82" i="13"/>
  <c r="F82" i="13"/>
  <c r="E82" i="13"/>
  <c r="D82" i="13"/>
  <c r="C82" i="13"/>
  <c r="Z81" i="13"/>
  <c r="Y81" i="13"/>
  <c r="X81" i="13"/>
  <c r="W81" i="13"/>
  <c r="V81" i="13"/>
  <c r="U81" i="13"/>
  <c r="T81" i="13"/>
  <c r="S81" i="13"/>
  <c r="R81" i="13"/>
  <c r="Q81" i="13"/>
  <c r="P81" i="13"/>
  <c r="O81" i="13"/>
  <c r="N81" i="13"/>
  <c r="M81" i="13"/>
  <c r="L81" i="13"/>
  <c r="K81" i="13"/>
  <c r="J81" i="13"/>
  <c r="I81" i="13"/>
  <c r="H81" i="13"/>
  <c r="G81" i="13"/>
  <c r="F81" i="13"/>
  <c r="E81" i="13"/>
  <c r="D81" i="13"/>
  <c r="C81" i="13"/>
  <c r="Z80" i="13"/>
  <c r="Y80" i="13"/>
  <c r="X80" i="13"/>
  <c r="W80" i="13"/>
  <c r="V80" i="13"/>
  <c r="U80" i="13"/>
  <c r="T80" i="13"/>
  <c r="S80" i="13"/>
  <c r="R80" i="13"/>
  <c r="Q80" i="13"/>
  <c r="P80" i="13"/>
  <c r="O80" i="13"/>
  <c r="N80" i="13"/>
  <c r="M80" i="13"/>
  <c r="L80" i="13"/>
  <c r="K80" i="13"/>
  <c r="J80" i="13"/>
  <c r="I80" i="13"/>
  <c r="H80" i="13"/>
  <c r="G80" i="13"/>
  <c r="F80" i="13"/>
  <c r="E80" i="13"/>
  <c r="D80" i="13"/>
  <c r="C80" i="13"/>
  <c r="Z79" i="13"/>
  <c r="Y79" i="13"/>
  <c r="X79" i="13"/>
  <c r="W79" i="13"/>
  <c r="V79" i="13"/>
  <c r="U79" i="13"/>
  <c r="T79" i="13"/>
  <c r="S79" i="13"/>
  <c r="R79" i="13"/>
  <c r="Q79" i="13"/>
  <c r="P79" i="13"/>
  <c r="O79" i="13"/>
  <c r="N79" i="13"/>
  <c r="M79" i="13"/>
  <c r="L79" i="13"/>
  <c r="K79" i="13"/>
  <c r="J79" i="13"/>
  <c r="I79" i="13"/>
  <c r="H79" i="13"/>
  <c r="G79" i="13"/>
  <c r="F79" i="13"/>
  <c r="E79" i="13"/>
  <c r="D79" i="13"/>
  <c r="C79" i="13"/>
  <c r="Z78" i="13"/>
  <c r="Y78" i="13"/>
  <c r="X78" i="13"/>
  <c r="W78" i="13"/>
  <c r="V78" i="13"/>
  <c r="U78" i="13"/>
  <c r="T78" i="13"/>
  <c r="S78" i="13"/>
  <c r="R78" i="13"/>
  <c r="Q78" i="13"/>
  <c r="P78" i="13"/>
  <c r="O78" i="13"/>
  <c r="N78" i="13"/>
  <c r="M78" i="13"/>
  <c r="L78" i="13"/>
  <c r="K78" i="13"/>
  <c r="J78" i="13"/>
  <c r="I78" i="13"/>
  <c r="H78" i="13"/>
  <c r="G78" i="13"/>
  <c r="F78" i="13"/>
  <c r="E78" i="13"/>
  <c r="D78" i="13"/>
  <c r="C78" i="13"/>
  <c r="Z77" i="13"/>
  <c r="Y77" i="13"/>
  <c r="X77" i="13"/>
  <c r="W77" i="13"/>
  <c r="V77" i="13"/>
  <c r="U77" i="13"/>
  <c r="T77" i="13"/>
  <c r="S77" i="13"/>
  <c r="R77" i="13"/>
  <c r="Q77" i="13"/>
  <c r="P77" i="13"/>
  <c r="O77" i="13"/>
  <c r="N77" i="13"/>
  <c r="M77" i="13"/>
  <c r="L77" i="13"/>
  <c r="K77" i="13"/>
  <c r="J77" i="13"/>
  <c r="I77" i="13"/>
  <c r="H77" i="13"/>
  <c r="G77" i="13"/>
  <c r="F77" i="13"/>
  <c r="E77" i="13"/>
  <c r="D77" i="13"/>
  <c r="C77" i="13"/>
  <c r="Z76" i="13"/>
  <c r="Y76" i="13"/>
  <c r="X76" i="13"/>
  <c r="W76" i="13"/>
  <c r="V76" i="13"/>
  <c r="U76" i="13"/>
  <c r="T76" i="13"/>
  <c r="S76" i="13"/>
  <c r="R76" i="13"/>
  <c r="Q76" i="13"/>
  <c r="P76" i="13"/>
  <c r="O76" i="13"/>
  <c r="N76" i="13"/>
  <c r="M76" i="13"/>
  <c r="L76" i="13"/>
  <c r="K76" i="13"/>
  <c r="J76" i="13"/>
  <c r="I76" i="13"/>
  <c r="H76" i="13"/>
  <c r="G76" i="13"/>
  <c r="F76" i="13"/>
  <c r="E76" i="13"/>
  <c r="D76" i="13"/>
  <c r="C76" i="13"/>
  <c r="Z75" i="13"/>
  <c r="Y75" i="13"/>
  <c r="X75" i="13"/>
  <c r="W75" i="13"/>
  <c r="V75" i="13"/>
  <c r="U75" i="13"/>
  <c r="T75" i="13"/>
  <c r="S75" i="13"/>
  <c r="R75" i="13"/>
  <c r="Q75" i="13"/>
  <c r="P75" i="13"/>
  <c r="O75" i="13"/>
  <c r="N75" i="13"/>
  <c r="M75" i="13"/>
  <c r="L75" i="13"/>
  <c r="K75" i="13"/>
  <c r="J75" i="13"/>
  <c r="I75" i="13"/>
  <c r="H75" i="13"/>
  <c r="G75" i="13"/>
  <c r="F75" i="13"/>
  <c r="E75" i="13"/>
  <c r="D75" i="13"/>
  <c r="C75" i="13"/>
  <c r="Z74" i="13"/>
  <c r="Y74" i="13"/>
  <c r="X74" i="13"/>
  <c r="W74" i="13"/>
  <c r="V74" i="13"/>
  <c r="U74" i="13"/>
  <c r="T74" i="13"/>
  <c r="S74" i="13"/>
  <c r="R74" i="13"/>
  <c r="Q74" i="13"/>
  <c r="P74" i="13"/>
  <c r="O74" i="13"/>
  <c r="N74" i="13"/>
  <c r="M74" i="13"/>
  <c r="L74" i="13"/>
  <c r="K74" i="13"/>
  <c r="J74" i="13"/>
  <c r="I74" i="13"/>
  <c r="H74" i="13"/>
  <c r="G74" i="13"/>
  <c r="F74" i="13"/>
  <c r="E74" i="13"/>
  <c r="D74" i="13"/>
  <c r="C74" i="13"/>
  <c r="Z73" i="13"/>
  <c r="Y73" i="13"/>
  <c r="X73" i="13"/>
  <c r="W73" i="13"/>
  <c r="V73" i="13"/>
  <c r="U73" i="13"/>
  <c r="T73" i="13"/>
  <c r="S73" i="13"/>
  <c r="R73" i="13"/>
  <c r="Q73" i="13"/>
  <c r="P73" i="13"/>
  <c r="O73" i="13"/>
  <c r="N73" i="13"/>
  <c r="M73" i="13"/>
  <c r="L73" i="13"/>
  <c r="K73" i="13"/>
  <c r="J73" i="13"/>
  <c r="I73" i="13"/>
  <c r="H73" i="13"/>
  <c r="G73" i="13"/>
  <c r="F73" i="13"/>
  <c r="E73" i="13"/>
  <c r="D73" i="13"/>
  <c r="C73" i="13"/>
  <c r="Z72" i="13"/>
  <c r="Y72" i="13"/>
  <c r="X72" i="13"/>
  <c r="W72" i="13"/>
  <c r="V72" i="13"/>
  <c r="U72" i="13"/>
  <c r="T72" i="13"/>
  <c r="S72" i="13"/>
  <c r="R72" i="13"/>
  <c r="Q72" i="13"/>
  <c r="P72" i="13"/>
  <c r="O72" i="13"/>
  <c r="N72" i="13"/>
  <c r="M72" i="13"/>
  <c r="L72" i="13"/>
  <c r="K72" i="13"/>
  <c r="J72" i="13"/>
  <c r="I72" i="13"/>
  <c r="H72" i="13"/>
  <c r="G72" i="13"/>
  <c r="F72" i="13"/>
  <c r="E72" i="13"/>
  <c r="D72" i="13"/>
  <c r="C72" i="13"/>
  <c r="Z71" i="13"/>
  <c r="Y71" i="13"/>
  <c r="X71" i="13"/>
  <c r="W71" i="13"/>
  <c r="V71" i="13"/>
  <c r="U71" i="13"/>
  <c r="T71" i="13"/>
  <c r="S71" i="13"/>
  <c r="R71" i="13"/>
  <c r="Q71" i="13"/>
  <c r="P71" i="13"/>
  <c r="O71" i="13"/>
  <c r="N71" i="13"/>
  <c r="M71" i="13"/>
  <c r="L71" i="13"/>
  <c r="K71" i="13"/>
  <c r="J71" i="13"/>
  <c r="I71" i="13"/>
  <c r="H71" i="13"/>
  <c r="G71" i="13"/>
  <c r="F71" i="13"/>
  <c r="E71" i="13"/>
  <c r="D71" i="13"/>
  <c r="C71" i="13"/>
  <c r="Z70" i="13"/>
  <c r="Y70" i="13"/>
  <c r="X70" i="13"/>
  <c r="W70" i="13"/>
  <c r="V70" i="13"/>
  <c r="U70" i="13"/>
  <c r="T70" i="13"/>
  <c r="S70" i="13"/>
  <c r="R70" i="13"/>
  <c r="Q70" i="13"/>
  <c r="P70" i="13"/>
  <c r="O70" i="13"/>
  <c r="N70" i="13"/>
  <c r="M70" i="13"/>
  <c r="L70" i="13"/>
  <c r="K70" i="13"/>
  <c r="J70" i="13"/>
  <c r="I70" i="13"/>
  <c r="H70" i="13"/>
  <c r="G70" i="13"/>
  <c r="F70" i="13"/>
  <c r="E70" i="13"/>
  <c r="D70" i="13"/>
  <c r="C70" i="13"/>
  <c r="Z69" i="13"/>
  <c r="Y69" i="13"/>
  <c r="X69" i="13"/>
  <c r="W69" i="13"/>
  <c r="V69" i="13"/>
  <c r="U69" i="13"/>
  <c r="T69" i="13"/>
  <c r="S69" i="13"/>
  <c r="R69" i="13"/>
  <c r="Q69" i="13"/>
  <c r="P69" i="13"/>
  <c r="O69" i="13"/>
  <c r="N69" i="13"/>
  <c r="M69" i="13"/>
  <c r="L69" i="13"/>
  <c r="K69" i="13"/>
  <c r="J69" i="13"/>
  <c r="I69" i="13"/>
  <c r="H69" i="13"/>
  <c r="G69" i="13"/>
  <c r="F69" i="13"/>
  <c r="E69" i="13"/>
  <c r="D69" i="13"/>
  <c r="C69" i="13"/>
  <c r="Z68" i="13"/>
  <c r="Y68" i="13"/>
  <c r="X68" i="13"/>
  <c r="W68" i="13"/>
  <c r="V68" i="13"/>
  <c r="U68" i="13"/>
  <c r="T68" i="13"/>
  <c r="S68" i="13"/>
  <c r="R68" i="13"/>
  <c r="Q68" i="13"/>
  <c r="P68" i="13"/>
  <c r="O68" i="13"/>
  <c r="N68" i="13"/>
  <c r="M68" i="13"/>
  <c r="L68" i="13"/>
  <c r="K68" i="13"/>
  <c r="J68" i="13"/>
  <c r="I68" i="13"/>
  <c r="H68" i="13"/>
  <c r="G68" i="13"/>
  <c r="F68" i="13"/>
  <c r="E68" i="13"/>
  <c r="D68" i="13"/>
  <c r="C68" i="13"/>
  <c r="Z67" i="13"/>
  <c r="Y67" i="13"/>
  <c r="X67" i="13"/>
  <c r="W67" i="13"/>
  <c r="V67" i="13"/>
  <c r="U67" i="13"/>
  <c r="T67" i="13"/>
  <c r="S67" i="13"/>
  <c r="R67" i="13"/>
  <c r="Q67" i="13"/>
  <c r="P67" i="13"/>
  <c r="O67" i="13"/>
  <c r="N67" i="13"/>
  <c r="M67" i="13"/>
  <c r="L67" i="13"/>
  <c r="K67" i="13"/>
  <c r="J67" i="13"/>
  <c r="I67" i="13"/>
  <c r="H67" i="13"/>
  <c r="G67" i="13"/>
  <c r="F67" i="13"/>
  <c r="E67" i="13"/>
  <c r="D67" i="13"/>
  <c r="C67" i="13"/>
  <c r="Z66" i="13"/>
  <c r="Y66" i="13"/>
  <c r="X66" i="13"/>
  <c r="W66" i="13"/>
  <c r="V66" i="13"/>
  <c r="U66" i="13"/>
  <c r="T66" i="13"/>
  <c r="S66" i="13"/>
  <c r="R66" i="13"/>
  <c r="Q66" i="13"/>
  <c r="P66" i="13"/>
  <c r="O66" i="13"/>
  <c r="N66" i="13"/>
  <c r="M66" i="13"/>
  <c r="L66" i="13"/>
  <c r="K66" i="13"/>
  <c r="J66" i="13"/>
  <c r="I66" i="13"/>
  <c r="H66" i="13"/>
  <c r="G66" i="13"/>
  <c r="F66" i="13"/>
  <c r="E66" i="13"/>
  <c r="D66" i="13"/>
  <c r="C66" i="13"/>
  <c r="Z65" i="13"/>
  <c r="Y65" i="13"/>
  <c r="X65" i="13"/>
  <c r="W65" i="13"/>
  <c r="V65" i="13"/>
  <c r="U65" i="13"/>
  <c r="T65" i="13"/>
  <c r="S65" i="13"/>
  <c r="R65" i="13"/>
  <c r="Q65" i="13"/>
  <c r="P65" i="13"/>
  <c r="O65" i="13"/>
  <c r="N65" i="13"/>
  <c r="M65" i="13"/>
  <c r="L65" i="13"/>
  <c r="K65" i="13"/>
  <c r="J65" i="13"/>
  <c r="I65" i="13"/>
  <c r="H65" i="13"/>
  <c r="G65" i="13"/>
  <c r="F65" i="13"/>
  <c r="E65" i="13"/>
  <c r="D65" i="13"/>
  <c r="C65" i="13"/>
  <c r="Z64" i="13"/>
  <c r="Y64" i="13"/>
  <c r="X64" i="13"/>
  <c r="W64" i="13"/>
  <c r="V64" i="13"/>
  <c r="U64" i="13"/>
  <c r="T64" i="13"/>
  <c r="S64" i="13"/>
  <c r="R64" i="13"/>
  <c r="Q64" i="13"/>
  <c r="P64" i="13"/>
  <c r="O64" i="13"/>
  <c r="N64" i="13"/>
  <c r="M64" i="13"/>
  <c r="L64" i="13"/>
  <c r="K64" i="13"/>
  <c r="J64" i="13"/>
  <c r="I64" i="13"/>
  <c r="H64" i="13"/>
  <c r="G64" i="13"/>
  <c r="F64" i="13"/>
  <c r="E64" i="13"/>
  <c r="D64" i="13"/>
  <c r="C64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3" i="13"/>
  <c r="E63" i="13"/>
  <c r="D63" i="13"/>
  <c r="C63" i="13"/>
  <c r="Z62" i="13"/>
  <c r="Y62" i="13"/>
  <c r="X62" i="13"/>
  <c r="W62" i="13"/>
  <c r="V62" i="13"/>
  <c r="U62" i="13"/>
  <c r="T62" i="13"/>
  <c r="S62" i="13"/>
  <c r="R62" i="13"/>
  <c r="Q62" i="13"/>
  <c r="P62" i="13"/>
  <c r="O62" i="13"/>
  <c r="N62" i="13"/>
  <c r="M62" i="13"/>
  <c r="L62" i="13"/>
  <c r="K62" i="13"/>
  <c r="J62" i="13"/>
  <c r="I62" i="13"/>
  <c r="H62" i="13"/>
  <c r="G62" i="13"/>
  <c r="F62" i="13"/>
  <c r="E62" i="13"/>
  <c r="D62" i="13"/>
  <c r="C62" i="13"/>
  <c r="Z61" i="13"/>
  <c r="Y61" i="13"/>
  <c r="X61" i="13"/>
  <c r="W61" i="13"/>
  <c r="V61" i="13"/>
  <c r="U61" i="13"/>
  <c r="T61" i="13"/>
  <c r="S61" i="13"/>
  <c r="R61" i="13"/>
  <c r="Q61" i="13"/>
  <c r="P61" i="13"/>
  <c r="O61" i="13"/>
  <c r="N61" i="13"/>
  <c r="M61" i="13"/>
  <c r="L61" i="13"/>
  <c r="K61" i="13"/>
  <c r="J61" i="13"/>
  <c r="I61" i="13"/>
  <c r="H61" i="13"/>
  <c r="G61" i="13"/>
  <c r="F61" i="13"/>
  <c r="E61" i="13"/>
  <c r="D61" i="13"/>
  <c r="C61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60" i="13"/>
  <c r="E60" i="13"/>
  <c r="D60" i="13"/>
  <c r="C60" i="13"/>
  <c r="Z59" i="13"/>
  <c r="Y59" i="13"/>
  <c r="X59" i="13"/>
  <c r="W59" i="13"/>
  <c r="V59" i="13"/>
  <c r="U59" i="13"/>
  <c r="T59" i="13"/>
  <c r="S59" i="13"/>
  <c r="R59" i="13"/>
  <c r="Q59" i="13"/>
  <c r="P59" i="13"/>
  <c r="O59" i="13"/>
  <c r="N59" i="13"/>
  <c r="M59" i="13"/>
  <c r="L59" i="13"/>
  <c r="K59" i="13"/>
  <c r="J59" i="13"/>
  <c r="I59" i="13"/>
  <c r="H59" i="13"/>
  <c r="G59" i="13"/>
  <c r="F59" i="13"/>
  <c r="E59" i="13"/>
  <c r="D59" i="13"/>
  <c r="C59" i="13"/>
  <c r="Z58" i="13"/>
  <c r="Y58" i="13"/>
  <c r="X58" i="13"/>
  <c r="W58" i="13"/>
  <c r="V58" i="13"/>
  <c r="U58" i="13"/>
  <c r="T58" i="13"/>
  <c r="S58" i="13"/>
  <c r="R58" i="13"/>
  <c r="Q58" i="13"/>
  <c r="P58" i="13"/>
  <c r="O58" i="13"/>
  <c r="N58" i="13"/>
  <c r="M58" i="13"/>
  <c r="L58" i="13"/>
  <c r="K58" i="13"/>
  <c r="J58" i="13"/>
  <c r="I58" i="13"/>
  <c r="H58" i="13"/>
  <c r="G58" i="13"/>
  <c r="F58" i="13"/>
  <c r="E58" i="13"/>
  <c r="D58" i="13"/>
  <c r="C58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7" i="13"/>
  <c r="E57" i="13"/>
  <c r="D57" i="13"/>
  <c r="C57" i="13"/>
  <c r="Z56" i="13"/>
  <c r="Y56" i="13"/>
  <c r="X56" i="13"/>
  <c r="W56" i="13"/>
  <c r="V56" i="13"/>
  <c r="U56" i="13"/>
  <c r="T56" i="13"/>
  <c r="S56" i="13"/>
  <c r="R56" i="13"/>
  <c r="Q56" i="13"/>
  <c r="P56" i="13"/>
  <c r="O56" i="13"/>
  <c r="N56" i="13"/>
  <c r="M56" i="13"/>
  <c r="L56" i="13"/>
  <c r="K56" i="13"/>
  <c r="J56" i="13"/>
  <c r="I56" i="13"/>
  <c r="H56" i="13"/>
  <c r="G56" i="13"/>
  <c r="F56" i="13"/>
  <c r="E56" i="13"/>
  <c r="D56" i="13"/>
  <c r="C56" i="13"/>
  <c r="Z55" i="13"/>
  <c r="Y55" i="13"/>
  <c r="X55" i="13"/>
  <c r="W55" i="13"/>
  <c r="V55" i="13"/>
  <c r="U55" i="13"/>
  <c r="T55" i="13"/>
  <c r="S55" i="13"/>
  <c r="R55" i="13"/>
  <c r="Q55" i="13"/>
  <c r="P55" i="13"/>
  <c r="O55" i="13"/>
  <c r="N55" i="13"/>
  <c r="M55" i="13"/>
  <c r="L55" i="13"/>
  <c r="K55" i="13"/>
  <c r="J55" i="13"/>
  <c r="I55" i="13"/>
  <c r="H55" i="13"/>
  <c r="G55" i="13"/>
  <c r="F55" i="13"/>
  <c r="E55" i="13"/>
  <c r="D55" i="13"/>
  <c r="C55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4" i="13"/>
  <c r="E54" i="13"/>
  <c r="D54" i="13"/>
  <c r="C54" i="13"/>
  <c r="Z53" i="13"/>
  <c r="Y53" i="13"/>
  <c r="X53" i="13"/>
  <c r="W53" i="13"/>
  <c r="V53" i="13"/>
  <c r="U53" i="13"/>
  <c r="T53" i="13"/>
  <c r="S53" i="13"/>
  <c r="R53" i="13"/>
  <c r="Q53" i="13"/>
  <c r="P53" i="13"/>
  <c r="O53" i="13"/>
  <c r="N53" i="13"/>
  <c r="M53" i="13"/>
  <c r="L53" i="13"/>
  <c r="K53" i="13"/>
  <c r="J53" i="13"/>
  <c r="I53" i="13"/>
  <c r="H53" i="13"/>
  <c r="G53" i="13"/>
  <c r="F53" i="13"/>
  <c r="E53" i="13"/>
  <c r="D53" i="13"/>
  <c r="C53" i="13"/>
  <c r="Z52" i="13"/>
  <c r="Y52" i="13"/>
  <c r="X52" i="13"/>
  <c r="W52" i="13"/>
  <c r="V52" i="13"/>
  <c r="U52" i="13"/>
  <c r="T52" i="13"/>
  <c r="S52" i="13"/>
  <c r="R52" i="13"/>
  <c r="Q52" i="13"/>
  <c r="P52" i="13"/>
  <c r="O52" i="13"/>
  <c r="N52" i="13"/>
  <c r="M52" i="13"/>
  <c r="L52" i="13"/>
  <c r="K52" i="13"/>
  <c r="J52" i="13"/>
  <c r="I52" i="13"/>
  <c r="H52" i="13"/>
  <c r="G52" i="13"/>
  <c r="F52" i="13"/>
  <c r="E52" i="13"/>
  <c r="D52" i="13"/>
  <c r="C52" i="13"/>
  <c r="Z51" i="13"/>
  <c r="Y51" i="13"/>
  <c r="X51" i="13"/>
  <c r="W51" i="13"/>
  <c r="V51" i="13"/>
  <c r="U51" i="13"/>
  <c r="T51" i="13"/>
  <c r="S51" i="13"/>
  <c r="R51" i="13"/>
  <c r="Q51" i="13"/>
  <c r="P51" i="13"/>
  <c r="O51" i="13"/>
  <c r="N51" i="13"/>
  <c r="M51" i="13"/>
  <c r="L51" i="13"/>
  <c r="K51" i="13"/>
  <c r="J51" i="13"/>
  <c r="I51" i="13"/>
  <c r="H51" i="13"/>
  <c r="G51" i="13"/>
  <c r="F51" i="13"/>
  <c r="E51" i="13"/>
  <c r="D51" i="13"/>
  <c r="C51" i="13"/>
  <c r="Z50" i="13"/>
  <c r="Y50" i="13"/>
  <c r="X50" i="13"/>
  <c r="W50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J50" i="13"/>
  <c r="I50" i="13"/>
  <c r="H50" i="13"/>
  <c r="G50" i="13"/>
  <c r="F50" i="13"/>
  <c r="E50" i="13"/>
  <c r="D50" i="13"/>
  <c r="C50" i="13"/>
  <c r="Z49" i="13"/>
  <c r="Y49" i="13"/>
  <c r="X49" i="13"/>
  <c r="W49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J49" i="13"/>
  <c r="I49" i="13"/>
  <c r="H49" i="13"/>
  <c r="G49" i="13"/>
  <c r="F49" i="13"/>
  <c r="E49" i="13"/>
  <c r="D49" i="13"/>
  <c r="C49" i="13"/>
  <c r="Z48" i="13"/>
  <c r="Y48" i="13"/>
  <c r="X48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J48" i="13"/>
  <c r="I48" i="13"/>
  <c r="H48" i="13"/>
  <c r="G48" i="13"/>
  <c r="F48" i="13"/>
  <c r="E48" i="13"/>
  <c r="D48" i="13"/>
  <c r="C48" i="13"/>
  <c r="Z47" i="13"/>
  <c r="Y47" i="13"/>
  <c r="X47" i="13"/>
  <c r="W47" i="13"/>
  <c r="V47" i="13"/>
  <c r="U47" i="13"/>
  <c r="T47" i="13"/>
  <c r="S47" i="13"/>
  <c r="R47" i="13"/>
  <c r="Q47" i="13"/>
  <c r="P47" i="13"/>
  <c r="O47" i="13"/>
  <c r="N47" i="13"/>
  <c r="M47" i="13"/>
  <c r="L47" i="13"/>
  <c r="K47" i="13"/>
  <c r="J47" i="13"/>
  <c r="I47" i="13"/>
  <c r="H47" i="13"/>
  <c r="G47" i="13"/>
  <c r="F47" i="13"/>
  <c r="E47" i="13"/>
  <c r="D47" i="13"/>
  <c r="C47" i="13"/>
  <c r="Z46" i="13"/>
  <c r="Y46" i="13"/>
  <c r="X46" i="13"/>
  <c r="W46" i="13"/>
  <c r="V46" i="13"/>
  <c r="U46" i="13"/>
  <c r="T46" i="13"/>
  <c r="S46" i="13"/>
  <c r="R46" i="13"/>
  <c r="Q46" i="13"/>
  <c r="P46" i="13"/>
  <c r="O46" i="13"/>
  <c r="N46" i="13"/>
  <c r="M46" i="13"/>
  <c r="L46" i="13"/>
  <c r="K46" i="13"/>
  <c r="J46" i="13"/>
  <c r="I46" i="13"/>
  <c r="H46" i="13"/>
  <c r="G46" i="13"/>
  <c r="F46" i="13"/>
  <c r="E46" i="13"/>
  <c r="D46" i="13"/>
  <c r="C46" i="13"/>
  <c r="Z45" i="13"/>
  <c r="Y45" i="13"/>
  <c r="X45" i="13"/>
  <c r="W45" i="13"/>
  <c r="V45" i="13"/>
  <c r="U45" i="13"/>
  <c r="T45" i="13"/>
  <c r="S45" i="13"/>
  <c r="R45" i="13"/>
  <c r="Q45" i="13"/>
  <c r="P45" i="13"/>
  <c r="O45" i="13"/>
  <c r="N45" i="13"/>
  <c r="M45" i="13"/>
  <c r="L45" i="13"/>
  <c r="K45" i="13"/>
  <c r="J45" i="13"/>
  <c r="I45" i="13"/>
  <c r="H45" i="13"/>
  <c r="G45" i="13"/>
  <c r="F45" i="13"/>
  <c r="E45" i="13"/>
  <c r="D45" i="13"/>
  <c r="C45" i="13"/>
  <c r="Z44" i="13"/>
  <c r="Y44" i="13"/>
  <c r="X44" i="13"/>
  <c r="W44" i="13"/>
  <c r="V44" i="13"/>
  <c r="U44" i="13"/>
  <c r="T44" i="13"/>
  <c r="S44" i="13"/>
  <c r="R44" i="13"/>
  <c r="Q44" i="13"/>
  <c r="P44" i="13"/>
  <c r="O44" i="13"/>
  <c r="N44" i="13"/>
  <c r="M44" i="13"/>
  <c r="L44" i="13"/>
  <c r="K44" i="13"/>
  <c r="J44" i="13"/>
  <c r="I44" i="13"/>
  <c r="H44" i="13"/>
  <c r="G44" i="13"/>
  <c r="F44" i="13"/>
  <c r="E44" i="13"/>
  <c r="D44" i="13"/>
  <c r="C44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Z42" i="13"/>
  <c r="Y42" i="13"/>
  <c r="X42" i="13"/>
  <c r="W42" i="13"/>
  <c r="V42" i="13"/>
  <c r="U42" i="13"/>
  <c r="T42" i="13"/>
  <c r="S42" i="13"/>
  <c r="R42" i="13"/>
  <c r="Q42" i="13"/>
  <c r="P42" i="13"/>
  <c r="O42" i="13"/>
  <c r="N42" i="13"/>
  <c r="M42" i="13"/>
  <c r="L42" i="13"/>
  <c r="K42" i="13"/>
  <c r="J42" i="13"/>
  <c r="I42" i="13"/>
  <c r="H42" i="13"/>
  <c r="G42" i="13"/>
  <c r="F42" i="13"/>
  <c r="E42" i="13"/>
  <c r="D42" i="13"/>
  <c r="C42" i="13"/>
  <c r="Z41" i="13"/>
  <c r="Y41" i="13"/>
  <c r="X41" i="13"/>
  <c r="W41" i="13"/>
  <c r="V41" i="13"/>
  <c r="U41" i="13"/>
  <c r="T41" i="13"/>
  <c r="S41" i="13"/>
  <c r="R41" i="13"/>
  <c r="Q41" i="13"/>
  <c r="P41" i="13"/>
  <c r="O41" i="13"/>
  <c r="N41" i="13"/>
  <c r="M41" i="13"/>
  <c r="L41" i="13"/>
  <c r="K41" i="13"/>
  <c r="J41" i="13"/>
  <c r="I41" i="13"/>
  <c r="H41" i="13"/>
  <c r="G41" i="13"/>
  <c r="F41" i="13"/>
  <c r="E41" i="13"/>
  <c r="D41" i="13"/>
  <c r="C41" i="13"/>
  <c r="Z40" i="13"/>
  <c r="Y40" i="13"/>
  <c r="X40" i="13"/>
  <c r="W40" i="13"/>
  <c r="V40" i="13"/>
  <c r="U40" i="13"/>
  <c r="T40" i="13"/>
  <c r="S40" i="13"/>
  <c r="R40" i="13"/>
  <c r="Q40" i="13"/>
  <c r="P40" i="13"/>
  <c r="O40" i="13"/>
  <c r="N40" i="13"/>
  <c r="M40" i="13"/>
  <c r="L40" i="13"/>
  <c r="K40" i="13"/>
  <c r="J40" i="13"/>
  <c r="I40" i="13"/>
  <c r="H40" i="13"/>
  <c r="G40" i="13"/>
  <c r="F40" i="13"/>
  <c r="E40" i="13"/>
  <c r="D40" i="13"/>
  <c r="C40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Z38" i="13"/>
  <c r="Y38" i="13"/>
  <c r="X38" i="13"/>
  <c r="W38" i="13"/>
  <c r="V38" i="13"/>
  <c r="U38" i="13"/>
  <c r="T38" i="13"/>
  <c r="S38" i="13"/>
  <c r="R38" i="13"/>
  <c r="Q38" i="13"/>
  <c r="P38" i="13"/>
  <c r="O38" i="13"/>
  <c r="N38" i="13"/>
  <c r="M38" i="13"/>
  <c r="L38" i="13"/>
  <c r="K38" i="13"/>
  <c r="J38" i="13"/>
  <c r="I38" i="13"/>
  <c r="H38" i="13"/>
  <c r="G38" i="13"/>
  <c r="F38" i="13"/>
  <c r="E38" i="13"/>
  <c r="D38" i="13"/>
  <c r="C38" i="13"/>
  <c r="Z37" i="13"/>
  <c r="Y37" i="13"/>
  <c r="X37" i="13"/>
  <c r="W37" i="13"/>
  <c r="V37" i="13"/>
  <c r="U37" i="13"/>
  <c r="T37" i="13"/>
  <c r="S37" i="13"/>
  <c r="R37" i="13"/>
  <c r="Q37" i="13"/>
  <c r="P37" i="13"/>
  <c r="O37" i="13"/>
  <c r="N37" i="13"/>
  <c r="M37" i="13"/>
  <c r="L37" i="13"/>
  <c r="K37" i="13"/>
  <c r="J37" i="13"/>
  <c r="I37" i="13"/>
  <c r="H37" i="13"/>
  <c r="G37" i="13"/>
  <c r="F37" i="13"/>
  <c r="E37" i="13"/>
  <c r="D37" i="13"/>
  <c r="C37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Z35" i="13"/>
  <c r="Y35" i="13"/>
  <c r="X35" i="13"/>
  <c r="W35" i="13"/>
  <c r="V35" i="13"/>
  <c r="U35" i="13"/>
  <c r="T35" i="13"/>
  <c r="S35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F35" i="13"/>
  <c r="E35" i="13"/>
  <c r="D35" i="13"/>
  <c r="C35" i="13"/>
  <c r="Z34" i="13"/>
  <c r="Y34" i="13"/>
  <c r="X34" i="13"/>
  <c r="W34" i="13"/>
  <c r="V34" i="13"/>
  <c r="U34" i="13"/>
  <c r="T34" i="13"/>
  <c r="S34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F34" i="13"/>
  <c r="E34" i="13"/>
  <c r="D34" i="13"/>
  <c r="C34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Z32" i="13"/>
  <c r="Y32" i="13"/>
  <c r="X32" i="13"/>
  <c r="W32" i="13"/>
  <c r="V32" i="13"/>
  <c r="U32" i="13"/>
  <c r="T32" i="13"/>
  <c r="S32" i="13"/>
  <c r="R32" i="13"/>
  <c r="Q32" i="13"/>
  <c r="P32" i="13"/>
  <c r="O32" i="13"/>
  <c r="N32" i="13"/>
  <c r="M32" i="13"/>
  <c r="L32" i="13"/>
  <c r="K32" i="13"/>
  <c r="J32" i="13"/>
  <c r="I32" i="13"/>
  <c r="H32" i="13"/>
  <c r="G32" i="13"/>
  <c r="F32" i="13"/>
  <c r="E32" i="13"/>
  <c r="D32" i="13"/>
  <c r="C32" i="13"/>
  <c r="Z31" i="13"/>
  <c r="Y31" i="13"/>
  <c r="X31" i="13"/>
  <c r="W31" i="13"/>
  <c r="V31" i="13"/>
  <c r="U31" i="13"/>
  <c r="T31" i="13"/>
  <c r="S31" i="13"/>
  <c r="R31" i="13"/>
  <c r="Q31" i="13"/>
  <c r="P31" i="13"/>
  <c r="O31" i="13"/>
  <c r="N31" i="13"/>
  <c r="M31" i="13"/>
  <c r="L31" i="13"/>
  <c r="K31" i="13"/>
  <c r="J31" i="13"/>
  <c r="I31" i="13"/>
  <c r="H31" i="13"/>
  <c r="G31" i="13"/>
  <c r="F31" i="13"/>
  <c r="E31" i="13"/>
  <c r="D31" i="13"/>
  <c r="C31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Z29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Z28" i="13"/>
  <c r="Y28" i="13"/>
  <c r="X28" i="13"/>
  <c r="W28" i="13"/>
  <c r="V28" i="13"/>
  <c r="U28" i="13"/>
  <c r="T28" i="13"/>
  <c r="S28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C28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Z26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Z25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Z24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Z23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Z22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Z20" i="13"/>
  <c r="Y20" i="13"/>
  <c r="X20" i="13"/>
  <c r="W20" i="13"/>
  <c r="V20" i="13"/>
  <c r="U20" i="13"/>
  <c r="T20" i="13"/>
  <c r="S20" i="13"/>
  <c r="R20" i="13"/>
  <c r="Q20" i="13"/>
  <c r="P20" i="13"/>
  <c r="O20" i="13"/>
  <c r="N20" i="13"/>
  <c r="M20" i="13"/>
  <c r="L20" i="13"/>
  <c r="K20" i="13"/>
  <c r="J20" i="13"/>
  <c r="I20" i="13"/>
  <c r="H20" i="13"/>
  <c r="G20" i="13"/>
  <c r="F20" i="13"/>
  <c r="E20" i="13"/>
  <c r="D20" i="13"/>
  <c r="C20" i="13"/>
  <c r="Z19" i="13"/>
  <c r="Y19" i="13"/>
  <c r="X19" i="13"/>
  <c r="W19" i="13"/>
  <c r="V19" i="13"/>
  <c r="U19" i="13"/>
  <c r="T19" i="13"/>
  <c r="S19" i="13"/>
  <c r="R19" i="13"/>
  <c r="Q19" i="13"/>
  <c r="P19" i="13"/>
  <c r="O19" i="13"/>
  <c r="N19" i="13"/>
  <c r="M19" i="13"/>
  <c r="L19" i="13"/>
  <c r="K19" i="13"/>
  <c r="J19" i="13"/>
  <c r="I19" i="13"/>
  <c r="H19" i="13"/>
  <c r="G19" i="13"/>
  <c r="F19" i="13"/>
  <c r="E19" i="13"/>
  <c r="D19" i="13"/>
  <c r="C19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Z17" i="13"/>
  <c r="Y17" i="13"/>
  <c r="X17" i="13"/>
  <c r="W17" i="13"/>
  <c r="V17" i="13"/>
  <c r="U17" i="13"/>
  <c r="T17" i="13"/>
  <c r="S17" i="13"/>
  <c r="R17" i="13"/>
  <c r="Q17" i="13"/>
  <c r="P17" i="13"/>
  <c r="O17" i="13"/>
  <c r="N17" i="13"/>
  <c r="M17" i="13"/>
  <c r="L17" i="13"/>
  <c r="K17" i="13"/>
  <c r="J17" i="13"/>
  <c r="I17" i="13"/>
  <c r="H17" i="13"/>
  <c r="G17" i="13"/>
  <c r="F17" i="13"/>
  <c r="E17" i="13"/>
  <c r="D17" i="13"/>
  <c r="C17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Z14" i="13"/>
  <c r="Y14" i="13"/>
  <c r="X14" i="13"/>
  <c r="W14" i="13"/>
  <c r="V14" i="13"/>
  <c r="U14" i="13"/>
  <c r="T14" i="13"/>
  <c r="S14" i="13"/>
  <c r="R14" i="13"/>
  <c r="Q14" i="13"/>
  <c r="P14" i="13"/>
  <c r="O14" i="13"/>
  <c r="N14" i="13"/>
  <c r="M14" i="13"/>
  <c r="L14" i="13"/>
  <c r="K14" i="13"/>
  <c r="J14" i="13"/>
  <c r="I14" i="13"/>
  <c r="H14" i="13"/>
  <c r="G14" i="13"/>
  <c r="F14" i="13"/>
  <c r="E14" i="13"/>
  <c r="D14" i="13"/>
  <c r="C14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C10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Z8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C1" i="13" l="1" a="1"/>
  <c r="C1" i="13" s="1"/>
  <c r="R1" i="13"/>
  <c r="J1" i="13"/>
  <c r="E1" i="13"/>
  <c r="M1" i="13"/>
  <c r="W1" i="13"/>
  <c r="AB158" i="13"/>
  <c r="AD158" i="13" s="1"/>
  <c r="AB159" i="13"/>
  <c r="AD159" i="13" s="1"/>
  <c r="AB161" i="13"/>
  <c r="AD161" i="13" s="1"/>
  <c r="AB162" i="13"/>
  <c r="AD162" i="13" s="1"/>
  <c r="AB164" i="13"/>
  <c r="AD164" i="13" s="1"/>
  <c r="AB168" i="13"/>
  <c r="AD168" i="13" s="1"/>
  <c r="AB169" i="13"/>
  <c r="AD169" i="13" s="1"/>
  <c r="AB175" i="13"/>
  <c r="AD175" i="13" s="1"/>
  <c r="AB176" i="13"/>
  <c r="AD176" i="13" s="1"/>
  <c r="AB177" i="13"/>
  <c r="AD177" i="13" s="1"/>
  <c r="AB187" i="13"/>
  <c r="AD187" i="13" s="1"/>
  <c r="AB188" i="13"/>
  <c r="AD188" i="13" s="1"/>
  <c r="AB189" i="13"/>
  <c r="AD189" i="13" s="1"/>
  <c r="AB190" i="13"/>
  <c r="AD190" i="13" s="1"/>
  <c r="AB191" i="13"/>
  <c r="AD191" i="13" s="1"/>
  <c r="AB192" i="13"/>
  <c r="AD192" i="13" s="1"/>
  <c r="AB193" i="13"/>
  <c r="AD193" i="13" s="1"/>
  <c r="AB194" i="13"/>
  <c r="AD194" i="13" s="1"/>
  <c r="AB200" i="13"/>
  <c r="AD200" i="13" s="1"/>
  <c r="AB216" i="13"/>
  <c r="AD216" i="13" s="1"/>
  <c r="AB217" i="13"/>
  <c r="AD217" i="13" s="1"/>
  <c r="AB218" i="13"/>
  <c r="AD218" i="13" s="1"/>
  <c r="AB219" i="13"/>
  <c r="AD219" i="13" s="1"/>
  <c r="AB220" i="13"/>
  <c r="AD220" i="13" s="1"/>
  <c r="AB232" i="13"/>
  <c r="AD232" i="13" s="1"/>
  <c r="AB234" i="13"/>
  <c r="AD234" i="13" s="1"/>
  <c r="AB236" i="13"/>
  <c r="AD236" i="13" s="1"/>
  <c r="AB237" i="13"/>
  <c r="AD237" i="13" s="1"/>
  <c r="D1" i="13"/>
  <c r="L1" i="13"/>
  <c r="T1" i="13"/>
  <c r="AB21" i="13"/>
  <c r="AD21" i="13" s="1"/>
  <c r="AB22" i="13"/>
  <c r="AD22" i="13" s="1"/>
  <c r="AB23" i="13"/>
  <c r="AD23" i="13" s="1"/>
  <c r="AB25" i="13"/>
  <c r="AD25" i="13" s="1"/>
  <c r="AB26" i="13"/>
  <c r="AD26" i="13" s="1"/>
  <c r="AB28" i="13"/>
  <c r="AD28" i="13" s="1"/>
  <c r="AB29" i="13"/>
  <c r="AD29" i="13" s="1"/>
  <c r="AB30" i="13"/>
  <c r="AB31" i="13"/>
  <c r="AD31" i="13" s="1"/>
  <c r="AB32" i="13"/>
  <c r="AD32" i="13" s="1"/>
  <c r="AB33" i="13"/>
  <c r="AD33" i="13" s="1"/>
  <c r="AB34" i="13"/>
  <c r="AD34" i="13" s="1"/>
  <c r="AB35" i="13"/>
  <c r="AD35" i="13" s="1"/>
  <c r="AB36" i="13"/>
  <c r="AD36" i="13" s="1"/>
  <c r="AB37" i="13"/>
  <c r="AD37" i="13" s="1"/>
  <c r="AB38" i="13"/>
  <c r="AD38" i="13" s="1"/>
  <c r="AB39" i="13"/>
  <c r="AD39" i="13" s="1"/>
  <c r="AB40" i="13"/>
  <c r="AD40" i="13" s="1"/>
  <c r="AB41" i="13"/>
  <c r="AD41" i="13" s="1"/>
  <c r="AB42" i="13"/>
  <c r="AD42" i="13" s="1"/>
  <c r="AB44" i="13"/>
  <c r="AD44" i="13" s="1"/>
  <c r="AB45" i="13"/>
  <c r="AD45" i="13" s="1"/>
  <c r="AB46" i="13"/>
  <c r="AD46" i="13" s="1"/>
  <c r="AB47" i="13"/>
  <c r="AD47" i="13" s="1"/>
  <c r="AB48" i="13"/>
  <c r="AD48" i="13" s="1"/>
  <c r="AB50" i="13"/>
  <c r="AD50" i="13" s="1"/>
  <c r="AB51" i="13"/>
  <c r="AD51" i="13" s="1"/>
  <c r="AB52" i="13"/>
  <c r="AD52" i="13" s="1"/>
  <c r="AB56" i="13"/>
  <c r="AD56" i="13" s="1"/>
  <c r="AB57" i="13"/>
  <c r="AD57" i="13" s="1"/>
  <c r="AB60" i="13"/>
  <c r="AD60" i="13" s="1"/>
  <c r="AB61" i="13"/>
  <c r="AD61" i="13" s="1"/>
  <c r="AB62" i="13"/>
  <c r="AD62" i="13" s="1"/>
  <c r="AB64" i="13"/>
  <c r="AD64" i="13" s="1"/>
  <c r="AB65" i="13"/>
  <c r="AD65" i="13" s="1"/>
  <c r="AB68" i="13"/>
  <c r="AD68" i="13" s="1"/>
  <c r="AB69" i="13"/>
  <c r="AD69" i="13" s="1"/>
  <c r="AB72" i="13"/>
  <c r="AD72" i="13" s="1"/>
  <c r="AB73" i="13"/>
  <c r="AD73" i="13" s="1"/>
  <c r="AB76" i="13"/>
  <c r="AD76" i="13" s="1"/>
  <c r="AB80" i="13"/>
  <c r="AD80" i="13" s="1"/>
  <c r="AB84" i="13"/>
  <c r="AD84" i="13" s="1"/>
  <c r="AB85" i="13"/>
  <c r="AD85" i="13" s="1"/>
  <c r="AB86" i="13"/>
  <c r="AD86" i="13" s="1"/>
  <c r="AB88" i="13"/>
  <c r="AD88" i="13" s="1"/>
  <c r="AB92" i="13"/>
  <c r="AD92" i="13" s="1"/>
  <c r="AB96" i="13"/>
  <c r="AD96" i="13" s="1"/>
  <c r="AB97" i="13"/>
  <c r="AD97" i="13" s="1"/>
  <c r="AB146" i="13"/>
  <c r="AD146" i="13" s="1"/>
  <c r="AB147" i="13"/>
  <c r="AD147" i="13" s="1"/>
  <c r="AB148" i="13"/>
  <c r="AD148" i="13" s="1"/>
  <c r="AB153" i="13"/>
  <c r="AD153" i="13" s="1"/>
  <c r="AB154" i="13"/>
  <c r="AD154" i="13" s="1"/>
  <c r="AB155" i="13"/>
  <c r="AD155" i="13" s="1"/>
  <c r="AB157" i="13"/>
  <c r="AD157" i="13" s="1"/>
  <c r="AB165" i="13"/>
  <c r="AD165" i="13" s="1"/>
  <c r="AB166" i="13"/>
  <c r="AD166" i="13" s="1"/>
  <c r="AB167" i="13"/>
  <c r="AD167" i="13" s="1"/>
  <c r="AB170" i="13"/>
  <c r="AD170" i="13" s="1"/>
  <c r="AB179" i="13"/>
  <c r="AD179" i="13" s="1"/>
  <c r="AB180" i="13"/>
  <c r="AD180" i="13" s="1"/>
  <c r="AB181" i="13"/>
  <c r="AD181" i="13" s="1"/>
  <c r="AB182" i="13"/>
  <c r="AD182" i="13" s="1"/>
  <c r="AB184" i="13"/>
  <c r="AD184" i="13" s="1"/>
  <c r="AB201" i="13"/>
  <c r="AD201" i="13" s="1"/>
  <c r="AB202" i="13"/>
  <c r="AD202" i="13" s="1"/>
  <c r="AB205" i="13"/>
  <c r="AD205" i="13" s="1"/>
  <c r="AB206" i="13"/>
  <c r="AD206" i="13" s="1"/>
  <c r="AB207" i="13"/>
  <c r="AD207" i="13" s="1"/>
  <c r="AB213" i="13"/>
  <c r="AD213" i="13" s="1"/>
  <c r="AB214" i="13"/>
  <c r="AD214" i="13" s="1"/>
  <c r="AB215" i="13"/>
  <c r="AD215" i="13" s="1"/>
  <c r="AB222" i="13"/>
  <c r="AD222" i="13" s="1"/>
  <c r="AB223" i="13"/>
  <c r="AD223" i="13" s="1"/>
  <c r="AB225" i="13"/>
  <c r="AD225" i="13" s="1"/>
  <c r="AB226" i="13"/>
  <c r="AD226" i="13" s="1"/>
  <c r="AB229" i="13"/>
  <c r="AD229" i="13" s="1"/>
  <c r="AB230" i="13"/>
  <c r="AD230" i="13" s="1"/>
  <c r="AB231" i="13"/>
  <c r="AD231" i="13" s="1"/>
  <c r="AB233" i="13"/>
  <c r="AD233" i="13" s="1"/>
  <c r="AB238" i="13"/>
  <c r="AD238" i="13" s="1"/>
  <c r="AB240" i="13"/>
  <c r="AD240" i="13" s="1"/>
  <c r="AB241" i="13"/>
  <c r="AD241" i="13" s="1"/>
  <c r="AB243" i="13"/>
  <c r="AD243" i="13" s="1"/>
  <c r="AB245" i="13"/>
  <c r="AD245" i="13" s="1"/>
  <c r="AB246" i="13"/>
  <c r="AD246" i="13" s="1"/>
  <c r="AB249" i="13"/>
  <c r="AD249" i="13" s="1"/>
  <c r="AB250" i="13"/>
  <c r="AD250" i="13" s="1"/>
  <c r="AB251" i="13"/>
  <c r="AD251" i="13" s="1"/>
  <c r="AB254" i="13"/>
  <c r="AD254" i="13" s="1"/>
  <c r="AB257" i="13"/>
  <c r="AD257" i="13" s="1"/>
  <c r="AB258" i="13"/>
  <c r="AD258" i="13" s="1"/>
  <c r="AB259" i="13"/>
  <c r="AD259" i="13" s="1"/>
  <c r="AB263" i="13"/>
  <c r="AD263" i="13" s="1"/>
  <c r="AB264" i="13"/>
  <c r="AD264" i="13" s="1"/>
  <c r="AB267" i="13"/>
  <c r="AD267" i="13" s="1"/>
  <c r="AB268" i="13"/>
  <c r="AD268" i="13" s="1"/>
  <c r="AB269" i="13"/>
  <c r="AD269" i="13" s="1"/>
  <c r="AB270" i="13"/>
  <c r="AD270" i="13" s="1"/>
  <c r="AB271" i="13"/>
  <c r="AD271" i="13" s="1"/>
  <c r="AB273" i="13"/>
  <c r="AD273" i="13" s="1"/>
  <c r="AB274" i="13"/>
  <c r="AD274" i="13" s="1"/>
  <c r="AB275" i="13"/>
  <c r="AD275" i="13" s="1"/>
  <c r="AB279" i="13"/>
  <c r="AD279" i="13" s="1"/>
  <c r="AB280" i="13"/>
  <c r="AD280" i="13" s="1"/>
  <c r="AB283" i="13"/>
  <c r="AD283" i="13" s="1"/>
  <c r="AB284" i="13"/>
  <c r="AD284" i="13" s="1"/>
  <c r="AB285" i="13"/>
  <c r="AD285" i="13" s="1"/>
  <c r="AB286" i="13"/>
  <c r="AD286" i="13" s="1"/>
  <c r="AB287" i="13"/>
  <c r="AD287" i="13" s="1"/>
  <c r="AB289" i="13"/>
  <c r="AD289" i="13" s="1"/>
  <c r="AB290" i="13"/>
  <c r="AD290" i="13" s="1"/>
  <c r="AB291" i="13"/>
  <c r="AD291" i="13" s="1"/>
  <c r="AB295" i="13"/>
  <c r="AD295" i="13" s="1"/>
  <c r="AB296" i="13"/>
  <c r="AD296" i="13" s="1"/>
  <c r="AB299" i="13"/>
  <c r="AD299" i="13" s="1"/>
  <c r="AB300" i="13"/>
  <c r="AD300" i="13" s="1"/>
  <c r="AB301" i="13"/>
  <c r="AD301" i="13" s="1"/>
  <c r="AB302" i="13"/>
  <c r="AD302" i="13" s="1"/>
  <c r="AB303" i="13"/>
  <c r="AD303" i="13" s="1"/>
  <c r="AB305" i="13"/>
  <c r="AD305" i="13" s="1"/>
  <c r="AB306" i="13"/>
  <c r="AD306" i="13" s="1"/>
  <c r="AB307" i="13"/>
  <c r="AD307" i="13" s="1"/>
  <c r="U1" i="13"/>
  <c r="I1" i="13"/>
  <c r="Q1" i="13"/>
  <c r="Y1" i="13"/>
  <c r="AB311" i="13"/>
  <c r="AD311" i="13" s="1"/>
  <c r="AB312" i="13"/>
  <c r="AD312" i="13" s="1"/>
  <c r="AB315" i="13"/>
  <c r="AD315" i="13" s="1"/>
  <c r="AB316" i="13"/>
  <c r="AD316" i="13" s="1"/>
  <c r="AB317" i="13"/>
  <c r="AD317" i="13" s="1"/>
  <c r="AB318" i="13"/>
  <c r="AD318" i="13" s="1"/>
  <c r="AB319" i="13"/>
  <c r="AD319" i="13" s="1"/>
  <c r="AB321" i="13"/>
  <c r="AD321" i="13" s="1"/>
  <c r="AB322" i="13"/>
  <c r="AD322" i="13" s="1"/>
  <c r="AB323" i="13"/>
  <c r="AD323" i="13" s="1"/>
  <c r="AB327" i="13"/>
  <c r="AD327" i="13" s="1"/>
  <c r="AB331" i="13"/>
  <c r="AD331" i="13" s="1"/>
  <c r="AB332" i="13"/>
  <c r="AD332" i="13" s="1"/>
  <c r="AB333" i="13"/>
  <c r="AD333" i="13" s="1"/>
  <c r="AB334" i="13"/>
  <c r="AD334" i="13" s="1"/>
  <c r="AB336" i="13"/>
  <c r="AD336" i="13" s="1"/>
  <c r="AB337" i="13"/>
  <c r="AD337" i="13" s="1"/>
  <c r="AB339" i="13"/>
  <c r="AD339" i="13" s="1"/>
  <c r="AB341" i="13"/>
  <c r="AD341" i="13" s="1"/>
  <c r="AB342" i="13"/>
  <c r="AD342" i="13" s="1"/>
  <c r="AB345" i="13"/>
  <c r="AD345" i="13" s="1"/>
  <c r="AB346" i="13"/>
  <c r="AD346" i="13" s="1"/>
  <c r="AB351" i="13"/>
  <c r="AD351" i="13" s="1"/>
  <c r="AB359" i="13"/>
  <c r="AD359" i="13" s="1"/>
  <c r="AB360" i="13"/>
  <c r="AD360" i="13" s="1"/>
  <c r="AB361" i="13"/>
  <c r="AD361" i="13" s="1"/>
  <c r="AB362" i="13"/>
  <c r="AD362" i="13" s="1"/>
  <c r="AB364" i="13"/>
  <c r="AD364" i="13" s="1"/>
  <c r="AB365" i="13"/>
  <c r="AD365" i="13" s="1"/>
  <c r="AB366" i="13"/>
  <c r="AD366" i="13" s="1"/>
  <c r="AB368" i="13"/>
  <c r="AD368" i="13" s="1"/>
  <c r="AB369" i="13"/>
  <c r="AD369" i="13" s="1"/>
  <c r="AB370" i="13"/>
  <c r="AD370" i="13" s="1"/>
  <c r="AB375" i="13"/>
  <c r="AD375" i="13" s="1"/>
  <c r="AB377" i="13"/>
  <c r="AD377" i="13" s="1"/>
  <c r="AB378" i="13"/>
  <c r="AD378" i="13" s="1"/>
  <c r="AB383" i="13"/>
  <c r="AD383" i="13" s="1"/>
  <c r="AB384" i="13"/>
  <c r="AD384" i="13" s="1"/>
  <c r="AB386" i="13"/>
  <c r="AD386" i="13" s="1"/>
  <c r="AB391" i="13"/>
  <c r="AD391" i="13" s="1"/>
  <c r="AB392" i="13"/>
  <c r="AD392" i="13" s="1"/>
  <c r="AB393" i="13"/>
  <c r="AD393" i="13" s="1"/>
  <c r="AB394" i="13"/>
  <c r="AD394" i="13" s="1"/>
  <c r="AB396" i="13"/>
  <c r="AD396" i="13" s="1"/>
  <c r="AB397" i="13"/>
  <c r="AD397" i="13" s="1"/>
  <c r="AB398" i="13"/>
  <c r="AD398" i="13" s="1"/>
  <c r="AB400" i="13"/>
  <c r="AD400" i="13" s="1"/>
  <c r="AB401" i="13"/>
  <c r="AD401" i="13" s="1"/>
  <c r="AB402" i="13"/>
  <c r="AD402" i="13" s="1"/>
  <c r="AB407" i="13"/>
  <c r="AD407" i="13" s="1"/>
  <c r="AB409" i="13"/>
  <c r="AD409" i="13" s="1"/>
  <c r="AB415" i="13"/>
  <c r="AD415" i="13" s="1"/>
  <c r="AB416" i="13"/>
  <c r="AD416" i="13" s="1"/>
  <c r="AB418" i="13"/>
  <c r="AD418" i="13" s="1"/>
  <c r="AB423" i="13"/>
  <c r="AD423" i="13" s="1"/>
  <c r="AB424" i="13"/>
  <c r="AD424" i="13" s="1"/>
  <c r="AB425" i="13"/>
  <c r="AD425" i="13" s="1"/>
  <c r="AB426" i="13"/>
  <c r="AD426" i="13" s="1"/>
  <c r="AB428" i="13"/>
  <c r="AD428" i="13" s="1"/>
  <c r="AB429" i="13"/>
  <c r="AD429" i="13" s="1"/>
  <c r="AB430" i="13"/>
  <c r="AD430" i="13" s="1"/>
  <c r="AB432" i="13"/>
  <c r="AD432" i="13" s="1"/>
  <c r="AB433" i="13"/>
  <c r="AD433" i="13" s="1"/>
  <c r="AB434" i="13"/>
  <c r="AD434" i="13" s="1"/>
  <c r="AB439" i="13"/>
  <c r="AD439" i="13" s="1"/>
  <c r="AB441" i="13"/>
  <c r="AD441" i="13" s="1"/>
  <c r="AB443" i="13"/>
  <c r="AD443" i="13" s="1"/>
  <c r="AB447" i="13"/>
  <c r="AD447" i="13" s="1"/>
  <c r="AB448" i="13"/>
  <c r="AD448" i="13" s="1"/>
  <c r="AB450" i="13"/>
  <c r="AD450" i="13" s="1"/>
  <c r="AB455" i="13"/>
  <c r="AD455" i="13" s="1"/>
  <c r="AB456" i="13"/>
  <c r="AD456" i="13" s="1"/>
  <c r="AB457" i="13"/>
  <c r="AD457" i="13" s="1"/>
  <c r="AB458" i="13"/>
  <c r="AD458" i="13" s="1"/>
  <c r="AB460" i="13"/>
  <c r="AD460" i="13" s="1"/>
  <c r="AB461" i="13"/>
  <c r="AD461" i="13" s="1"/>
  <c r="AB462" i="13"/>
  <c r="AD462" i="13" s="1"/>
  <c r="AB464" i="13"/>
  <c r="AD464" i="13" s="1"/>
  <c r="AB465" i="13"/>
  <c r="AD465" i="13" s="1"/>
  <c r="AB466" i="13"/>
  <c r="AD466" i="13" s="1"/>
  <c r="AB471" i="13"/>
  <c r="AD471" i="13" s="1"/>
  <c r="AB475" i="13"/>
  <c r="AD475" i="13" s="1"/>
  <c r="AB479" i="13"/>
  <c r="AD479" i="13" s="1"/>
  <c r="AB480" i="13"/>
  <c r="AD480" i="13" s="1"/>
  <c r="AB484" i="13"/>
  <c r="AD484" i="13" s="1"/>
  <c r="G1" i="13"/>
  <c r="AB100" i="13"/>
  <c r="AD100" i="13" s="1"/>
  <c r="AB103" i="13"/>
  <c r="AD103" i="13" s="1"/>
  <c r="AB104" i="13"/>
  <c r="AD104" i="13" s="1"/>
  <c r="AB108" i="13"/>
  <c r="AD108" i="13" s="1"/>
  <c r="AB112" i="13"/>
  <c r="AD112" i="13" s="1"/>
  <c r="AB116" i="13"/>
  <c r="AD116" i="13" s="1"/>
  <c r="AB117" i="13"/>
  <c r="AD117" i="13" s="1"/>
  <c r="AB118" i="13"/>
  <c r="AD118" i="13" s="1"/>
  <c r="AB120" i="13"/>
  <c r="AD120" i="13" s="1"/>
  <c r="AB124" i="13"/>
  <c r="AD124" i="13" s="1"/>
  <c r="AB128" i="13"/>
  <c r="AD128" i="13" s="1"/>
  <c r="AB129" i="13"/>
  <c r="AD129" i="13" s="1"/>
  <c r="AB130" i="13"/>
  <c r="AD130" i="13" s="1"/>
  <c r="AB131" i="13"/>
  <c r="AD131" i="13" s="1"/>
  <c r="AB132" i="13"/>
  <c r="AD132" i="13" s="1"/>
  <c r="AB136" i="13"/>
  <c r="AD136" i="13" s="1"/>
  <c r="AB137" i="13"/>
  <c r="AD137" i="13" s="1"/>
  <c r="AB139" i="13"/>
  <c r="AD139" i="13" s="1"/>
  <c r="AB140" i="13"/>
  <c r="AD140" i="13" s="1"/>
  <c r="AB142" i="13"/>
  <c r="AD142" i="13" s="1"/>
  <c r="AB144" i="13"/>
  <c r="AD144" i="13" s="1"/>
  <c r="AB145" i="13"/>
  <c r="AD145" i="13" s="1"/>
  <c r="O1" i="13"/>
  <c r="AB49" i="13"/>
  <c r="AD49" i="13" s="1"/>
  <c r="AB99" i="13"/>
  <c r="AD99" i="13" s="1"/>
  <c r="H1" i="13"/>
  <c r="P1" i="13"/>
  <c r="X1" i="13"/>
  <c r="AB98" i="13"/>
  <c r="AD98" i="13" s="1"/>
  <c r="AB53" i="13"/>
  <c r="AD53" i="13" s="1"/>
  <c r="Z1" i="13" a="1"/>
  <c r="Z1" i="13" s="1"/>
  <c r="AB6" i="13"/>
  <c r="S1" i="13"/>
  <c r="AB7" i="13"/>
  <c r="AD7" i="13" s="1"/>
  <c r="AB8" i="13"/>
  <c r="AD8" i="13" s="1"/>
  <c r="K1" i="13"/>
  <c r="AB10" i="13"/>
  <c r="AD10" i="13" s="1"/>
  <c r="AB11" i="13"/>
  <c r="AD11" i="13" s="1"/>
  <c r="AB12" i="13"/>
  <c r="AD12" i="13" s="1"/>
  <c r="AB13" i="13"/>
  <c r="AD13" i="13" s="1"/>
  <c r="AB14" i="13"/>
  <c r="AD14" i="13" s="1"/>
  <c r="AB15" i="13"/>
  <c r="AD15" i="13" s="1"/>
  <c r="AB16" i="13"/>
  <c r="AD16" i="13" s="1"/>
  <c r="AB17" i="13"/>
  <c r="AD17" i="13" s="1"/>
  <c r="AB43" i="13"/>
  <c r="AD43" i="13" s="1"/>
  <c r="AB24" i="13"/>
  <c r="AD24" i="13" s="1"/>
  <c r="AB27" i="13"/>
  <c r="AD27" i="13" s="1"/>
  <c r="F1" i="13"/>
  <c r="N1" i="13"/>
  <c r="V1" i="13"/>
  <c r="AB18" i="13"/>
  <c r="AD18" i="13" s="1"/>
  <c r="AB19" i="13"/>
  <c r="AD19" i="13" s="1"/>
  <c r="AB20" i="13"/>
  <c r="AD20" i="13" s="1"/>
  <c r="AB63" i="13"/>
  <c r="AD63" i="13" s="1"/>
  <c r="AB87" i="13"/>
  <c r="AD87" i="13" s="1"/>
  <c r="AB119" i="13"/>
  <c r="AD119" i="13" s="1"/>
  <c r="AB9" i="13"/>
  <c r="AD9" i="13" s="1"/>
  <c r="AB70" i="13"/>
  <c r="AD70" i="13" s="1"/>
  <c r="AB71" i="13"/>
  <c r="AD71" i="13" s="1"/>
  <c r="AB77" i="13"/>
  <c r="AD77" i="13" s="1"/>
  <c r="AB78" i="13"/>
  <c r="AD78" i="13" s="1"/>
  <c r="AB79" i="13"/>
  <c r="AD79" i="13" s="1"/>
  <c r="AB109" i="13"/>
  <c r="AD109" i="13" s="1"/>
  <c r="AB110" i="13"/>
  <c r="AD110" i="13" s="1"/>
  <c r="AB111" i="13"/>
  <c r="AD111" i="13" s="1"/>
  <c r="AB133" i="13"/>
  <c r="AD133" i="13" s="1"/>
  <c r="AB134" i="13"/>
  <c r="AD134" i="13" s="1"/>
  <c r="AB135" i="13"/>
  <c r="AD135" i="13" s="1"/>
  <c r="AB149" i="13"/>
  <c r="AD149" i="13" s="1"/>
  <c r="AB150" i="13"/>
  <c r="AD150" i="13" s="1"/>
  <c r="AB151" i="13"/>
  <c r="AD151" i="13" s="1"/>
  <c r="AB152" i="13"/>
  <c r="AD152" i="13" s="1"/>
  <c r="AB171" i="13"/>
  <c r="AD171" i="13" s="1"/>
  <c r="AB172" i="13"/>
  <c r="AD172" i="13" s="1"/>
  <c r="AB173" i="13"/>
  <c r="AD173" i="13" s="1"/>
  <c r="AB174" i="13"/>
  <c r="AD174" i="13" s="1"/>
  <c r="AB195" i="13"/>
  <c r="AD195" i="13" s="1"/>
  <c r="AB196" i="13"/>
  <c r="AD196" i="13" s="1"/>
  <c r="AB197" i="13"/>
  <c r="AD197" i="13" s="1"/>
  <c r="AB198" i="13"/>
  <c r="AD198" i="13" s="1"/>
  <c r="AB199" i="13"/>
  <c r="AD199" i="13" s="1"/>
  <c r="AB221" i="13"/>
  <c r="AD221" i="13" s="1"/>
  <c r="AB224" i="13"/>
  <c r="AD224" i="13" s="1"/>
  <c r="AB58" i="13"/>
  <c r="AD58" i="13" s="1"/>
  <c r="AB59" i="13"/>
  <c r="AD59" i="13" s="1"/>
  <c r="AB89" i="13"/>
  <c r="AD89" i="13" s="1"/>
  <c r="AB90" i="13"/>
  <c r="AD90" i="13" s="1"/>
  <c r="AB91" i="13"/>
  <c r="AD91" i="13" s="1"/>
  <c r="AB121" i="13"/>
  <c r="AD121" i="13" s="1"/>
  <c r="AB122" i="13"/>
  <c r="AD122" i="13" s="1"/>
  <c r="AB123" i="13"/>
  <c r="AD123" i="13" s="1"/>
  <c r="AB227" i="13"/>
  <c r="AD227" i="13" s="1"/>
  <c r="AB228" i="13"/>
  <c r="AD228" i="13" s="1"/>
  <c r="AB101" i="13"/>
  <c r="AD101" i="13" s="1"/>
  <c r="AB102" i="13"/>
  <c r="AD102" i="13" s="1"/>
  <c r="AB138" i="13"/>
  <c r="AD138" i="13" s="1"/>
  <c r="AB156" i="13"/>
  <c r="AD156" i="13" s="1"/>
  <c r="AB178" i="13"/>
  <c r="AD178" i="13" s="1"/>
  <c r="AB203" i="13"/>
  <c r="AD203" i="13" s="1"/>
  <c r="AB204" i="13"/>
  <c r="AD204" i="13" s="1"/>
  <c r="AB235" i="13"/>
  <c r="AD235" i="13" s="1"/>
  <c r="AB66" i="13"/>
  <c r="AD66" i="13" s="1"/>
  <c r="AB67" i="13"/>
  <c r="AD67" i="13" s="1"/>
  <c r="AB81" i="13"/>
  <c r="AD81" i="13" s="1"/>
  <c r="AB82" i="13"/>
  <c r="AD82" i="13" s="1"/>
  <c r="AB83" i="13"/>
  <c r="AD83" i="13" s="1"/>
  <c r="AB113" i="13"/>
  <c r="AD113" i="13" s="1"/>
  <c r="AB114" i="13"/>
  <c r="AD114" i="13" s="1"/>
  <c r="AB115" i="13"/>
  <c r="AD115" i="13" s="1"/>
  <c r="AB239" i="13"/>
  <c r="AD239" i="13" s="1"/>
  <c r="AB242" i="13"/>
  <c r="AD242" i="13" s="1"/>
  <c r="AB54" i="13"/>
  <c r="AD54" i="13" s="1"/>
  <c r="AB55" i="13"/>
  <c r="AD55" i="13" s="1"/>
  <c r="AB93" i="13"/>
  <c r="AD93" i="13" s="1"/>
  <c r="AB94" i="13"/>
  <c r="AD94" i="13" s="1"/>
  <c r="AB95" i="13"/>
  <c r="AD95" i="13" s="1"/>
  <c r="AB125" i="13"/>
  <c r="AD125" i="13" s="1"/>
  <c r="AB126" i="13"/>
  <c r="AD126" i="13" s="1"/>
  <c r="AB127" i="13"/>
  <c r="AD127" i="13" s="1"/>
  <c r="AB141" i="13"/>
  <c r="AD141" i="13" s="1"/>
  <c r="AB143" i="13"/>
  <c r="AD143" i="13" s="1"/>
  <c r="AB160" i="13"/>
  <c r="AD160" i="13" s="1"/>
  <c r="AB163" i="13"/>
  <c r="AD163" i="13" s="1"/>
  <c r="AB183" i="13"/>
  <c r="AD183" i="13" s="1"/>
  <c r="AB185" i="13"/>
  <c r="AD185" i="13" s="1"/>
  <c r="AB186" i="13"/>
  <c r="AD186" i="13" s="1"/>
  <c r="AB208" i="13"/>
  <c r="AD208" i="13" s="1"/>
  <c r="AB209" i="13"/>
  <c r="AD209" i="13" s="1"/>
  <c r="AB210" i="13"/>
  <c r="AD210" i="13" s="1"/>
  <c r="AB211" i="13"/>
  <c r="AD211" i="13" s="1"/>
  <c r="AB212" i="13"/>
  <c r="AD212" i="13" s="1"/>
  <c r="AB247" i="13"/>
  <c r="AD247" i="13" s="1"/>
  <c r="AB74" i="13"/>
  <c r="AD74" i="13" s="1"/>
  <c r="AB75" i="13"/>
  <c r="AD75" i="13" s="1"/>
  <c r="AB105" i="13"/>
  <c r="AD105" i="13" s="1"/>
  <c r="AB106" i="13"/>
  <c r="AD106" i="13" s="1"/>
  <c r="AB107" i="13"/>
  <c r="AD107" i="13" s="1"/>
  <c r="AB255" i="13"/>
  <c r="AD255" i="13" s="1"/>
  <c r="AB244" i="13"/>
  <c r="AD244" i="13" s="1"/>
  <c r="AB252" i="13"/>
  <c r="AD252" i="13" s="1"/>
  <c r="AB253" i="13"/>
  <c r="AD253" i="13" s="1"/>
  <c r="AB265" i="13"/>
  <c r="AD265" i="13" s="1"/>
  <c r="AB266" i="13"/>
  <c r="AD266" i="13" s="1"/>
  <c r="AB281" i="13"/>
  <c r="AD281" i="13" s="1"/>
  <c r="AB282" i="13"/>
  <c r="AD282" i="13" s="1"/>
  <c r="AB297" i="13"/>
  <c r="AD297" i="13" s="1"/>
  <c r="AB298" i="13"/>
  <c r="AD298" i="13" s="1"/>
  <c r="AB313" i="13"/>
  <c r="AD313" i="13" s="1"/>
  <c r="AB314" i="13"/>
  <c r="AD314" i="13" s="1"/>
  <c r="AB328" i="13"/>
  <c r="AD328" i="13" s="1"/>
  <c r="AB329" i="13"/>
  <c r="AD329" i="13" s="1"/>
  <c r="AB330" i="13"/>
  <c r="AD330" i="13" s="1"/>
  <c r="AB355" i="13"/>
  <c r="AD355" i="13" s="1"/>
  <c r="AB356" i="13"/>
  <c r="AD356" i="13" s="1"/>
  <c r="AB357" i="13"/>
  <c r="AD357" i="13" s="1"/>
  <c r="AB358" i="13"/>
  <c r="AD358" i="13" s="1"/>
  <c r="AB387" i="13"/>
  <c r="AD387" i="13" s="1"/>
  <c r="AB388" i="13"/>
  <c r="AD388" i="13" s="1"/>
  <c r="AB389" i="13"/>
  <c r="AD389" i="13" s="1"/>
  <c r="AB390" i="13"/>
  <c r="AD390" i="13" s="1"/>
  <c r="AB419" i="13"/>
  <c r="AD419" i="13" s="1"/>
  <c r="AB420" i="13"/>
  <c r="AD420" i="13" s="1"/>
  <c r="AB421" i="13"/>
  <c r="AD421" i="13" s="1"/>
  <c r="AB422" i="13"/>
  <c r="AD422" i="13" s="1"/>
  <c r="AB451" i="13"/>
  <c r="AD451" i="13" s="1"/>
  <c r="AB452" i="13"/>
  <c r="AD452" i="13" s="1"/>
  <c r="AB453" i="13"/>
  <c r="AD453" i="13" s="1"/>
  <c r="AB454" i="13"/>
  <c r="AD454" i="13" s="1"/>
  <c r="AB483" i="13"/>
  <c r="AD483" i="13" s="1"/>
  <c r="AB485" i="13"/>
  <c r="AD485" i="13" s="1"/>
  <c r="AB363" i="13"/>
  <c r="AD363" i="13" s="1"/>
  <c r="AB395" i="13"/>
  <c r="AD395" i="13" s="1"/>
  <c r="AB427" i="13"/>
  <c r="AD427" i="13" s="1"/>
  <c r="AB459" i="13"/>
  <c r="AD459" i="13" s="1"/>
  <c r="AB256" i="13"/>
  <c r="AD256" i="13" s="1"/>
  <c r="AB335" i="13"/>
  <c r="AD335" i="13" s="1"/>
  <c r="AB338" i="13"/>
  <c r="AD338" i="13" s="1"/>
  <c r="AB367" i="13"/>
  <c r="AD367" i="13" s="1"/>
  <c r="AB399" i="13"/>
  <c r="AD399" i="13" s="1"/>
  <c r="AB431" i="13"/>
  <c r="AD431" i="13" s="1"/>
  <c r="AB463" i="13"/>
  <c r="AD463" i="13" s="1"/>
  <c r="AB248" i="13"/>
  <c r="AD248" i="13" s="1"/>
  <c r="AB272" i="13"/>
  <c r="AD272" i="13" s="1"/>
  <c r="AB288" i="13"/>
  <c r="AD288" i="13" s="1"/>
  <c r="AB304" i="13"/>
  <c r="AD304" i="13" s="1"/>
  <c r="AB320" i="13"/>
  <c r="AD320" i="13" s="1"/>
  <c r="AB340" i="13"/>
  <c r="AD340" i="13" s="1"/>
  <c r="AB371" i="13"/>
  <c r="AD371" i="13" s="1"/>
  <c r="AB372" i="13"/>
  <c r="AD372" i="13" s="1"/>
  <c r="AB373" i="13"/>
  <c r="AD373" i="13" s="1"/>
  <c r="AB374" i="13"/>
  <c r="AD374" i="13" s="1"/>
  <c r="AB403" i="13"/>
  <c r="AD403" i="13" s="1"/>
  <c r="AB404" i="13"/>
  <c r="AD404" i="13" s="1"/>
  <c r="AB405" i="13"/>
  <c r="AD405" i="13" s="1"/>
  <c r="AB406" i="13"/>
  <c r="AD406" i="13" s="1"/>
  <c r="AB435" i="13"/>
  <c r="AD435" i="13" s="1"/>
  <c r="AB436" i="13"/>
  <c r="AD436" i="13" s="1"/>
  <c r="AB437" i="13"/>
  <c r="AD437" i="13" s="1"/>
  <c r="AB438" i="13"/>
  <c r="AD438" i="13" s="1"/>
  <c r="AB467" i="13"/>
  <c r="AD467" i="13" s="1"/>
  <c r="AB468" i="13"/>
  <c r="AD468" i="13" s="1"/>
  <c r="AB469" i="13"/>
  <c r="AD469" i="13" s="1"/>
  <c r="AB470" i="13"/>
  <c r="AD470" i="13" s="1"/>
  <c r="AB343" i="13"/>
  <c r="AD343" i="13" s="1"/>
  <c r="AB344" i="13"/>
  <c r="AD344" i="13" s="1"/>
  <c r="AB376" i="13"/>
  <c r="AD376" i="13" s="1"/>
  <c r="AB408" i="13"/>
  <c r="AD408" i="13" s="1"/>
  <c r="AB410" i="13"/>
  <c r="AD410" i="13" s="1"/>
  <c r="AB440" i="13"/>
  <c r="AD440" i="13" s="1"/>
  <c r="AB442" i="13"/>
  <c r="AD442" i="13" s="1"/>
  <c r="AB472" i="13"/>
  <c r="AD472" i="13" s="1"/>
  <c r="AB473" i="13"/>
  <c r="AD473" i="13" s="1"/>
  <c r="AB474" i="13"/>
  <c r="AD474" i="13" s="1"/>
  <c r="AB260" i="13"/>
  <c r="AD260" i="13" s="1"/>
  <c r="AB261" i="13"/>
  <c r="AD261" i="13" s="1"/>
  <c r="AB262" i="13"/>
  <c r="AD262" i="13" s="1"/>
  <c r="AB276" i="13"/>
  <c r="AD276" i="13" s="1"/>
  <c r="AB277" i="13"/>
  <c r="AD277" i="13" s="1"/>
  <c r="AB278" i="13"/>
  <c r="AD278" i="13" s="1"/>
  <c r="AB292" i="13"/>
  <c r="AD292" i="13" s="1"/>
  <c r="AB293" i="13"/>
  <c r="AD293" i="13" s="1"/>
  <c r="AB294" i="13"/>
  <c r="AD294" i="13" s="1"/>
  <c r="AB308" i="13"/>
  <c r="AD308" i="13" s="1"/>
  <c r="AB309" i="13"/>
  <c r="AD309" i="13" s="1"/>
  <c r="AB310" i="13"/>
  <c r="AD310" i="13" s="1"/>
  <c r="AB324" i="13"/>
  <c r="AD324" i="13" s="1"/>
  <c r="AB325" i="13"/>
  <c r="AD325" i="13" s="1"/>
  <c r="AB326" i="13"/>
  <c r="AD326" i="13" s="1"/>
  <c r="AB347" i="13"/>
  <c r="AD347" i="13" s="1"/>
  <c r="AB348" i="13"/>
  <c r="AD348" i="13" s="1"/>
  <c r="AB349" i="13"/>
  <c r="AD349" i="13" s="1"/>
  <c r="AB350" i="13"/>
  <c r="AD350" i="13" s="1"/>
  <c r="AB379" i="13"/>
  <c r="AD379" i="13" s="1"/>
  <c r="AB380" i="13"/>
  <c r="AD380" i="13" s="1"/>
  <c r="AB381" i="13"/>
  <c r="AD381" i="13" s="1"/>
  <c r="AB382" i="13"/>
  <c r="AD382" i="13" s="1"/>
  <c r="AB411" i="13"/>
  <c r="AD411" i="13" s="1"/>
  <c r="AB412" i="13"/>
  <c r="AD412" i="13" s="1"/>
  <c r="AB413" i="13"/>
  <c r="AD413" i="13" s="1"/>
  <c r="AB414" i="13"/>
  <c r="AD414" i="13" s="1"/>
  <c r="AB444" i="13"/>
  <c r="AD444" i="13" s="1"/>
  <c r="AB445" i="13"/>
  <c r="AD445" i="13" s="1"/>
  <c r="AB446" i="13"/>
  <c r="AD446" i="13" s="1"/>
  <c r="AB476" i="13"/>
  <c r="AD476" i="13" s="1"/>
  <c r="AB477" i="13"/>
  <c r="AD477" i="13" s="1"/>
  <c r="AB478" i="13"/>
  <c r="AD478" i="13" s="1"/>
  <c r="AB352" i="13"/>
  <c r="AD352" i="13" s="1"/>
  <c r="AB353" i="13"/>
  <c r="AD353" i="13" s="1"/>
  <c r="AB354" i="13"/>
  <c r="AD354" i="13" s="1"/>
  <c r="AB385" i="13"/>
  <c r="AD385" i="13" s="1"/>
  <c r="AB417" i="13"/>
  <c r="AD417" i="13" s="1"/>
  <c r="AB449" i="13"/>
  <c r="AD449" i="13" s="1"/>
  <c r="AB481" i="13"/>
  <c r="AD481" i="13" s="1"/>
  <c r="AB482" i="13"/>
  <c r="AD482" i="13" s="1"/>
  <c r="AD30" i="13" l="1"/>
  <c r="AC30" i="13"/>
  <c r="AD6" i="13"/>
  <c r="AC6" i="13"/>
  <c r="AC385" i="13"/>
  <c r="AC380" i="13"/>
  <c r="AC277" i="13"/>
  <c r="AC469" i="13"/>
  <c r="AC320" i="13"/>
  <c r="AC485" i="13"/>
  <c r="AC356" i="13"/>
  <c r="AC255" i="13"/>
  <c r="AC160" i="13"/>
  <c r="AC93" i="13"/>
  <c r="AC178" i="13"/>
  <c r="AC221" i="13"/>
  <c r="AC133" i="13"/>
  <c r="AC15" i="13"/>
  <c r="AC477" i="13"/>
  <c r="AC347" i="13"/>
  <c r="AC474" i="13"/>
  <c r="AC436" i="13"/>
  <c r="AC463" i="13"/>
  <c r="AC451" i="13"/>
  <c r="AC314" i="13"/>
  <c r="AC74" i="13"/>
  <c r="AC125" i="13"/>
  <c r="AC235" i="13"/>
  <c r="AC59" i="13"/>
  <c r="AC149" i="13"/>
  <c r="AC20" i="13"/>
  <c r="AC10" i="13"/>
  <c r="AC144" i="13"/>
  <c r="AC112" i="13"/>
  <c r="AC460" i="13"/>
  <c r="AC428" i="13"/>
  <c r="AC394" i="13"/>
  <c r="AC362" i="13"/>
  <c r="AC327" i="13"/>
  <c r="AC306" i="13"/>
  <c r="AC283" i="13"/>
  <c r="AC254" i="13"/>
  <c r="AC223" i="13"/>
  <c r="AC167" i="13"/>
  <c r="AC84" i="13"/>
  <c r="AC50" i="13"/>
  <c r="AC32" i="13"/>
  <c r="AC232" i="13"/>
  <c r="AC158" i="13"/>
  <c r="AC449" i="13"/>
  <c r="AC476" i="13"/>
  <c r="AC382" i="13"/>
  <c r="AC326" i="13"/>
  <c r="AC292" i="13"/>
  <c r="AC473" i="13"/>
  <c r="AC343" i="13"/>
  <c r="AC435" i="13"/>
  <c r="AC371" i="13"/>
  <c r="AC431" i="13"/>
  <c r="AC395" i="13"/>
  <c r="AC422" i="13"/>
  <c r="AC358" i="13"/>
  <c r="AC313" i="13"/>
  <c r="AC252" i="13"/>
  <c r="AC247" i="13"/>
  <c r="AC183" i="13"/>
  <c r="AC95" i="13"/>
  <c r="AC114" i="13"/>
  <c r="AC204" i="13"/>
  <c r="AC227" i="13"/>
  <c r="AC58" i="13"/>
  <c r="AC174" i="13"/>
  <c r="AC135" i="13"/>
  <c r="AC77" i="13"/>
  <c r="AC19" i="13"/>
  <c r="AC17" i="13"/>
  <c r="AC142" i="13"/>
  <c r="AC129" i="13"/>
  <c r="AC108" i="13"/>
  <c r="AC475" i="13"/>
  <c r="AC458" i="13"/>
  <c r="AC441" i="13"/>
  <c r="AC426" i="13"/>
  <c r="AC407" i="13"/>
  <c r="AC393" i="13"/>
  <c r="AC375" i="13"/>
  <c r="AC361" i="13"/>
  <c r="AC339" i="13"/>
  <c r="AC323" i="13"/>
  <c r="AC312" i="13"/>
  <c r="AC305" i="13"/>
  <c r="AC291" i="13"/>
  <c r="AC280" i="13"/>
  <c r="AC268" i="13"/>
  <c r="AC251" i="13"/>
  <c r="AC238" i="13"/>
  <c r="AC222" i="13"/>
  <c r="AC201" i="13"/>
  <c r="AC166" i="13"/>
  <c r="AC146" i="13"/>
  <c r="AC80" i="13"/>
  <c r="AC62" i="13"/>
  <c r="AC48" i="13"/>
  <c r="AC39" i="13"/>
  <c r="AC31" i="13"/>
  <c r="AC21" i="13"/>
  <c r="AC220" i="13"/>
  <c r="AC192" i="13"/>
  <c r="AC175" i="13"/>
  <c r="AC481" i="13"/>
  <c r="AC411" i="13"/>
  <c r="AC293" i="13"/>
  <c r="AC344" i="13"/>
  <c r="AC372" i="13"/>
  <c r="AC427" i="13"/>
  <c r="AC387" i="13"/>
  <c r="AC253" i="13"/>
  <c r="AC185" i="13"/>
  <c r="AC115" i="13"/>
  <c r="AC228" i="13"/>
  <c r="AC195" i="13"/>
  <c r="AC78" i="13"/>
  <c r="AC43" i="13"/>
  <c r="AC98" i="13"/>
  <c r="AC130" i="13"/>
  <c r="AC479" i="13"/>
  <c r="AC443" i="13"/>
  <c r="AC409" i="13"/>
  <c r="AC377" i="13"/>
  <c r="AC341" i="13"/>
  <c r="AC315" i="13"/>
  <c r="AC295" i="13"/>
  <c r="AC269" i="13"/>
  <c r="AC240" i="13"/>
  <c r="AC202" i="13"/>
  <c r="AC147" i="13"/>
  <c r="AC64" i="13"/>
  <c r="AC40" i="13"/>
  <c r="AC22" i="13"/>
  <c r="AC193" i="13"/>
  <c r="AC176" i="13"/>
  <c r="AC417" i="13"/>
  <c r="AC446" i="13"/>
  <c r="AC381" i="13"/>
  <c r="AC325" i="13"/>
  <c r="AC278" i="13"/>
  <c r="AC472" i="13"/>
  <c r="AC470" i="13"/>
  <c r="AC406" i="13"/>
  <c r="AC340" i="13"/>
  <c r="AC399" i="13"/>
  <c r="AC363" i="13"/>
  <c r="AC421" i="13"/>
  <c r="AC357" i="13"/>
  <c r="AC298" i="13"/>
  <c r="AC244" i="13"/>
  <c r="AC212" i="13"/>
  <c r="AC163" i="13"/>
  <c r="AC94" i="13"/>
  <c r="AC113" i="13"/>
  <c r="AC203" i="13"/>
  <c r="AC123" i="13"/>
  <c r="AC224" i="13"/>
  <c r="AC173" i="13"/>
  <c r="AC134" i="13"/>
  <c r="AC71" i="13"/>
  <c r="AC18" i="13"/>
  <c r="AC16" i="13"/>
  <c r="AC8" i="13"/>
  <c r="AC140" i="13"/>
  <c r="AC128" i="13"/>
  <c r="AC104" i="13"/>
  <c r="AC471" i="13"/>
  <c r="AC457" i="13"/>
  <c r="AC439" i="13"/>
  <c r="AC425" i="13"/>
  <c r="AC402" i="13"/>
  <c r="AC392" i="13"/>
  <c r="AC370" i="13"/>
  <c r="AC360" i="13"/>
  <c r="AC337" i="13"/>
  <c r="AC322" i="13"/>
  <c r="AC311" i="13"/>
  <c r="AC303" i="13"/>
  <c r="AC290" i="13"/>
  <c r="AC279" i="13"/>
  <c r="AC267" i="13"/>
  <c r="AC250" i="13"/>
  <c r="AC233" i="13"/>
  <c r="AC215" i="13"/>
  <c r="AC184" i="13"/>
  <c r="AC165" i="13"/>
  <c r="AC97" i="13"/>
  <c r="AC76" i="13"/>
  <c r="AC61" i="13"/>
  <c r="AC47" i="13"/>
  <c r="AC38" i="13"/>
  <c r="AC219" i="13"/>
  <c r="AC191" i="13"/>
  <c r="AC169" i="13"/>
  <c r="AC139" i="13"/>
  <c r="AC124" i="13"/>
  <c r="AC103" i="13"/>
  <c r="AC466" i="13"/>
  <c r="AC456" i="13"/>
  <c r="AC434" i="13"/>
  <c r="AC424" i="13"/>
  <c r="AC401" i="13"/>
  <c r="AC391" i="13"/>
  <c r="AC369" i="13"/>
  <c r="AC359" i="13"/>
  <c r="AC336" i="13"/>
  <c r="AC321" i="13"/>
  <c r="AC302" i="13"/>
  <c r="AC289" i="13"/>
  <c r="AC275" i="13"/>
  <c r="AC264" i="13"/>
  <c r="AC249" i="13"/>
  <c r="AC231" i="13"/>
  <c r="AC214" i="13"/>
  <c r="AC182" i="13"/>
  <c r="AC157" i="13"/>
  <c r="AC96" i="13"/>
  <c r="AC73" i="13"/>
  <c r="AC60" i="13"/>
  <c r="AC46" i="13"/>
  <c r="AC37" i="13"/>
  <c r="AC29" i="13"/>
  <c r="AC218" i="13"/>
  <c r="AC190" i="13"/>
  <c r="AC168" i="13"/>
  <c r="AC14" i="13"/>
  <c r="AC99" i="13"/>
  <c r="AC137" i="13"/>
  <c r="AC100" i="13"/>
  <c r="AC455" i="13"/>
  <c r="AC433" i="13"/>
  <c r="AC423" i="13"/>
  <c r="AC400" i="13"/>
  <c r="AC386" i="13"/>
  <c r="AC368" i="13"/>
  <c r="AC351" i="13"/>
  <c r="AC334" i="13"/>
  <c r="AC319" i="13"/>
  <c r="AC301" i="13"/>
  <c r="AC287" i="13"/>
  <c r="AC274" i="13"/>
  <c r="AC263" i="13"/>
  <c r="AC246" i="13"/>
  <c r="AC230" i="13"/>
  <c r="AC213" i="13"/>
  <c r="AC181" i="13"/>
  <c r="AC155" i="13"/>
  <c r="AC92" i="13"/>
  <c r="AC72" i="13"/>
  <c r="AC57" i="13"/>
  <c r="AC45" i="13"/>
  <c r="AC36" i="13"/>
  <c r="AC28" i="13"/>
  <c r="AC217" i="13"/>
  <c r="AC189" i="13"/>
  <c r="AC164" i="13"/>
  <c r="AC13" i="13"/>
  <c r="AC49" i="13"/>
  <c r="AC136" i="13"/>
  <c r="AC118" i="13"/>
  <c r="AC464" i="13"/>
  <c r="AC450" i="13"/>
  <c r="AC432" i="13"/>
  <c r="AC418" i="13"/>
  <c r="AC398" i="13"/>
  <c r="AC384" i="13"/>
  <c r="AC366" i="13"/>
  <c r="AC346" i="13"/>
  <c r="AC333" i="13"/>
  <c r="AC318" i="13"/>
  <c r="AC300" i="13"/>
  <c r="AC286" i="13"/>
  <c r="AC273" i="13"/>
  <c r="AC259" i="13"/>
  <c r="AC245" i="13"/>
  <c r="AC229" i="13"/>
  <c r="AC207" i="13"/>
  <c r="AC180" i="13"/>
  <c r="AC154" i="13"/>
  <c r="AC88" i="13"/>
  <c r="AC69" i="13"/>
  <c r="AC56" i="13"/>
  <c r="AC44" i="13"/>
  <c r="AC35" i="13"/>
  <c r="AC26" i="13"/>
  <c r="AC237" i="13"/>
  <c r="AC216" i="13"/>
  <c r="AC188" i="13"/>
  <c r="AC162" i="13"/>
  <c r="AC120" i="13"/>
  <c r="AC353" i="13"/>
  <c r="AC299" i="13"/>
  <c r="AC285" i="13"/>
  <c r="AC271" i="13"/>
  <c r="AC258" i="13"/>
  <c r="AC243" i="13"/>
  <c r="AC226" i="13"/>
  <c r="AC206" i="13"/>
  <c r="AC179" i="13"/>
  <c r="AC153" i="13"/>
  <c r="AC86" i="13"/>
  <c r="AC68" i="13"/>
  <c r="AC52" i="13"/>
  <c r="AC42" i="13"/>
  <c r="AC34" i="13"/>
  <c r="AC25" i="13"/>
  <c r="AC236" i="13"/>
  <c r="AC200" i="13"/>
  <c r="AC187" i="13"/>
  <c r="AC161" i="13"/>
  <c r="AC445" i="13"/>
  <c r="AC324" i="13"/>
  <c r="AC442" i="13"/>
  <c r="AC405" i="13"/>
  <c r="AC367" i="13"/>
  <c r="AC420" i="13"/>
  <c r="AC297" i="13"/>
  <c r="AC211" i="13"/>
  <c r="AC83" i="13"/>
  <c r="AC122" i="13"/>
  <c r="AC172" i="13"/>
  <c r="AC70" i="13"/>
  <c r="AC7" i="13"/>
  <c r="AC354" i="13"/>
  <c r="AC444" i="13"/>
  <c r="AC379" i="13"/>
  <c r="AC310" i="13"/>
  <c r="AC276" i="13"/>
  <c r="AC440" i="13"/>
  <c r="AC468" i="13"/>
  <c r="AC404" i="13"/>
  <c r="AC304" i="13"/>
  <c r="AC338" i="13"/>
  <c r="AC483" i="13"/>
  <c r="AC419" i="13"/>
  <c r="AC355" i="13"/>
  <c r="AC282" i="13"/>
  <c r="AC107" i="13"/>
  <c r="AC210" i="13"/>
  <c r="AC143" i="13"/>
  <c r="AC55" i="13"/>
  <c r="AC82" i="13"/>
  <c r="AC156" i="13"/>
  <c r="AC121" i="13"/>
  <c r="AC199" i="13"/>
  <c r="AC171" i="13"/>
  <c r="AC111" i="13"/>
  <c r="AC9" i="13"/>
  <c r="AC465" i="13"/>
  <c r="AC414" i="13"/>
  <c r="AC350" i="13"/>
  <c r="AC309" i="13"/>
  <c r="AC262" i="13"/>
  <c r="AC410" i="13"/>
  <c r="AC467" i="13"/>
  <c r="AC403" i="13"/>
  <c r="AC288" i="13"/>
  <c r="AC335" i="13"/>
  <c r="AC454" i="13"/>
  <c r="AC390" i="13"/>
  <c r="AC330" i="13"/>
  <c r="AC281" i="13"/>
  <c r="AC106" i="13"/>
  <c r="AC209" i="13"/>
  <c r="AC141" i="13"/>
  <c r="AC54" i="13"/>
  <c r="AC81" i="13"/>
  <c r="AC138" i="13"/>
  <c r="AC91" i="13"/>
  <c r="AC198" i="13"/>
  <c r="AC152" i="13"/>
  <c r="AC110" i="13"/>
  <c r="AC119" i="13"/>
  <c r="AC352" i="13"/>
  <c r="AC413" i="13"/>
  <c r="AC349" i="13"/>
  <c r="AC308" i="13"/>
  <c r="AC261" i="13"/>
  <c r="AC408" i="13"/>
  <c r="AC438" i="13"/>
  <c r="AC374" i="13"/>
  <c r="AC272" i="13"/>
  <c r="AC256" i="13"/>
  <c r="AC453" i="13"/>
  <c r="AC389" i="13"/>
  <c r="AC329" i="13"/>
  <c r="AC266" i="13"/>
  <c r="AC105" i="13"/>
  <c r="AC208" i="13"/>
  <c r="AC127" i="13"/>
  <c r="AC242" i="13"/>
  <c r="AC67" i="13"/>
  <c r="AC102" i="13"/>
  <c r="AC90" i="13"/>
  <c r="AC197" i="13"/>
  <c r="AC151" i="13"/>
  <c r="AC109" i="13"/>
  <c r="AC87" i="13"/>
  <c r="AC27" i="13"/>
  <c r="AC12" i="13"/>
  <c r="AC132" i="13"/>
  <c r="AC117" i="13"/>
  <c r="AC484" i="13"/>
  <c r="AC462" i="13"/>
  <c r="AC448" i="13"/>
  <c r="AC430" i="13"/>
  <c r="AC416" i="13"/>
  <c r="AC397" i="13"/>
  <c r="AC383" i="13"/>
  <c r="AC365" i="13"/>
  <c r="AC345" i="13"/>
  <c r="AC332" i="13"/>
  <c r="AC317" i="13"/>
  <c r="AC482" i="13"/>
  <c r="AC478" i="13"/>
  <c r="AC412" i="13"/>
  <c r="AC348" i="13"/>
  <c r="AC294" i="13"/>
  <c r="AC260" i="13"/>
  <c r="AC376" i="13"/>
  <c r="AC437" i="13"/>
  <c r="AC373" i="13"/>
  <c r="AC248" i="13"/>
  <c r="AC459" i="13"/>
  <c r="AC452" i="13"/>
  <c r="AC388" i="13"/>
  <c r="AC328" i="13"/>
  <c r="AC265" i="13"/>
  <c r="AC75" i="13"/>
  <c r="AC186" i="13"/>
  <c r="AC126" i="13"/>
  <c r="AC239" i="13"/>
  <c r="AC66" i="13"/>
  <c r="AC101" i="13"/>
  <c r="AC89" i="13"/>
  <c r="AC196" i="13"/>
  <c r="AC150" i="13"/>
  <c r="AC79" i="13"/>
  <c r="AC63" i="13"/>
  <c r="AC24" i="13"/>
  <c r="AC11" i="13"/>
  <c r="AC53" i="13"/>
  <c r="AC145" i="13"/>
  <c r="AC131" i="13"/>
  <c r="AC116" i="13"/>
  <c r="AC480" i="13"/>
  <c r="AC461" i="13"/>
  <c r="AC447" i="13"/>
  <c r="AC429" i="13"/>
  <c r="AC415" i="13"/>
  <c r="AC396" i="13"/>
  <c r="AC378" i="13"/>
  <c r="AC364" i="13"/>
  <c r="AC342" i="13"/>
  <c r="AC331" i="13"/>
  <c r="AC316" i="13"/>
  <c r="AC307" i="13"/>
  <c r="AC296" i="13"/>
  <c r="AC284" i="13"/>
  <c r="AC270" i="13"/>
  <c r="AC257" i="13"/>
  <c r="AC241" i="13"/>
  <c r="AC225" i="13"/>
  <c r="AC205" i="13"/>
  <c r="AC170" i="13"/>
  <c r="AC148" i="13"/>
  <c r="AC85" i="13"/>
  <c r="AC65" i="13"/>
  <c r="AC51" i="13"/>
  <c r="AC41" i="13"/>
  <c r="AC33" i="13"/>
  <c r="AC23" i="13"/>
  <c r="AC234" i="13"/>
  <c r="AC194" i="13"/>
  <c r="AC177" i="13"/>
  <c r="AC159" i="13"/>
  <c r="AF5" i="13" l="1"/>
  <c r="AE3" i="13"/>
  <c r="AC3" i="13"/>
  <c r="E477" i="1"/>
  <c r="E478" i="1"/>
  <c r="E479" i="1"/>
  <c r="E480" i="1"/>
  <c r="E481" i="1" s="1"/>
  <c r="E476" i="1"/>
  <c r="G416" i="1"/>
  <c r="G417" i="1" s="1"/>
  <c r="G415" i="1"/>
  <c r="D351" i="1"/>
  <c r="D352" i="1" s="1"/>
  <c r="D353" i="1" s="1"/>
  <c r="D354" i="1"/>
  <c r="D355" i="1" s="1"/>
  <c r="D356" i="1" s="1"/>
  <c r="D357" i="1" s="1"/>
  <c r="D358" i="1" s="1"/>
  <c r="D350" i="1"/>
  <c r="K455" i="1"/>
  <c r="K456" i="1" s="1"/>
  <c r="K454" i="1"/>
  <c r="O308" i="1"/>
  <c r="O309" i="1" s="1"/>
  <c r="O310" i="1" s="1"/>
  <c r="O307" i="1"/>
  <c r="P293" i="1"/>
  <c r="P294" i="1" s="1"/>
  <c r="P295" i="1" s="1"/>
  <c r="P296" i="1" s="1"/>
  <c r="P292" i="1"/>
  <c r="R164" i="1"/>
  <c r="R165" i="1" s="1"/>
  <c r="R166" i="1" s="1"/>
  <c r="R167" i="1" s="1"/>
  <c r="R168" i="1" s="1"/>
  <c r="R169" i="1" s="1"/>
  <c r="R170" i="1" s="1"/>
  <c r="R163" i="1"/>
  <c r="N158" i="1"/>
  <c r="N159" i="1" s="1"/>
  <c r="N160" i="1" s="1"/>
  <c r="N161" i="1" s="1"/>
  <c r="N162" i="1" s="1"/>
  <c r="N163" i="1" s="1"/>
  <c r="N164" i="1" s="1"/>
  <c r="N165" i="1" s="1"/>
  <c r="N166" i="1" s="1"/>
  <c r="N167" i="1" s="1"/>
  <c r="N168" i="1" s="1"/>
  <c r="N169" i="1" s="1"/>
  <c r="N170" i="1" s="1"/>
  <c r="N171" i="1" s="1"/>
  <c r="N172" i="1" s="1"/>
  <c r="N173" i="1" s="1"/>
  <c r="N174" i="1" s="1"/>
  <c r="N175" i="1" s="1"/>
  <c r="N176" i="1" s="1"/>
  <c r="N177" i="1" s="1"/>
  <c r="N178" i="1" s="1"/>
  <c r="N179" i="1" s="1"/>
  <c r="N180" i="1" s="1"/>
  <c r="N181" i="1" s="1"/>
  <c r="N182" i="1" s="1"/>
  <c r="N183" i="1" s="1"/>
  <c r="N184" i="1" s="1"/>
  <c r="N185" i="1" s="1"/>
  <c r="N186" i="1" s="1"/>
  <c r="N187" i="1" s="1"/>
  <c r="N188" i="1" s="1"/>
  <c r="N189" i="1" s="1"/>
  <c r="N190" i="1" s="1"/>
  <c r="N191" i="1" s="1"/>
  <c r="N192" i="1" s="1"/>
  <c r="N193" i="1" s="1"/>
  <c r="N194" i="1" s="1"/>
  <c r="N195" i="1" s="1"/>
  <c r="N196" i="1" s="1"/>
  <c r="N197" i="1" s="1"/>
  <c r="N198" i="1" s="1"/>
  <c r="N199" i="1" s="1"/>
  <c r="N200" i="1" s="1"/>
  <c r="N201" i="1" s="1"/>
  <c r="N202" i="1" s="1"/>
  <c r="N203" i="1" s="1"/>
  <c r="N204" i="1" s="1"/>
  <c r="N205" i="1" s="1"/>
  <c r="N206" i="1" s="1"/>
  <c r="N207" i="1" s="1"/>
  <c r="N208" i="1" s="1"/>
  <c r="N209" i="1" s="1"/>
  <c r="N210" i="1" s="1"/>
  <c r="N211" i="1" s="1"/>
  <c r="N212" i="1" s="1"/>
  <c r="N213" i="1" s="1"/>
  <c r="N214" i="1" s="1"/>
  <c r="N215" i="1" s="1"/>
  <c r="N216" i="1" s="1"/>
  <c r="N217" i="1" s="1"/>
  <c r="N218" i="1" s="1"/>
  <c r="N219" i="1" s="1"/>
  <c r="N220" i="1" s="1"/>
  <c r="N221" i="1" s="1"/>
  <c r="N222" i="1" s="1"/>
  <c r="N223" i="1" s="1"/>
  <c r="N224" i="1" s="1"/>
  <c r="N225" i="1" s="1"/>
  <c r="N226" i="1" s="1"/>
  <c r="N227" i="1" s="1"/>
  <c r="N228" i="1" s="1"/>
  <c r="N229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145" i="1"/>
  <c r="N146" i="1"/>
  <c r="N147" i="1" s="1"/>
  <c r="N144" i="1"/>
  <c r="E482" i="1" l="1"/>
  <c r="G418" i="1"/>
  <c r="D359" i="1"/>
  <c r="K457" i="1"/>
  <c r="O311" i="1"/>
  <c r="P297" i="1"/>
  <c r="R171" i="1"/>
  <c r="N276" i="1"/>
  <c r="N148" i="1"/>
  <c r="G419" i="1" l="1"/>
  <c r="D360" i="1"/>
  <c r="K458" i="1"/>
  <c r="O312" i="1"/>
  <c r="P298" i="1"/>
  <c r="R172" i="1"/>
  <c r="N277" i="1"/>
  <c r="N149" i="1"/>
  <c r="G420" i="1" l="1"/>
  <c r="D361" i="1"/>
  <c r="K459" i="1"/>
  <c r="O313" i="1"/>
  <c r="P299" i="1"/>
  <c r="R173" i="1"/>
  <c r="N278" i="1"/>
  <c r="N150" i="1"/>
  <c r="G421" i="1" l="1"/>
  <c r="D362" i="1"/>
  <c r="K460" i="1"/>
  <c r="O314" i="1"/>
  <c r="P300" i="1"/>
  <c r="R174" i="1"/>
  <c r="N279" i="1"/>
  <c r="N151" i="1"/>
  <c r="G422" i="1" l="1"/>
  <c r="D363" i="1"/>
  <c r="K461" i="1"/>
  <c r="O315" i="1"/>
  <c r="P301" i="1"/>
  <c r="R175" i="1"/>
  <c r="N280" i="1"/>
  <c r="N152" i="1"/>
  <c r="G423" i="1" l="1"/>
  <c r="D364" i="1"/>
  <c r="K462" i="1"/>
  <c r="O316" i="1"/>
  <c r="P302" i="1"/>
  <c r="R176" i="1"/>
  <c r="N281" i="1"/>
  <c r="N153" i="1"/>
  <c r="G424" i="1" l="1"/>
  <c r="D365" i="1"/>
  <c r="K463" i="1"/>
  <c r="O317" i="1"/>
  <c r="P303" i="1"/>
  <c r="R177" i="1"/>
  <c r="N282" i="1"/>
  <c r="N154" i="1"/>
  <c r="G425" i="1" l="1"/>
  <c r="D366" i="1"/>
  <c r="K464" i="1"/>
  <c r="O318" i="1"/>
  <c r="P304" i="1"/>
  <c r="R178" i="1"/>
  <c r="N283" i="1"/>
  <c r="N155" i="1"/>
  <c r="G426" i="1" l="1"/>
  <c r="D367" i="1"/>
  <c r="K465" i="1"/>
  <c r="O319" i="1"/>
  <c r="P305" i="1"/>
  <c r="R179" i="1"/>
  <c r="N284" i="1"/>
  <c r="N156" i="1"/>
  <c r="G427" i="1" l="1"/>
  <c r="D368" i="1"/>
  <c r="K466" i="1"/>
  <c r="O320" i="1"/>
  <c r="P306" i="1"/>
  <c r="R180" i="1"/>
  <c r="N285" i="1"/>
  <c r="N157" i="1"/>
  <c r="G428" i="1" l="1"/>
  <c r="D369" i="1"/>
  <c r="K467" i="1"/>
  <c r="O321" i="1"/>
  <c r="P307" i="1"/>
  <c r="R181" i="1"/>
  <c r="N286" i="1"/>
  <c r="G429" i="1" l="1"/>
  <c r="D370" i="1"/>
  <c r="K468" i="1"/>
  <c r="O322" i="1"/>
  <c r="P308" i="1"/>
  <c r="R182" i="1"/>
  <c r="N287" i="1"/>
  <c r="G430" i="1" l="1"/>
  <c r="D371" i="1"/>
  <c r="K469" i="1"/>
  <c r="O323" i="1"/>
  <c r="P309" i="1"/>
  <c r="R183" i="1"/>
  <c r="N288" i="1"/>
  <c r="G431" i="1" l="1"/>
  <c r="D372" i="1"/>
  <c r="K470" i="1"/>
  <c r="O324" i="1"/>
  <c r="P310" i="1"/>
  <c r="R184" i="1"/>
  <c r="N289" i="1"/>
  <c r="G432" i="1" l="1"/>
  <c r="D373" i="1"/>
  <c r="K471" i="1"/>
  <c r="O325" i="1"/>
  <c r="P311" i="1"/>
  <c r="R185" i="1"/>
  <c r="N290" i="1"/>
  <c r="G433" i="1" l="1"/>
  <c r="D374" i="1"/>
  <c r="K472" i="1"/>
  <c r="O326" i="1"/>
  <c r="P312" i="1"/>
  <c r="R186" i="1"/>
  <c r="N291" i="1"/>
  <c r="G434" i="1" l="1"/>
  <c r="D375" i="1"/>
  <c r="K473" i="1"/>
  <c r="O327" i="1"/>
  <c r="P313" i="1"/>
  <c r="R187" i="1"/>
  <c r="N292" i="1"/>
  <c r="G435" i="1" l="1"/>
  <c r="D376" i="1"/>
  <c r="K474" i="1"/>
  <c r="O328" i="1"/>
  <c r="P314" i="1"/>
  <c r="R188" i="1"/>
  <c r="N293" i="1"/>
  <c r="G436" i="1" l="1"/>
  <c r="D377" i="1"/>
  <c r="K475" i="1"/>
  <c r="O329" i="1"/>
  <c r="P315" i="1"/>
  <c r="R189" i="1"/>
  <c r="N294" i="1"/>
  <c r="G437" i="1" l="1"/>
  <c r="D378" i="1"/>
  <c r="K476" i="1"/>
  <c r="O330" i="1"/>
  <c r="P316" i="1"/>
  <c r="R190" i="1"/>
  <c r="N295" i="1"/>
  <c r="G438" i="1" l="1"/>
  <c r="D379" i="1"/>
  <c r="K477" i="1"/>
  <c r="O331" i="1"/>
  <c r="P317" i="1"/>
  <c r="R191" i="1"/>
  <c r="N296" i="1"/>
  <c r="G439" i="1" l="1"/>
  <c r="D380" i="1"/>
  <c r="K478" i="1"/>
  <c r="O332" i="1"/>
  <c r="P318" i="1"/>
  <c r="R192" i="1"/>
  <c r="N297" i="1"/>
  <c r="G440" i="1" l="1"/>
  <c r="D381" i="1"/>
  <c r="K479" i="1"/>
  <c r="O333" i="1"/>
  <c r="P319" i="1"/>
  <c r="R193" i="1"/>
  <c r="N298" i="1"/>
  <c r="G441" i="1" l="1"/>
  <c r="D382" i="1"/>
  <c r="K480" i="1"/>
  <c r="O334" i="1"/>
  <c r="P320" i="1"/>
  <c r="R194" i="1"/>
  <c r="N299" i="1"/>
  <c r="G442" i="1" l="1"/>
  <c r="D383" i="1"/>
  <c r="K481" i="1"/>
  <c r="O335" i="1"/>
  <c r="P321" i="1"/>
  <c r="R195" i="1"/>
  <c r="N300" i="1"/>
  <c r="G443" i="1" l="1"/>
  <c r="D384" i="1"/>
  <c r="K482" i="1"/>
  <c r="O336" i="1"/>
  <c r="P322" i="1"/>
  <c r="R196" i="1"/>
  <c r="N301" i="1"/>
  <c r="G444" i="1" l="1"/>
  <c r="D385" i="1"/>
  <c r="O337" i="1"/>
  <c r="P323" i="1"/>
  <c r="R197" i="1"/>
  <c r="N302" i="1"/>
  <c r="G445" i="1" l="1"/>
  <c r="D386" i="1"/>
  <c r="O338" i="1"/>
  <c r="P324" i="1"/>
  <c r="R198" i="1"/>
  <c r="N303" i="1"/>
  <c r="G446" i="1" l="1"/>
  <c r="D387" i="1"/>
  <c r="O339" i="1"/>
  <c r="P325" i="1"/>
  <c r="R199" i="1"/>
  <c r="N304" i="1"/>
  <c r="G447" i="1" l="1"/>
  <c r="D388" i="1"/>
  <c r="O340" i="1"/>
  <c r="P326" i="1"/>
  <c r="R200" i="1"/>
  <c r="N305" i="1"/>
  <c r="G448" i="1" l="1"/>
  <c r="D389" i="1"/>
  <c r="O341" i="1"/>
  <c r="P327" i="1"/>
  <c r="R201" i="1"/>
  <c r="N306" i="1"/>
  <c r="G449" i="1" l="1"/>
  <c r="D390" i="1"/>
  <c r="O342" i="1"/>
  <c r="P328" i="1"/>
  <c r="R202" i="1"/>
  <c r="N307" i="1"/>
  <c r="G450" i="1" l="1"/>
  <c r="D391" i="1"/>
  <c r="O343" i="1"/>
  <c r="P329" i="1"/>
  <c r="R203" i="1"/>
  <c r="N308" i="1"/>
  <c r="G451" i="1" l="1"/>
  <c r="D392" i="1"/>
  <c r="O344" i="1"/>
  <c r="P330" i="1"/>
  <c r="R204" i="1"/>
  <c r="N309" i="1"/>
  <c r="G452" i="1" l="1"/>
  <c r="D393" i="1"/>
  <c r="O345" i="1"/>
  <c r="P331" i="1"/>
  <c r="R205" i="1"/>
  <c r="N310" i="1"/>
  <c r="G453" i="1" l="1"/>
  <c r="D394" i="1"/>
  <c r="O346" i="1"/>
  <c r="P332" i="1"/>
  <c r="R206" i="1"/>
  <c r="N311" i="1"/>
  <c r="G454" i="1" l="1"/>
  <c r="D395" i="1"/>
  <c r="O347" i="1"/>
  <c r="P333" i="1"/>
  <c r="R207" i="1"/>
  <c r="N312" i="1"/>
  <c r="G455" i="1" l="1"/>
  <c r="D396" i="1"/>
  <c r="O348" i="1"/>
  <c r="P334" i="1"/>
  <c r="R208" i="1"/>
  <c r="N313" i="1"/>
  <c r="G456" i="1" l="1"/>
  <c r="D397" i="1"/>
  <c r="O349" i="1"/>
  <c r="P335" i="1"/>
  <c r="R209" i="1"/>
  <c r="N314" i="1"/>
  <c r="G457" i="1" l="1"/>
  <c r="D398" i="1"/>
  <c r="O350" i="1"/>
  <c r="P336" i="1"/>
  <c r="R210" i="1"/>
  <c r="N315" i="1"/>
  <c r="G458" i="1" l="1"/>
  <c r="D399" i="1"/>
  <c r="O351" i="1"/>
  <c r="P337" i="1"/>
  <c r="R211" i="1"/>
  <c r="N316" i="1"/>
  <c r="G459" i="1" l="1"/>
  <c r="D400" i="1"/>
  <c r="O352" i="1"/>
  <c r="P338" i="1"/>
  <c r="R212" i="1"/>
  <c r="N317" i="1"/>
  <c r="G460" i="1" l="1"/>
  <c r="D401" i="1"/>
  <c r="O353" i="1"/>
  <c r="P339" i="1"/>
  <c r="R213" i="1"/>
  <c r="N318" i="1"/>
  <c r="G461" i="1" l="1"/>
  <c r="D402" i="1"/>
  <c r="O354" i="1"/>
  <c r="P340" i="1"/>
  <c r="R214" i="1"/>
  <c r="N319" i="1"/>
  <c r="G462" i="1" l="1"/>
  <c r="D403" i="1"/>
  <c r="O355" i="1"/>
  <c r="P341" i="1"/>
  <c r="R215" i="1"/>
  <c r="N320" i="1"/>
  <c r="G463" i="1" l="1"/>
  <c r="D404" i="1"/>
  <c r="O356" i="1"/>
  <c r="P342" i="1"/>
  <c r="R216" i="1"/>
  <c r="N321" i="1"/>
  <c r="G464" i="1" l="1"/>
  <c r="D405" i="1"/>
  <c r="O357" i="1"/>
  <c r="P343" i="1"/>
  <c r="R217" i="1"/>
  <c r="N322" i="1"/>
  <c r="G465" i="1" l="1"/>
  <c r="D406" i="1"/>
  <c r="O358" i="1"/>
  <c r="P344" i="1"/>
  <c r="R218" i="1"/>
  <c r="N323" i="1"/>
  <c r="G466" i="1" l="1"/>
  <c r="D407" i="1"/>
  <c r="O359" i="1"/>
  <c r="P345" i="1"/>
  <c r="R219" i="1"/>
  <c r="N324" i="1"/>
  <c r="G467" i="1" l="1"/>
  <c r="D408" i="1"/>
  <c r="O360" i="1"/>
  <c r="P346" i="1"/>
  <c r="R220" i="1"/>
  <c r="N325" i="1"/>
  <c r="G468" i="1" l="1"/>
  <c r="D409" i="1"/>
  <c r="O361" i="1"/>
  <c r="P347" i="1"/>
  <c r="R221" i="1"/>
  <c r="N326" i="1"/>
  <c r="G469" i="1" l="1"/>
  <c r="D410" i="1"/>
  <c r="O362" i="1"/>
  <c r="P348" i="1"/>
  <c r="R222" i="1"/>
  <c r="N327" i="1"/>
  <c r="G470" i="1" l="1"/>
  <c r="D411" i="1"/>
  <c r="O363" i="1"/>
  <c r="P349" i="1"/>
  <c r="R223" i="1"/>
  <c r="N328" i="1"/>
  <c r="G471" i="1" l="1"/>
  <c r="D412" i="1"/>
  <c r="O364" i="1"/>
  <c r="P350" i="1"/>
  <c r="R224" i="1"/>
  <c r="N329" i="1"/>
  <c r="G472" i="1" l="1"/>
  <c r="D413" i="1"/>
  <c r="O365" i="1"/>
  <c r="P351" i="1"/>
  <c r="R225" i="1"/>
  <c r="N330" i="1"/>
  <c r="G473" i="1" l="1"/>
  <c r="D414" i="1"/>
  <c r="O366" i="1"/>
  <c r="P352" i="1"/>
  <c r="R226" i="1"/>
  <c r="N331" i="1"/>
  <c r="G474" i="1" l="1"/>
  <c r="D415" i="1"/>
  <c r="O367" i="1"/>
  <c r="P353" i="1"/>
  <c r="R227" i="1"/>
  <c r="N332" i="1"/>
  <c r="G475" i="1" l="1"/>
  <c r="D416" i="1"/>
  <c r="O368" i="1"/>
  <c r="P354" i="1"/>
  <c r="R228" i="1"/>
  <c r="N333" i="1"/>
  <c r="G476" i="1" l="1"/>
  <c r="D417" i="1"/>
  <c r="O369" i="1"/>
  <c r="P355" i="1"/>
  <c r="R229" i="1"/>
  <c r="N334" i="1"/>
  <c r="G477" i="1" l="1"/>
  <c r="D418" i="1"/>
  <c r="O370" i="1"/>
  <c r="P356" i="1"/>
  <c r="R230" i="1"/>
  <c r="N335" i="1"/>
  <c r="G478" i="1" l="1"/>
  <c r="D419" i="1"/>
  <c r="O371" i="1"/>
  <c r="P357" i="1"/>
  <c r="R231" i="1"/>
  <c r="N336" i="1"/>
  <c r="G479" i="1" l="1"/>
  <c r="D420" i="1"/>
  <c r="O372" i="1"/>
  <c r="P358" i="1"/>
  <c r="R232" i="1"/>
  <c r="N337" i="1"/>
  <c r="G480" i="1" l="1"/>
  <c r="D421" i="1"/>
  <c r="O373" i="1"/>
  <c r="P359" i="1"/>
  <c r="R233" i="1"/>
  <c r="N338" i="1"/>
  <c r="G481" i="1" l="1"/>
  <c r="D422" i="1"/>
  <c r="O374" i="1"/>
  <c r="P360" i="1"/>
  <c r="R234" i="1"/>
  <c r="N339" i="1"/>
  <c r="G482" i="1" l="1"/>
  <c r="D423" i="1"/>
  <c r="O375" i="1"/>
  <c r="P361" i="1"/>
  <c r="R235" i="1"/>
  <c r="N340" i="1"/>
  <c r="D424" i="1" l="1"/>
  <c r="O376" i="1"/>
  <c r="P362" i="1"/>
  <c r="R236" i="1"/>
  <c r="N341" i="1"/>
  <c r="D425" i="1" l="1"/>
  <c r="O377" i="1"/>
  <c r="P363" i="1"/>
  <c r="R237" i="1"/>
  <c r="N342" i="1"/>
  <c r="D426" i="1" l="1"/>
  <c r="O378" i="1"/>
  <c r="P364" i="1"/>
  <c r="R238" i="1"/>
  <c r="N343" i="1"/>
  <c r="D427" i="1" l="1"/>
  <c r="O379" i="1"/>
  <c r="P365" i="1"/>
  <c r="R239" i="1"/>
  <c r="N344" i="1"/>
  <c r="D428" i="1" l="1"/>
  <c r="O380" i="1"/>
  <c r="P366" i="1"/>
  <c r="R240" i="1"/>
  <c r="N345" i="1"/>
  <c r="D429" i="1" l="1"/>
  <c r="O381" i="1"/>
  <c r="P367" i="1"/>
  <c r="R241" i="1"/>
  <c r="N346" i="1"/>
  <c r="D430" i="1" l="1"/>
  <c r="O382" i="1"/>
  <c r="P368" i="1"/>
  <c r="R242" i="1"/>
  <c r="N347" i="1"/>
  <c r="D431" i="1" l="1"/>
  <c r="O383" i="1"/>
  <c r="P369" i="1"/>
  <c r="R243" i="1"/>
  <c r="N348" i="1"/>
  <c r="D432" i="1" l="1"/>
  <c r="O384" i="1"/>
  <c r="P370" i="1"/>
  <c r="R244" i="1"/>
  <c r="N349" i="1"/>
  <c r="D433" i="1" l="1"/>
  <c r="O385" i="1"/>
  <c r="P371" i="1"/>
  <c r="R245" i="1"/>
  <c r="N350" i="1"/>
  <c r="D434" i="1" l="1"/>
  <c r="O386" i="1"/>
  <c r="P372" i="1"/>
  <c r="R246" i="1"/>
  <c r="N351" i="1"/>
  <c r="D435" i="1" l="1"/>
  <c r="O387" i="1"/>
  <c r="P373" i="1"/>
  <c r="R247" i="1"/>
  <c r="N352" i="1"/>
  <c r="D436" i="1" l="1"/>
  <c r="O388" i="1"/>
  <c r="P374" i="1"/>
  <c r="R248" i="1"/>
  <c r="N353" i="1"/>
  <c r="D437" i="1" l="1"/>
  <c r="O389" i="1"/>
  <c r="P375" i="1"/>
  <c r="R249" i="1"/>
  <c r="N354" i="1"/>
  <c r="D438" i="1" l="1"/>
  <c r="O390" i="1"/>
  <c r="P376" i="1"/>
  <c r="R250" i="1"/>
  <c r="N355" i="1"/>
  <c r="D439" i="1" l="1"/>
  <c r="O391" i="1"/>
  <c r="P377" i="1"/>
  <c r="R251" i="1"/>
  <c r="N356" i="1"/>
  <c r="D440" i="1" l="1"/>
  <c r="O392" i="1"/>
  <c r="P378" i="1"/>
  <c r="R252" i="1"/>
  <c r="N357" i="1"/>
  <c r="D441" i="1" l="1"/>
  <c r="O393" i="1"/>
  <c r="P379" i="1"/>
  <c r="R253" i="1"/>
  <c r="N358" i="1"/>
  <c r="D442" i="1" l="1"/>
  <c r="O394" i="1"/>
  <c r="P380" i="1"/>
  <c r="R254" i="1"/>
  <c r="N359" i="1"/>
  <c r="D443" i="1" l="1"/>
  <c r="O395" i="1"/>
  <c r="P381" i="1"/>
  <c r="R255" i="1"/>
  <c r="N360" i="1"/>
  <c r="D444" i="1" l="1"/>
  <c r="O396" i="1"/>
  <c r="P382" i="1"/>
  <c r="R256" i="1"/>
  <c r="N361" i="1"/>
  <c r="D445" i="1" l="1"/>
  <c r="O397" i="1"/>
  <c r="P383" i="1"/>
  <c r="R257" i="1"/>
  <c r="N362" i="1"/>
  <c r="D446" i="1" l="1"/>
  <c r="O398" i="1"/>
  <c r="P384" i="1"/>
  <c r="R258" i="1"/>
  <c r="N363" i="1"/>
  <c r="D447" i="1" l="1"/>
  <c r="O399" i="1"/>
  <c r="P385" i="1"/>
  <c r="R259" i="1"/>
  <c r="N364" i="1"/>
  <c r="D448" i="1" l="1"/>
  <c r="O400" i="1"/>
  <c r="P386" i="1"/>
  <c r="R260" i="1"/>
  <c r="N365" i="1"/>
  <c r="D449" i="1" l="1"/>
  <c r="O401" i="1"/>
  <c r="P387" i="1"/>
  <c r="R261" i="1"/>
  <c r="N366" i="1"/>
  <c r="D450" i="1" l="1"/>
  <c r="O402" i="1"/>
  <c r="P388" i="1"/>
  <c r="R262" i="1"/>
  <c r="N367" i="1"/>
  <c r="D451" i="1" l="1"/>
  <c r="O403" i="1"/>
  <c r="P389" i="1"/>
  <c r="R263" i="1"/>
  <c r="N368" i="1"/>
  <c r="D452" i="1" l="1"/>
  <c r="O404" i="1"/>
  <c r="P390" i="1"/>
  <c r="R264" i="1"/>
  <c r="N369" i="1"/>
  <c r="D453" i="1" l="1"/>
  <c r="O405" i="1"/>
  <c r="P391" i="1"/>
  <c r="R265" i="1"/>
  <c r="N370" i="1"/>
  <c r="D454" i="1" l="1"/>
  <c r="O406" i="1"/>
  <c r="P392" i="1"/>
  <c r="R266" i="1"/>
  <c r="N371" i="1"/>
  <c r="D455" i="1" l="1"/>
  <c r="O407" i="1"/>
  <c r="P393" i="1"/>
  <c r="R267" i="1"/>
  <c r="N372" i="1"/>
  <c r="D456" i="1" l="1"/>
  <c r="O408" i="1"/>
  <c r="P394" i="1"/>
  <c r="R268" i="1"/>
  <c r="N373" i="1"/>
  <c r="D457" i="1" l="1"/>
  <c r="O409" i="1"/>
  <c r="P395" i="1"/>
  <c r="R269" i="1"/>
  <c r="N374" i="1"/>
  <c r="D458" i="1" l="1"/>
  <c r="O410" i="1"/>
  <c r="P396" i="1"/>
  <c r="R270" i="1"/>
  <c r="N375" i="1"/>
  <c r="D459" i="1" l="1"/>
  <c r="O411" i="1"/>
  <c r="P397" i="1"/>
  <c r="R271" i="1"/>
  <c r="N376" i="1"/>
  <c r="D460" i="1" l="1"/>
  <c r="O412" i="1"/>
  <c r="P398" i="1"/>
  <c r="R272" i="1"/>
  <c r="N377" i="1"/>
  <c r="D461" i="1" l="1"/>
  <c r="O413" i="1"/>
  <c r="P399" i="1"/>
  <c r="R273" i="1"/>
  <c r="N378" i="1"/>
  <c r="D462" i="1" l="1"/>
  <c r="O414" i="1"/>
  <c r="P400" i="1"/>
  <c r="R274" i="1"/>
  <c r="N379" i="1"/>
  <c r="D463" i="1" l="1"/>
  <c r="O415" i="1"/>
  <c r="P401" i="1"/>
  <c r="R275" i="1"/>
  <c r="N380" i="1"/>
  <c r="D464" i="1" l="1"/>
  <c r="O416" i="1"/>
  <c r="P402" i="1"/>
  <c r="R276" i="1"/>
  <c r="N381" i="1"/>
  <c r="D465" i="1" l="1"/>
  <c r="O417" i="1"/>
  <c r="P403" i="1"/>
  <c r="R277" i="1"/>
  <c r="N382" i="1"/>
  <c r="D466" i="1" l="1"/>
  <c r="O418" i="1"/>
  <c r="P404" i="1"/>
  <c r="R278" i="1"/>
  <c r="N383" i="1"/>
  <c r="D467" i="1" l="1"/>
  <c r="O419" i="1"/>
  <c r="P405" i="1"/>
  <c r="R279" i="1"/>
  <c r="N384" i="1"/>
  <c r="D468" i="1" l="1"/>
  <c r="O420" i="1"/>
  <c r="P406" i="1"/>
  <c r="R280" i="1"/>
  <c r="N385" i="1"/>
  <c r="D469" i="1" l="1"/>
  <c r="O421" i="1"/>
  <c r="P407" i="1"/>
  <c r="R281" i="1"/>
  <c r="N386" i="1"/>
  <c r="D470" i="1" l="1"/>
  <c r="O422" i="1"/>
  <c r="P408" i="1"/>
  <c r="R282" i="1"/>
  <c r="N387" i="1"/>
  <c r="D471" i="1" l="1"/>
  <c r="O423" i="1"/>
  <c r="P409" i="1"/>
  <c r="R283" i="1"/>
  <c r="N388" i="1"/>
  <c r="D472" i="1" l="1"/>
  <c r="O424" i="1"/>
  <c r="P410" i="1"/>
  <c r="R284" i="1"/>
  <c r="N389" i="1"/>
  <c r="D473" i="1" l="1"/>
  <c r="O425" i="1"/>
  <c r="P411" i="1"/>
  <c r="R285" i="1"/>
  <c r="N390" i="1"/>
  <c r="D474" i="1" l="1"/>
  <c r="O426" i="1"/>
  <c r="P412" i="1"/>
  <c r="R286" i="1"/>
  <c r="N391" i="1"/>
  <c r="D475" i="1" l="1"/>
  <c r="O427" i="1"/>
  <c r="P413" i="1"/>
  <c r="R287" i="1"/>
  <c r="N392" i="1"/>
  <c r="D476" i="1" l="1"/>
  <c r="O428" i="1"/>
  <c r="P414" i="1"/>
  <c r="R288" i="1"/>
  <c r="N393" i="1"/>
  <c r="D477" i="1" l="1"/>
  <c r="O429" i="1"/>
  <c r="P415" i="1"/>
  <c r="R289" i="1"/>
  <c r="N394" i="1"/>
  <c r="D478" i="1" l="1"/>
  <c r="O430" i="1"/>
  <c r="P416" i="1"/>
  <c r="R290" i="1"/>
  <c r="N395" i="1"/>
  <c r="D479" i="1" l="1"/>
  <c r="O431" i="1"/>
  <c r="P417" i="1"/>
  <c r="R291" i="1"/>
  <c r="N396" i="1"/>
  <c r="D480" i="1" l="1"/>
  <c r="O432" i="1"/>
  <c r="P418" i="1"/>
  <c r="R292" i="1"/>
  <c r="N397" i="1"/>
  <c r="D481" i="1" l="1"/>
  <c r="O433" i="1"/>
  <c r="P419" i="1"/>
  <c r="R293" i="1"/>
  <c r="N398" i="1"/>
  <c r="D482" i="1" l="1"/>
  <c r="O434" i="1"/>
  <c r="P420" i="1"/>
  <c r="R294" i="1"/>
  <c r="N399" i="1"/>
  <c r="O435" i="1" l="1"/>
  <c r="P421" i="1"/>
  <c r="R295" i="1"/>
  <c r="N400" i="1"/>
  <c r="O436" i="1" l="1"/>
  <c r="P422" i="1"/>
  <c r="R296" i="1"/>
  <c r="N401" i="1"/>
  <c r="O437" i="1" l="1"/>
  <c r="P423" i="1"/>
  <c r="R297" i="1"/>
  <c r="N402" i="1"/>
  <c r="O438" i="1" l="1"/>
  <c r="P424" i="1"/>
  <c r="R298" i="1"/>
  <c r="N403" i="1"/>
  <c r="O439" i="1" l="1"/>
  <c r="P425" i="1"/>
  <c r="R299" i="1"/>
  <c r="N404" i="1"/>
  <c r="O440" i="1" l="1"/>
  <c r="P426" i="1"/>
  <c r="R300" i="1"/>
  <c r="N405" i="1"/>
  <c r="O441" i="1" l="1"/>
  <c r="P427" i="1"/>
  <c r="R301" i="1"/>
  <c r="N406" i="1"/>
  <c r="O442" i="1" l="1"/>
  <c r="P428" i="1"/>
  <c r="R302" i="1"/>
  <c r="N407" i="1"/>
  <c r="O443" i="1" l="1"/>
  <c r="P429" i="1"/>
  <c r="R303" i="1"/>
  <c r="N408" i="1"/>
  <c r="O444" i="1" l="1"/>
  <c r="P430" i="1"/>
  <c r="R304" i="1"/>
  <c r="N409" i="1"/>
  <c r="O445" i="1" l="1"/>
  <c r="P431" i="1"/>
  <c r="R305" i="1"/>
  <c r="N410" i="1"/>
  <c r="O446" i="1" l="1"/>
  <c r="P432" i="1"/>
  <c r="R306" i="1"/>
  <c r="N411" i="1"/>
  <c r="O447" i="1" l="1"/>
  <c r="P433" i="1"/>
  <c r="R307" i="1"/>
  <c r="N412" i="1"/>
  <c r="O448" i="1" l="1"/>
  <c r="P434" i="1"/>
  <c r="R308" i="1"/>
  <c r="N413" i="1"/>
  <c r="O449" i="1" l="1"/>
  <c r="P435" i="1"/>
  <c r="R309" i="1"/>
  <c r="N414" i="1"/>
  <c r="O450" i="1" l="1"/>
  <c r="P436" i="1"/>
  <c r="R310" i="1"/>
  <c r="N415" i="1"/>
  <c r="O451" i="1" l="1"/>
  <c r="P437" i="1"/>
  <c r="R311" i="1"/>
  <c r="N416" i="1"/>
  <c r="O452" i="1" l="1"/>
  <c r="P438" i="1"/>
  <c r="R312" i="1"/>
  <c r="N417" i="1"/>
  <c r="O453" i="1" l="1"/>
  <c r="P439" i="1"/>
  <c r="R313" i="1"/>
  <c r="N418" i="1"/>
  <c r="O454" i="1" l="1"/>
  <c r="P440" i="1"/>
  <c r="R314" i="1"/>
  <c r="N419" i="1"/>
  <c r="O455" i="1" l="1"/>
  <c r="P441" i="1"/>
  <c r="R315" i="1"/>
  <c r="N420" i="1"/>
  <c r="O456" i="1" l="1"/>
  <c r="P442" i="1"/>
  <c r="R316" i="1"/>
  <c r="N421" i="1"/>
  <c r="O457" i="1" l="1"/>
  <c r="P443" i="1"/>
  <c r="R317" i="1"/>
  <c r="N422" i="1"/>
  <c r="O458" i="1" l="1"/>
  <c r="P444" i="1"/>
  <c r="R318" i="1"/>
  <c r="N423" i="1"/>
  <c r="O459" i="1" l="1"/>
  <c r="P445" i="1"/>
  <c r="R319" i="1"/>
  <c r="N424" i="1"/>
  <c r="O460" i="1" l="1"/>
  <c r="P446" i="1"/>
  <c r="R320" i="1"/>
  <c r="N425" i="1"/>
  <c r="O461" i="1" l="1"/>
  <c r="P447" i="1"/>
  <c r="R321" i="1"/>
  <c r="N426" i="1"/>
  <c r="O462" i="1" l="1"/>
  <c r="P448" i="1"/>
  <c r="R322" i="1"/>
  <c r="N427" i="1"/>
  <c r="O463" i="1" l="1"/>
  <c r="P449" i="1"/>
  <c r="R323" i="1"/>
  <c r="N428" i="1"/>
  <c r="O464" i="1" l="1"/>
  <c r="P450" i="1"/>
  <c r="R324" i="1"/>
  <c r="N429" i="1"/>
  <c r="O465" i="1" l="1"/>
  <c r="P451" i="1"/>
  <c r="R325" i="1"/>
  <c r="N430" i="1"/>
  <c r="O466" i="1" l="1"/>
  <c r="P452" i="1"/>
  <c r="R326" i="1"/>
  <c r="N431" i="1"/>
  <c r="O467" i="1" l="1"/>
  <c r="P453" i="1"/>
  <c r="R327" i="1"/>
  <c r="N432" i="1"/>
  <c r="O468" i="1" l="1"/>
  <c r="P454" i="1"/>
  <c r="R328" i="1"/>
  <c r="N433" i="1"/>
  <c r="O469" i="1" l="1"/>
  <c r="P455" i="1"/>
  <c r="R329" i="1"/>
  <c r="N434" i="1"/>
  <c r="O470" i="1" l="1"/>
  <c r="P456" i="1"/>
  <c r="R330" i="1"/>
  <c r="N435" i="1"/>
  <c r="O471" i="1" l="1"/>
  <c r="P457" i="1"/>
  <c r="R331" i="1"/>
  <c r="N436" i="1"/>
  <c r="O472" i="1" l="1"/>
  <c r="P458" i="1"/>
  <c r="R332" i="1"/>
  <c r="N437" i="1"/>
  <c r="O473" i="1" l="1"/>
  <c r="P459" i="1"/>
  <c r="R333" i="1"/>
  <c r="N438" i="1"/>
  <c r="O474" i="1" l="1"/>
  <c r="P460" i="1"/>
  <c r="R334" i="1"/>
  <c r="N439" i="1"/>
  <c r="O475" i="1" l="1"/>
  <c r="P461" i="1"/>
  <c r="R335" i="1"/>
  <c r="N440" i="1"/>
  <c r="O476" i="1" l="1"/>
  <c r="P462" i="1"/>
  <c r="R336" i="1"/>
  <c r="N441" i="1"/>
  <c r="O477" i="1" l="1"/>
  <c r="P463" i="1"/>
  <c r="R337" i="1"/>
  <c r="N442" i="1"/>
  <c r="O478" i="1" l="1"/>
  <c r="P464" i="1"/>
  <c r="R338" i="1"/>
  <c r="N443" i="1"/>
  <c r="O479" i="1" l="1"/>
  <c r="P465" i="1"/>
  <c r="R339" i="1"/>
  <c r="N444" i="1"/>
  <c r="O480" i="1" l="1"/>
  <c r="P466" i="1"/>
  <c r="R340" i="1"/>
  <c r="N445" i="1"/>
  <c r="O481" i="1" l="1"/>
  <c r="P467" i="1"/>
  <c r="R341" i="1"/>
  <c r="N446" i="1"/>
  <c r="O482" i="1" l="1"/>
  <c r="P468" i="1"/>
  <c r="R342" i="1"/>
  <c r="N447" i="1"/>
  <c r="P469" i="1" l="1"/>
  <c r="R343" i="1"/>
  <c r="N448" i="1"/>
  <c r="P470" i="1" l="1"/>
  <c r="R344" i="1"/>
  <c r="N449" i="1"/>
  <c r="P471" i="1" l="1"/>
  <c r="R345" i="1"/>
  <c r="N450" i="1"/>
  <c r="P472" i="1" l="1"/>
  <c r="R346" i="1"/>
  <c r="N451" i="1"/>
  <c r="P473" i="1" l="1"/>
  <c r="R347" i="1"/>
  <c r="N452" i="1"/>
  <c r="P474" i="1" l="1"/>
  <c r="R348" i="1"/>
  <c r="N453" i="1"/>
  <c r="P475" i="1" l="1"/>
  <c r="R349" i="1"/>
  <c r="N454" i="1"/>
  <c r="P476" i="1" l="1"/>
  <c r="R350" i="1"/>
  <c r="N455" i="1"/>
  <c r="P477" i="1" l="1"/>
  <c r="R351" i="1"/>
  <c r="N456" i="1"/>
  <c r="P478" i="1" l="1"/>
  <c r="R352" i="1"/>
  <c r="N457" i="1"/>
  <c r="P479" i="1" l="1"/>
  <c r="R353" i="1"/>
  <c r="N458" i="1"/>
  <c r="P480" i="1" l="1"/>
  <c r="R354" i="1"/>
  <c r="N459" i="1"/>
  <c r="P481" i="1" l="1"/>
  <c r="R355" i="1"/>
  <c r="N460" i="1"/>
  <c r="P482" i="1" l="1"/>
  <c r="R356" i="1"/>
  <c r="N461" i="1"/>
  <c r="R357" i="1" l="1"/>
  <c r="N462" i="1"/>
  <c r="R358" i="1" l="1"/>
  <c r="N463" i="1"/>
  <c r="R359" i="1" l="1"/>
  <c r="N464" i="1"/>
  <c r="R360" i="1" l="1"/>
  <c r="N465" i="1"/>
  <c r="R361" i="1" l="1"/>
  <c r="N466" i="1"/>
  <c r="R362" i="1" l="1"/>
  <c r="N467" i="1"/>
  <c r="R363" i="1" l="1"/>
  <c r="N468" i="1"/>
  <c r="R364" i="1" l="1"/>
  <c r="N469" i="1"/>
  <c r="R365" i="1" l="1"/>
  <c r="N470" i="1"/>
  <c r="R366" i="1" l="1"/>
  <c r="N471" i="1"/>
  <c r="R367" i="1" l="1"/>
  <c r="N472" i="1"/>
  <c r="R368" i="1" l="1"/>
  <c r="N473" i="1"/>
  <c r="R369" i="1" l="1"/>
  <c r="N474" i="1"/>
  <c r="R370" i="1" l="1"/>
  <c r="N475" i="1"/>
  <c r="R371" i="1" l="1"/>
  <c r="N476" i="1"/>
  <c r="R372" i="1" l="1"/>
  <c r="N477" i="1"/>
  <c r="R373" i="1" l="1"/>
  <c r="N478" i="1"/>
  <c r="R374" i="1" l="1"/>
  <c r="N479" i="1"/>
  <c r="R375" i="1" l="1"/>
  <c r="N480" i="1"/>
  <c r="R376" i="1" l="1"/>
  <c r="N481" i="1"/>
  <c r="R377" i="1" l="1"/>
  <c r="N482" i="1"/>
  <c r="R378" i="1" l="1"/>
  <c r="R379" i="1" l="1"/>
  <c r="R380" i="1" l="1"/>
  <c r="R381" i="1" l="1"/>
  <c r="R382" i="1" l="1"/>
  <c r="R383" i="1" l="1"/>
  <c r="R384" i="1" l="1"/>
  <c r="R385" i="1" l="1"/>
  <c r="R386" i="1" l="1"/>
  <c r="R387" i="1" l="1"/>
  <c r="R388" i="1" l="1"/>
  <c r="R389" i="1" l="1"/>
  <c r="R390" i="1" l="1"/>
  <c r="R391" i="1" l="1"/>
  <c r="R392" i="1" l="1"/>
  <c r="R393" i="1" l="1"/>
  <c r="R394" i="1" l="1"/>
  <c r="R395" i="1" l="1"/>
  <c r="R396" i="1" l="1"/>
  <c r="R397" i="1" l="1"/>
  <c r="R398" i="1" l="1"/>
  <c r="R399" i="1" l="1"/>
  <c r="R400" i="1" l="1"/>
  <c r="R401" i="1" l="1"/>
  <c r="R402" i="1" l="1"/>
  <c r="R403" i="1" l="1"/>
  <c r="R404" i="1" l="1"/>
  <c r="R405" i="1" l="1"/>
  <c r="R406" i="1" l="1"/>
  <c r="R407" i="1" l="1"/>
  <c r="R408" i="1" l="1"/>
  <c r="R409" i="1" l="1"/>
  <c r="R410" i="1" l="1"/>
  <c r="R411" i="1" l="1"/>
  <c r="R412" i="1" l="1"/>
  <c r="R413" i="1" l="1"/>
  <c r="R414" i="1" l="1"/>
  <c r="R415" i="1" l="1"/>
  <c r="R416" i="1" l="1"/>
  <c r="R417" i="1" l="1"/>
  <c r="R418" i="1" l="1"/>
  <c r="R419" i="1" l="1"/>
  <c r="R420" i="1" l="1"/>
  <c r="R421" i="1" l="1"/>
  <c r="R422" i="1" l="1"/>
  <c r="R423" i="1" l="1"/>
  <c r="R424" i="1" l="1"/>
  <c r="R425" i="1" l="1"/>
  <c r="R426" i="1" l="1"/>
  <c r="R427" i="1" l="1"/>
  <c r="R428" i="1" l="1"/>
  <c r="R429" i="1" l="1"/>
  <c r="R430" i="1" l="1"/>
  <c r="R431" i="1" l="1"/>
  <c r="R432" i="1" l="1"/>
  <c r="R433" i="1" l="1"/>
  <c r="R434" i="1" l="1"/>
  <c r="R435" i="1" l="1"/>
  <c r="R436" i="1" l="1"/>
  <c r="R437" i="1" l="1"/>
  <c r="R438" i="1" l="1"/>
  <c r="R439" i="1" l="1"/>
  <c r="R440" i="1" l="1"/>
  <c r="R441" i="1" l="1"/>
  <c r="R442" i="1" l="1"/>
  <c r="R443" i="1" l="1"/>
  <c r="R444" i="1" l="1"/>
  <c r="R445" i="1" l="1"/>
  <c r="R446" i="1" l="1"/>
  <c r="R447" i="1" l="1"/>
  <c r="R448" i="1" l="1"/>
  <c r="R449" i="1" l="1"/>
  <c r="R450" i="1" l="1"/>
  <c r="R451" i="1" l="1"/>
  <c r="R452" i="1" l="1"/>
  <c r="R453" i="1" l="1"/>
  <c r="R454" i="1" l="1"/>
  <c r="R455" i="1" l="1"/>
  <c r="R456" i="1" l="1"/>
  <c r="R457" i="1" l="1"/>
  <c r="R458" i="1" l="1"/>
  <c r="R459" i="1" l="1"/>
  <c r="R460" i="1" l="1"/>
  <c r="R461" i="1" l="1"/>
  <c r="R462" i="1" l="1"/>
  <c r="R463" i="1" l="1"/>
  <c r="R464" i="1" l="1"/>
  <c r="R465" i="1" l="1"/>
  <c r="R466" i="1" l="1"/>
  <c r="R467" i="1" l="1"/>
  <c r="R468" i="1" l="1"/>
  <c r="R469" i="1" l="1"/>
  <c r="R470" i="1" l="1"/>
  <c r="R471" i="1" l="1"/>
  <c r="R472" i="1" l="1"/>
  <c r="R473" i="1" l="1"/>
  <c r="R474" i="1" l="1"/>
  <c r="R475" i="1" l="1"/>
  <c r="R476" i="1" l="1"/>
  <c r="R477" i="1" l="1"/>
  <c r="R478" i="1" l="1"/>
  <c r="R479" i="1" l="1"/>
  <c r="R480" i="1" l="1"/>
  <c r="R481" i="1" l="1"/>
  <c r="R48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<sst xmlns="http://schemas.openxmlformats.org/spreadsheetml/2006/main" count="503" uniqueCount="189">
  <si>
    <t>BRAVA</t>
  </si>
  <si>
    <t>MRL231</t>
  </si>
  <si>
    <t>VD</t>
  </si>
  <si>
    <t>MRL</t>
  </si>
  <si>
    <t>Date</t>
  </si>
  <si>
    <t>P027H</t>
  </si>
  <si>
    <t>P008H</t>
  </si>
  <si>
    <t>VD-017</t>
  </si>
  <si>
    <t>MRL199</t>
  </si>
  <si>
    <t>MRL167H</t>
  </si>
  <si>
    <t>MRL145H</t>
  </si>
  <si>
    <t>P007H</t>
  </si>
  <si>
    <t>P010H</t>
  </si>
  <si>
    <t>P009H</t>
  </si>
  <si>
    <t>MRL103</t>
  </si>
  <si>
    <t>MRL150H</t>
  </si>
  <si>
    <t>MRL156H</t>
  </si>
  <si>
    <t>MRL223H</t>
  </si>
  <si>
    <t>MRL141H</t>
  </si>
  <si>
    <t>MRL213H</t>
  </si>
  <si>
    <t>P025H</t>
  </si>
  <si>
    <t>MRL210H</t>
  </si>
  <si>
    <t>MRL102H</t>
  </si>
  <si>
    <t>MRL201</t>
  </si>
  <si>
    <t>MRL222H</t>
  </si>
  <si>
    <t>S002H</t>
  </si>
  <si>
    <t>S006H</t>
  </si>
  <si>
    <t>LIMITE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</si>
  <si>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</si>
  <si>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</si>
  <si>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</si>
  <si>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</si>
  <si>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</si>
  <si>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</si>
  <si>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</si>
  <si>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</si>
  <si>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</si>
  <si>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</si>
  <si>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</si>
  <si>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</si>
  <si>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</si>
  <si>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</si>
  <si>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</si>
  <si>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</si>
  <si>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</si>
  <si>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</si>
  <si>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</si>
  <si>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</si>
  <si>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</si>
  <si>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</si>
  <si>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</si>
  <si>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</si>
  <si>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TOTAL</t>
  </si>
  <si>
    <t>MARGEM</t>
  </si>
  <si>
    <t>Défict Max</t>
  </si>
  <si>
    <t>Atraso</t>
  </si>
  <si>
    <t>Função objetivo</t>
  </si>
  <si>
    <t>Restrição - soma dos valores negativos de MARGEM deve ser zero.</t>
  </si>
  <si>
    <t>O1</t>
  </si>
  <si>
    <t>Microsoft Excel 16.0 Relatório de Respostas</t>
  </si>
  <si>
    <t>Resultado: O Solver não pode aperfeiçoar a solução atual. Todas as Restrições foram satisfeitas.</t>
  </si>
  <si>
    <t>Mecanismo do Solver</t>
  </si>
  <si>
    <t>Mecanismo: Evolutionary</t>
  </si>
  <si>
    <t>Opções do Solver</t>
  </si>
  <si>
    <t>Tempo Máx. Ilimitado,  Iterações Ilimitado, Precision 0,000001, Usar Escala Automática</t>
  </si>
  <si>
    <t>Subproblemas Máx. Ilimitado, Soluç. Máx. Núm. Inteiro Ilimitado, Tolerância de Número Inteiro 1%, Assumir Não Negativo</t>
  </si>
  <si>
    <t>Célula do Objetivo (Máx.)</t>
  </si>
  <si>
    <t>Célula</t>
  </si>
  <si>
    <t>Nome</t>
  </si>
  <si>
    <t>Valor Original</t>
  </si>
  <si>
    <t>Valor Final</t>
  </si>
  <si>
    <t>Células Variáveis</t>
  </si>
  <si>
    <t>Número Inteiro</t>
  </si>
  <si>
    <t>Restrições</t>
  </si>
  <si>
    <t>Valor da Célula</t>
  </si>
  <si>
    <t>Fórmula</t>
  </si>
  <si>
    <t>Status</t>
  </si>
  <si>
    <t>Margem de Atraso</t>
  </si>
  <si>
    <t>Défict Max Restrição - soma dos valores negativos de MARGEM deve ser zero.</t>
  </si>
  <si>
    <t>Associação</t>
  </si>
  <si>
    <t>Não-associação</t>
  </si>
  <si>
    <t>Microsoft Excel 16.0 Relatório de População</t>
  </si>
  <si>
    <t>Melhor</t>
  </si>
  <si>
    <t>Valor</t>
  </si>
  <si>
    <t>Média</t>
  </si>
  <si>
    <t>Padrão</t>
  </si>
  <si>
    <t>Desvio</t>
  </si>
  <si>
    <t>Máximo</t>
  </si>
  <si>
    <t>Mínimo</t>
  </si>
  <si>
    <t>O2</t>
  </si>
  <si>
    <t>maximizar a produção dos poços no intervalo de tempo de 01/01/2025 até 01/12/2064.</t>
  </si>
  <si>
    <t>O3</t>
  </si>
  <si>
    <t>O4</t>
  </si>
  <si>
    <t>O5</t>
  </si>
  <si>
    <t>O6</t>
  </si>
  <si>
    <t>O7</t>
  </si>
  <si>
    <t>O8</t>
  </si>
  <si>
    <t>O9</t>
  </si>
  <si>
    <t>O10</t>
  </si>
  <si>
    <t>Limite inferior</t>
  </si>
  <si>
    <t>Limite Superior</t>
  </si>
  <si>
    <t>NP atualizado</t>
  </si>
  <si>
    <t>TMA</t>
  </si>
  <si>
    <t>Variável</t>
  </si>
  <si>
    <t>Planilha: [Otimização Modelo_RevA.xlsm]FPSO1 Otim</t>
  </si>
  <si>
    <t>$C$3</t>
  </si>
  <si>
    <t>$D$3</t>
  </si>
  <si>
    <t>$E$3</t>
  </si>
  <si>
    <t>$F$3</t>
  </si>
  <si>
    <t>$G$3</t>
  </si>
  <si>
    <t>$H$3</t>
  </si>
  <si>
    <t>$I$3</t>
  </si>
  <si>
    <t>$J$3</t>
  </si>
  <si>
    <t>$K$3</t>
  </si>
  <si>
    <t>$L$3</t>
  </si>
  <si>
    <t>$M$3</t>
  </si>
  <si>
    <t>$N$3</t>
  </si>
  <si>
    <t>$O$3</t>
  </si>
  <si>
    <t>$P$3</t>
  </si>
  <si>
    <t>$Q$3</t>
  </si>
  <si>
    <t>$R$3</t>
  </si>
  <si>
    <t>$S$3</t>
  </si>
  <si>
    <t>$T$3</t>
  </si>
  <si>
    <t>$U$3</t>
  </si>
  <si>
    <t>$V$3</t>
  </si>
  <si>
    <t>$W$3</t>
  </si>
  <si>
    <t>$X$3</t>
  </si>
  <si>
    <t>$Y$3</t>
  </si>
  <si>
    <t>$Z$3</t>
  </si>
  <si>
    <t>$AE$3</t>
  </si>
  <si>
    <t>$AE$3&gt;=0</t>
  </si>
  <si>
    <t>$C$3&lt;=$C$4</t>
  </si>
  <si>
    <t>$D$3&lt;=$D$4</t>
  </si>
  <si>
    <t>$E$3&lt;=$E$4</t>
  </si>
  <si>
    <t>$F$3&lt;=$F$4</t>
  </si>
  <si>
    <t>$G$3&lt;=$G$4</t>
  </si>
  <si>
    <t>$H$3&lt;=$H$4</t>
  </si>
  <si>
    <t>$I$3&lt;=$I$4</t>
  </si>
  <si>
    <t>$J$3&lt;=$J$4</t>
  </si>
  <si>
    <t>$K$3&lt;=$K$4</t>
  </si>
  <si>
    <t>$L$3&lt;=$L$4</t>
  </si>
  <si>
    <t>$M$3&lt;=$M$4</t>
  </si>
  <si>
    <t>$N$3&lt;=$N$4</t>
  </si>
  <si>
    <t>$O$3&lt;=$O$4</t>
  </si>
  <si>
    <t>$P$3&lt;=$P$4</t>
  </si>
  <si>
    <t>$Q$3&lt;=$Q$4</t>
  </si>
  <si>
    <t>$R$3&lt;=$R$4</t>
  </si>
  <si>
    <t>$S$3&lt;=$S$4</t>
  </si>
  <si>
    <t>$T$3&lt;=$T$4</t>
  </si>
  <si>
    <t>$U$3&lt;=$U$4</t>
  </si>
  <si>
    <t>$V$3&lt;=$V$4</t>
  </si>
  <si>
    <t>$W$3&lt;=$W$4</t>
  </si>
  <si>
    <t>$X$3&lt;=$X$4</t>
  </si>
  <si>
    <t>$Y$3&lt;=$Y$4</t>
  </si>
  <si>
    <t>$Z$3&lt;=$Z$4</t>
  </si>
  <si>
    <t>$C$3&gt;=$C$2</t>
  </si>
  <si>
    <t>$D$3&gt;=$D$2</t>
  </si>
  <si>
    <t>$E$3&gt;=$E$2</t>
  </si>
  <si>
    <t>$F$3&gt;=$F$2</t>
  </si>
  <si>
    <t>$G$3&gt;=$G$2</t>
  </si>
  <si>
    <t>$H$3&gt;=$H$2</t>
  </si>
  <si>
    <t>$I$3&gt;=$I$2</t>
  </si>
  <si>
    <t>$J$3&gt;=$J$2</t>
  </si>
  <si>
    <t>$K$3&gt;=$K$2</t>
  </si>
  <si>
    <t>$L$3&gt;=$L$2</t>
  </si>
  <si>
    <t>$M$3&gt;=$M$2</t>
  </si>
  <si>
    <t>$N$3&gt;=$N$2</t>
  </si>
  <si>
    <t>$O$3&gt;=$O$2</t>
  </si>
  <si>
    <t>$P$3&gt;=$P$2</t>
  </si>
  <si>
    <t>$Q$3&gt;=$Q$2</t>
  </si>
  <si>
    <t>$R$3&gt;=$R$2</t>
  </si>
  <si>
    <t>$S$3&gt;=$S$2</t>
  </si>
  <si>
    <t>$T$3&gt;=$T$2</t>
  </si>
  <si>
    <t>$U$3&gt;=$U$2</t>
  </si>
  <si>
    <t>$V$3&gt;=$V$2</t>
  </si>
  <si>
    <t>$W$3&gt;=$W$2</t>
  </si>
  <si>
    <t>$X$3&gt;=$X$2</t>
  </si>
  <si>
    <t>$Y$3&gt;=$Y$2</t>
  </si>
  <si>
    <t>$Z$3&gt;=$Z$2</t>
  </si>
  <si>
    <t>$C$3:$Z$3=Número Inteiro</t>
  </si>
  <si>
    <t>Valor da função</t>
  </si>
  <si>
    <t>Inicio (semente)</t>
  </si>
  <si>
    <t>1 - Início das otimizações. Abaixo o início representam as sementes utilizadas para o conjunto de otimizações a seguir.</t>
  </si>
  <si>
    <t>Relatório Criado: 10/11/2020 17:40:05</t>
  </si>
  <si>
    <t>Tempo da Solução: 2947,172 Segundos.</t>
  </si>
  <si>
    <t>Iterações: 0 Subproblemas: 41346</t>
  </si>
  <si>
    <t xml:space="preserve"> Convergência 0,0001, Tamanho da População 200, Propagação Aleatória 0, Taxa de Mutação 0,1, Tempo sem Aperfeiçoamento 600 s, Limites Necessários</t>
  </si>
  <si>
    <t>$AF$5</t>
  </si>
  <si>
    <t>Relatório Criado: 10/11/2020 17:40:07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</si>
</sst>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6" formatCode="0.0000%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/>
    <xf numFmtId="15" fontId="0" fillId="0" borderId="0" xfId="0" applyNumberFormat="1"/>
    <xf numFmtId="0" fontId="0" fillId="0" borderId="0" xfId="0" applyNumberFormat="1"/>
    <xf numFmtId="0" fontId="0" fillId="0" borderId="0" xfId="0"/>
    <xf numFmtId="15" fontId="0" fillId="0" borderId="0" xfId="0" applyNumberFormat="1"/>
    <xf numFmtId="0" fontId="0" fillId="0" borderId="0" xfId="0" applyNumberFormat="1"/>
    <xf numFmtId="0" fontId="0" fillId="33" borderId="0" xfId="0" applyNumberFormat="1" applyFill="1"/>
    <xf numFmtId="43" fontId="15" fillId="34" borderId="10" xfId="42" applyFont="1" applyFill="1" applyBorder="1"/>
    <xf numFmtId="43" fontId="0" fillId="0" borderId="0" xfId="42" applyFont="1"/>
    <xf numFmtId="0" fontId="15" fillId="0" borderId="0" xfId="0" applyFont="1"/>
    <xf numFmtId="0" fontId="0" fillId="0" borderId="16" xfId="0" applyFill="1" applyBorder="1" applyAlignment="1"/>
    <xf numFmtId="0" fontId="0" fillId="0" borderId="17" xfId="0" applyFill="1" applyBorder="1" applyAlignment="1"/>
    <xf numFmtId="43" fontId="0" fillId="0" borderId="16" xfId="0" applyNumberFormat="1" applyFill="1" applyBorder="1" applyAlignment="1"/>
    <xf numFmtId="0" fontId="0" fillId="0" borderId="17" xfId="0" applyNumberFormat="1" applyFill="1" applyBorder="1" applyAlignment="1"/>
    <xf numFmtId="0" fontId="0" fillId="0" borderId="16" xfId="0" applyNumberFormat="1" applyFill="1" applyBorder="1" applyAlignment="1"/>
    <xf numFmtId="43" fontId="0" fillId="0" borderId="17" xfId="0" applyNumberFormat="1" applyFill="1" applyBorder="1" applyAlignment="1"/>
    <xf numFmtId="0" fontId="0" fillId="37" borderId="12" xfId="0" applyFont="1" applyFill="1" applyBorder="1" applyAlignment="1">
      <alignment horizontal="center"/>
    </xf>
    <xf numFmtId="0" fontId="0" fillId="37" borderId="1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0" fillId="0" borderId="0" xfId="0" applyNumberFormat="1" applyFill="1"/>
    <xf numFmtId="43" fontId="0" fillId="0" borderId="0" xfId="42" applyFont="1" applyFill="1"/>
    <xf numFmtId="166" fontId="0" fillId="37" borderId="0" xfId="43" applyNumberFormat="1" applyFont="1" applyFill="1" applyAlignment="1">
      <alignment horizontal="center" vertical="center"/>
    </xf>
    <xf numFmtId="0" fontId="0" fillId="37" borderId="0" xfId="0" applyNumberFormat="1" applyFill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9" fillId="36" borderId="12" xfId="0" applyFont="1" applyFill="1" applyBorder="1" applyAlignment="1">
      <alignment horizontal="center" vertical="center"/>
    </xf>
    <xf numFmtId="0" fontId="0" fillId="37" borderId="0" xfId="0" applyFill="1" applyBorder="1" applyAlignment="1">
      <alignment horizontal="center" vertical="center"/>
    </xf>
    <xf numFmtId="0" fontId="19" fillId="37" borderId="0" xfId="0" applyFon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20" fillId="0" borderId="0" xfId="0" applyFont="1"/>
    <xf numFmtId="43" fontId="0" fillId="35" borderId="10" xfId="42" applyFont="1" applyFill="1" applyBorder="1"/>
    <xf numFmtId="0" fontId="21" fillId="0" borderId="15" xfId="0" applyFont="1" applyFill="1" applyBorder="1" applyAlignment="1">
      <alignment horizontal="center"/>
    </xf>
    <xf numFmtId="0" fontId="21" fillId="0" borderId="13" xfId="0" applyFont="1" applyFill="1" applyBorder="1" applyAlignment="1">
      <alignment horizontal="center"/>
    </xf>
    <xf numFmtId="0" fontId="21" fillId="0" borderId="14" xfId="0" applyFont="1" applyFill="1" applyBorder="1" applyAlignment="1">
      <alignment horizontal="center"/>
    </xf>
    <xf numFmtId="43" fontId="1" fillId="34" borderId="12" xfId="42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6" borderId="1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43" fontId="1" fillId="0" borderId="0" xfId="42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/>
    </xf>
    <xf numFmtId="43" fontId="13" fillId="0" borderId="0" xfId="42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</cellXfs>
  <cellStyles count="44">
    <cellStyle name="20% - Ênfase1" xfId="18" builtinId="30" customBuiltin="1"/>
    <cellStyle name="20% - Ênfase2" xfId="21" builtinId="34" customBuiltin="1"/>
    <cellStyle name="20% - Ênfase3" xfId="24" builtinId="38" customBuiltin="1"/>
    <cellStyle name="20% - Ênfase4" xfId="27" builtinId="42" customBuiltin="1"/>
    <cellStyle name="20% - Ênfase5" xfId="30" builtinId="46" customBuiltin="1"/>
    <cellStyle name="20% - Ênfase6" xfId="33" builtinId="50" customBuiltin="1"/>
    <cellStyle name="40% - Ênfase1" xfId="19" builtinId="31" customBuiltin="1"/>
    <cellStyle name="40% - Ênfase2" xfId="22" builtinId="35" customBuiltin="1"/>
    <cellStyle name="40% - Ênfase3" xfId="25" builtinId="39" customBuiltin="1"/>
    <cellStyle name="40% - Ênfase4" xfId="28" builtinId="43" customBuiltin="1"/>
    <cellStyle name="40% - Ênfase5" xfId="31" builtinId="47" customBuiltin="1"/>
    <cellStyle name="40% - Ênfase6" xfId="34" builtinId="51" customBuiltin="1"/>
    <cellStyle name="60% - Ênfase1 2" xfId="36" xr:uid="{43EE7892-1979-44A8-919E-97F475874CF4}"/>
    <cellStyle name="60% - Ênfase2 2" xfId="37" xr:uid="{4948D4C6-A1DC-4EA9-BAB7-4F1A98487425}"/>
    <cellStyle name="60% - Ênfase3 2" xfId="38" xr:uid="{DCE2CFD7-D353-4A7A-B234-B08AAA6E714B}"/>
    <cellStyle name="60% - Ênfase4 2" xfId="39" xr:uid="{4E0D1592-4B06-4728-B4B4-C9EB4B8CA1C2}"/>
    <cellStyle name="60% - Ênfase5 2" xfId="40" xr:uid="{03E145AB-B1D0-4DB7-806F-F22F7B22D2B7}"/>
    <cellStyle name="60% - Ênfase6 2" xfId="41" xr:uid="{B8FD8329-A8B0-462D-AADA-6CCA8C4841F4}"/>
    <cellStyle name="Bom" xfId="6" builtinId="26" customBuiltin="1"/>
    <cellStyle name="Cálculo" xfId="10" builtinId="22" customBuiltin="1"/>
    <cellStyle name="Célula de Verificação" xfId="12" builtinId="23" customBuiltin="1"/>
    <cellStyle name="Célula Vinculada" xfId="11" builtinId="24" customBuiltin="1"/>
    <cellStyle name="Ênfase1" xfId="17" builtinId="29" customBuiltin="1"/>
    <cellStyle name="Ênfase2" xfId="20" builtinId="33" customBuiltin="1"/>
    <cellStyle name="Ênfase3" xfId="23" builtinId="37" customBuiltin="1"/>
    <cellStyle name="Ênfase4" xfId="26" builtinId="41" customBuiltin="1"/>
    <cellStyle name="Ênfase5" xfId="29" builtinId="45" customBuiltin="1"/>
    <cellStyle name="Ênfase6" xfId="32" builtinId="49" customBuiltin="1"/>
    <cellStyle name="Entrada" xfId="8" builtinId="20" customBuiltin="1"/>
    <cellStyle name="Neutro 2" xfId="35" xr:uid="{E966D57B-1F2E-4E52-B978-B5FAFC4DB28D}"/>
    <cellStyle name="Normal" xfId="0" builtinId="0"/>
    <cellStyle name="Nota" xfId="14" builtinId="10" customBuiltin="1"/>
    <cellStyle name="Porcentagem" xfId="43" builtinId="5"/>
    <cellStyle name="Ruim" xfId="7" builtinId="27" customBuiltin="1"/>
    <cellStyle name="Saída" xfId="9" builtinId="21" customBuiltin="1"/>
    <cellStyle name="Texto de Aviso" xfId="13" builtinId="11" customBuiltin="1"/>
    <cellStyle name="Texto Explicativo" xfId="15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6" builtinId="25" customBuiltin="1"/>
    <cellStyle name="Vírgula" xfId="42" builtinId="3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FPSO1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'FPSO1 Base'!$C$2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Base'!$C$3:$C$730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53.941499999999998</c:v>
                </c:pt>
                <c:pt idx="32">
                  <c:v>1672.1775000000002</c:v>
                </c:pt>
                <c:pt idx="33">
                  <c:v>1672.1744999999999</c:v>
                </c:pt>
                <c:pt idx="34">
                  <c:v>1672.1714999999999</c:v>
                </c:pt>
                <c:pt idx="35">
                  <c:v>1672.17</c:v>
                </c:pt>
                <c:pt idx="36">
                  <c:v>1672.17</c:v>
                </c:pt>
                <c:pt idx="37">
                  <c:v>1672.1669999999999</c:v>
                </c:pt>
                <c:pt idx="38">
                  <c:v>1672.1669999999999</c:v>
                </c:pt>
                <c:pt idx="39">
                  <c:v>1672.1640000000002</c:v>
                </c:pt>
                <c:pt idx="40">
                  <c:v>1672.1625000000001</c:v>
                </c:pt>
                <c:pt idx="41">
                  <c:v>1672.1625000000001</c:v>
                </c:pt>
                <c:pt idx="42">
                  <c:v>1672.1594999999998</c:v>
                </c:pt>
                <c:pt idx="43">
                  <c:v>1745.9565</c:v>
                </c:pt>
                <c:pt idx="44">
                  <c:v>1745.9549999999999</c:v>
                </c:pt>
                <c:pt idx="45">
                  <c:v>1745.9535000000001</c:v>
                </c:pt>
                <c:pt idx="46">
                  <c:v>1745.9505000000001</c:v>
                </c:pt>
                <c:pt idx="47">
                  <c:v>1745.9520000000002</c:v>
                </c:pt>
                <c:pt idx="48">
                  <c:v>1745.9445000000001</c:v>
                </c:pt>
                <c:pt idx="49">
                  <c:v>1745.943</c:v>
                </c:pt>
                <c:pt idx="50">
                  <c:v>1745.94</c:v>
                </c:pt>
                <c:pt idx="51">
                  <c:v>1745.9324999999999</c:v>
                </c:pt>
                <c:pt idx="52">
                  <c:v>1745.913</c:v>
                </c:pt>
                <c:pt idx="53">
                  <c:v>1745.9070000000002</c:v>
                </c:pt>
                <c:pt idx="54">
                  <c:v>1745.8815</c:v>
                </c:pt>
                <c:pt idx="55">
                  <c:v>1700.8425</c:v>
                </c:pt>
                <c:pt idx="56">
                  <c:v>1700.7915000000003</c:v>
                </c:pt>
                <c:pt idx="57">
                  <c:v>1700.7345</c:v>
                </c:pt>
                <c:pt idx="58">
                  <c:v>1700.6655000000001</c:v>
                </c:pt>
                <c:pt idx="59">
                  <c:v>1700.58</c:v>
                </c:pt>
                <c:pt idx="60">
                  <c:v>1700.4945</c:v>
                </c:pt>
                <c:pt idx="61">
                  <c:v>1700.4119999999998</c:v>
                </c:pt>
                <c:pt idx="62">
                  <c:v>1700.3235</c:v>
                </c:pt>
                <c:pt idx="63">
                  <c:v>1700.22</c:v>
                </c:pt>
                <c:pt idx="64">
                  <c:v>1700.1285000000003</c:v>
                </c:pt>
                <c:pt idx="65">
                  <c:v>1700.0249999999999</c:v>
                </c:pt>
                <c:pt idx="66">
                  <c:v>1699.9275000000002</c:v>
                </c:pt>
                <c:pt idx="67">
                  <c:v>1701.6405</c:v>
                </c:pt>
                <c:pt idx="68">
                  <c:v>1701.5595000000001</c:v>
                </c:pt>
                <c:pt idx="69">
                  <c:v>1701.4634999999998</c:v>
                </c:pt>
                <c:pt idx="70">
                  <c:v>1701.3674999999998</c:v>
                </c:pt>
                <c:pt idx="71">
                  <c:v>1701.2804999999998</c:v>
                </c:pt>
                <c:pt idx="72">
                  <c:v>1701.1725000000001</c:v>
                </c:pt>
                <c:pt idx="73">
                  <c:v>1701.0675000000001</c:v>
                </c:pt>
                <c:pt idx="74">
                  <c:v>1700.9670000000001</c:v>
                </c:pt>
                <c:pt idx="75">
                  <c:v>1700.8425</c:v>
                </c:pt>
                <c:pt idx="76">
                  <c:v>1700.7195000000002</c:v>
                </c:pt>
                <c:pt idx="77">
                  <c:v>1700.598</c:v>
                </c:pt>
                <c:pt idx="78">
                  <c:v>1700.4584999999997</c:v>
                </c:pt>
                <c:pt idx="79">
                  <c:v>1689.5325</c:v>
                </c:pt>
                <c:pt idx="80">
                  <c:v>1689.4094999999998</c:v>
                </c:pt>
                <c:pt idx="81">
                  <c:v>1689.2655</c:v>
                </c:pt>
                <c:pt idx="82">
                  <c:v>1689.123</c:v>
                </c:pt>
                <c:pt idx="83">
                  <c:v>1688.9715000000001</c:v>
                </c:pt>
                <c:pt idx="84">
                  <c:v>1688.8125</c:v>
                </c:pt>
                <c:pt idx="85">
                  <c:v>1688.652</c:v>
                </c:pt>
                <c:pt idx="86">
                  <c:v>1688.4869999999999</c:v>
                </c:pt>
                <c:pt idx="87">
                  <c:v>1688.3235</c:v>
                </c:pt>
                <c:pt idx="88">
                  <c:v>1688.1554999999998</c:v>
                </c:pt>
                <c:pt idx="89">
                  <c:v>1687.9949999999999</c:v>
                </c:pt>
                <c:pt idx="90">
                  <c:v>1687.8255000000001</c:v>
                </c:pt>
                <c:pt idx="91">
                  <c:v>1678.6695</c:v>
                </c:pt>
                <c:pt idx="92">
                  <c:v>1678.5209999999997</c:v>
                </c:pt>
                <c:pt idx="93">
                  <c:v>1678.356</c:v>
                </c:pt>
                <c:pt idx="94">
                  <c:v>1678.2105000000001</c:v>
                </c:pt>
                <c:pt idx="95">
                  <c:v>1678.038</c:v>
                </c:pt>
                <c:pt idx="96">
                  <c:v>1677.8685</c:v>
                </c:pt>
                <c:pt idx="97">
                  <c:v>1677.7305000000001</c:v>
                </c:pt>
                <c:pt idx="98">
                  <c:v>1677.5535</c:v>
                </c:pt>
                <c:pt idx="99">
                  <c:v>1677.405</c:v>
                </c:pt>
                <c:pt idx="100">
                  <c:v>1677.258</c:v>
                </c:pt>
                <c:pt idx="101">
                  <c:v>1677.0990000000002</c:v>
                </c:pt>
                <c:pt idx="102">
                  <c:v>1676.9505000000001</c:v>
                </c:pt>
                <c:pt idx="103">
                  <c:v>1651.6934999999999</c:v>
                </c:pt>
                <c:pt idx="104">
                  <c:v>1651.5720000000001</c:v>
                </c:pt>
                <c:pt idx="105">
                  <c:v>1651.4459999999999</c:v>
                </c:pt>
                <c:pt idx="106">
                  <c:v>1651.2945</c:v>
                </c:pt>
                <c:pt idx="107">
                  <c:v>1651.1744999999999</c:v>
                </c:pt>
                <c:pt idx="108">
                  <c:v>1651.038</c:v>
                </c:pt>
                <c:pt idx="109">
                  <c:v>1650.8910000000001</c:v>
                </c:pt>
                <c:pt idx="110">
                  <c:v>1650.7725</c:v>
                </c:pt>
                <c:pt idx="111">
                  <c:v>1650.6345000000001</c:v>
                </c:pt>
                <c:pt idx="112">
                  <c:v>1650.5010000000002</c:v>
                </c:pt>
                <c:pt idx="113">
                  <c:v>1650.366</c:v>
                </c:pt>
                <c:pt idx="114">
                  <c:v>1650.2415000000001</c:v>
                </c:pt>
                <c:pt idx="115">
                  <c:v>1641.1334999999999</c:v>
                </c:pt>
                <c:pt idx="116">
                  <c:v>1641.03</c:v>
                </c:pt>
                <c:pt idx="117">
                  <c:v>1640.8845000000001</c:v>
                </c:pt>
                <c:pt idx="118">
                  <c:v>1640.7599999999998</c:v>
                </c:pt>
                <c:pt idx="119">
                  <c:v>1634.9790000000003</c:v>
                </c:pt>
                <c:pt idx="120">
                  <c:v>1630.2614999999998</c:v>
                </c:pt>
                <c:pt idx="121">
                  <c:v>1625.5515</c:v>
                </c:pt>
                <c:pt idx="122">
                  <c:v>1621.0155</c:v>
                </c:pt>
                <c:pt idx="123">
                  <c:v>1616.7360000000001</c:v>
                </c:pt>
                <c:pt idx="124">
                  <c:v>1612.4505000000001</c:v>
                </c:pt>
                <c:pt idx="125">
                  <c:v>1608.4109999999998</c:v>
                </c:pt>
                <c:pt idx="126">
                  <c:v>1604.346</c:v>
                </c:pt>
                <c:pt idx="127">
                  <c:v>1594.3530000000001</c:v>
                </c:pt>
                <c:pt idx="128">
                  <c:v>1591.1609999999998</c:v>
                </c:pt>
                <c:pt idx="129">
                  <c:v>1587.5954999999999</c:v>
                </c:pt>
                <c:pt idx="130">
                  <c:v>1584.192</c:v>
                </c:pt>
                <c:pt idx="131">
                  <c:v>1580.7314999999999</c:v>
                </c:pt>
                <c:pt idx="132">
                  <c:v>1577.442</c:v>
                </c:pt>
                <c:pt idx="133">
                  <c:v>1574.0684999999999</c:v>
                </c:pt>
                <c:pt idx="134">
                  <c:v>1570.761</c:v>
                </c:pt>
                <c:pt idx="135">
                  <c:v>1567.6019999999999</c:v>
                </c:pt>
                <c:pt idx="136">
                  <c:v>1564.3815</c:v>
                </c:pt>
                <c:pt idx="137">
                  <c:v>1561.3035</c:v>
                </c:pt>
                <c:pt idx="138">
                  <c:v>1558.1685</c:v>
                </c:pt>
                <c:pt idx="139">
                  <c:v>1547.7495000000001</c:v>
                </c:pt>
                <c:pt idx="140">
                  <c:v>1545.2460000000001</c:v>
                </c:pt>
                <c:pt idx="141">
                  <c:v>1542.5280000000002</c:v>
                </c:pt>
                <c:pt idx="142">
                  <c:v>1539.8685</c:v>
                </c:pt>
                <c:pt idx="143">
                  <c:v>1537.1174999999998</c:v>
                </c:pt>
                <c:pt idx="144">
                  <c:v>1534.4475</c:v>
                </c:pt>
                <c:pt idx="145">
                  <c:v>1531.731</c:v>
                </c:pt>
                <c:pt idx="146">
                  <c:v>1529.001</c:v>
                </c:pt>
                <c:pt idx="147">
                  <c:v>1526.367</c:v>
                </c:pt>
                <c:pt idx="148">
                  <c:v>1523.6505000000002</c:v>
                </c:pt>
                <c:pt idx="149">
                  <c:v>1521.0450000000001</c:v>
                </c:pt>
                <c:pt idx="150">
                  <c:v>1518.3344999999999</c:v>
                </c:pt>
                <c:pt idx="151">
                  <c:v>1501.3110000000001</c:v>
                </c:pt>
                <c:pt idx="152">
                  <c:v>1499.5815</c:v>
                </c:pt>
                <c:pt idx="153">
                  <c:v>1497.4725000000001</c:v>
                </c:pt>
                <c:pt idx="154">
                  <c:v>1495.3364999999999</c:v>
                </c:pt>
                <c:pt idx="155">
                  <c:v>1493.0294999999999</c:v>
                </c:pt>
                <c:pt idx="156">
                  <c:v>1490.7465</c:v>
                </c:pt>
                <c:pt idx="157">
                  <c:v>1488.3525</c:v>
                </c:pt>
                <c:pt idx="158">
                  <c:v>1485.8475000000001</c:v>
                </c:pt>
                <c:pt idx="159">
                  <c:v>1483.3980000000001</c:v>
                </c:pt>
                <c:pt idx="160">
                  <c:v>1480.7909999999999</c:v>
                </c:pt>
                <c:pt idx="161">
                  <c:v>1478.1975</c:v>
                </c:pt>
                <c:pt idx="162">
                  <c:v>1475.4524999999999</c:v>
                </c:pt>
                <c:pt idx="163">
                  <c:v>1465.5765000000001</c:v>
                </c:pt>
                <c:pt idx="164">
                  <c:v>1463.2739999999999</c:v>
                </c:pt>
                <c:pt idx="165">
                  <c:v>1460.4960000000001</c:v>
                </c:pt>
                <c:pt idx="166">
                  <c:v>1457.6655000000001</c:v>
                </c:pt>
                <c:pt idx="167">
                  <c:v>1454.472</c:v>
                </c:pt>
                <c:pt idx="168">
                  <c:v>1451.3910000000001</c:v>
                </c:pt>
                <c:pt idx="169">
                  <c:v>1447.9515000000001</c:v>
                </c:pt>
                <c:pt idx="170">
                  <c:v>1444.5014999999999</c:v>
                </c:pt>
                <c:pt idx="171">
                  <c:v>1441.1129999999998</c:v>
                </c:pt>
                <c:pt idx="172">
                  <c:v>1437.6030000000001</c:v>
                </c:pt>
                <c:pt idx="173">
                  <c:v>1434.204</c:v>
                </c:pt>
                <c:pt idx="174">
                  <c:v>1430.751</c:v>
                </c:pt>
                <c:pt idx="175">
                  <c:v>1427.3009999999999</c:v>
                </c:pt>
                <c:pt idx="176">
                  <c:v>1424.2725</c:v>
                </c:pt>
                <c:pt idx="177">
                  <c:v>1420.9214999999999</c:v>
                </c:pt>
                <c:pt idx="178">
                  <c:v>1417.7730000000001</c:v>
                </c:pt>
                <c:pt idx="179">
                  <c:v>1414.566</c:v>
                </c:pt>
                <c:pt idx="180">
                  <c:v>1411.4985000000001</c:v>
                </c:pt>
                <c:pt idx="181">
                  <c:v>1408.3530000000001</c:v>
                </c:pt>
                <c:pt idx="182">
                  <c:v>1405.2345</c:v>
                </c:pt>
                <c:pt idx="183">
                  <c:v>1402.173</c:v>
                </c:pt>
                <c:pt idx="184">
                  <c:v>1398.9960000000001</c:v>
                </c:pt>
                <c:pt idx="185">
                  <c:v>1395.8985</c:v>
                </c:pt>
                <c:pt idx="186">
                  <c:v>1392.5940000000001</c:v>
                </c:pt>
                <c:pt idx="187">
                  <c:v>1351.8375000000001</c:v>
                </c:pt>
                <c:pt idx="188">
                  <c:v>1350.51</c:v>
                </c:pt>
                <c:pt idx="189">
                  <c:v>1348.152</c:v>
                </c:pt>
                <c:pt idx="190">
                  <c:v>1344.9465</c:v>
                </c:pt>
                <c:pt idx="191">
                  <c:v>1340.6624999999999</c:v>
                </c:pt>
                <c:pt idx="192">
                  <c:v>1335.6195</c:v>
                </c:pt>
                <c:pt idx="193">
                  <c:v>1329.8174999999999</c:v>
                </c:pt>
                <c:pt idx="194">
                  <c:v>1323.8174999999999</c:v>
                </c:pt>
                <c:pt idx="195">
                  <c:v>1318.2375000000002</c:v>
                </c:pt>
                <c:pt idx="196">
                  <c:v>1312.854</c:v>
                </c:pt>
                <c:pt idx="197">
                  <c:v>1308.1544999999999</c:v>
                </c:pt>
                <c:pt idx="198">
                  <c:v>1303.7339999999999</c:v>
                </c:pt>
                <c:pt idx="199">
                  <c:v>1299.8835000000001</c:v>
                </c:pt>
                <c:pt idx="200">
                  <c:v>1296.7004999999999</c:v>
                </c:pt>
                <c:pt idx="201">
                  <c:v>1293.5985000000001</c:v>
                </c:pt>
                <c:pt idx="202">
                  <c:v>1290.8444999999999</c:v>
                </c:pt>
                <c:pt idx="203">
                  <c:v>1288.2825</c:v>
                </c:pt>
                <c:pt idx="204">
                  <c:v>1286.0355</c:v>
                </c:pt>
                <c:pt idx="205">
                  <c:v>1283.8409999999999</c:v>
                </c:pt>
                <c:pt idx="206">
                  <c:v>1281.8085000000001</c:v>
                </c:pt>
                <c:pt idx="207">
                  <c:v>1279.9559999999999</c:v>
                </c:pt>
                <c:pt idx="208">
                  <c:v>1278.1005</c:v>
                </c:pt>
                <c:pt idx="209">
                  <c:v>1276.3664999999999</c:v>
                </c:pt>
                <c:pt idx="210">
                  <c:v>1274.6505000000002</c:v>
                </c:pt>
                <c:pt idx="211">
                  <c:v>1272.9960000000001</c:v>
                </c:pt>
                <c:pt idx="212">
                  <c:v>1271.4839999999999</c:v>
                </c:pt>
                <c:pt idx="213">
                  <c:v>1269.8775000000001</c:v>
                </c:pt>
                <c:pt idx="214">
                  <c:v>1268.3595</c:v>
                </c:pt>
                <c:pt idx="215">
                  <c:v>1266.7350000000001</c:v>
                </c:pt>
                <c:pt idx="216">
                  <c:v>1265.259</c:v>
                </c:pt>
                <c:pt idx="217">
                  <c:v>1263.6869999999999</c:v>
                </c:pt>
                <c:pt idx="218">
                  <c:v>1262.1524999999999</c:v>
                </c:pt>
                <c:pt idx="219">
                  <c:v>1260.5955000000001</c:v>
                </c:pt>
                <c:pt idx="220">
                  <c:v>1259.0564999999999</c:v>
                </c:pt>
                <c:pt idx="221">
                  <c:v>1257.519</c:v>
                </c:pt>
                <c:pt idx="222">
                  <c:v>1255.914</c:v>
                </c:pt>
                <c:pt idx="223">
                  <c:v>1254.3075000000001</c:v>
                </c:pt>
                <c:pt idx="224">
                  <c:v>1252.8344999999999</c:v>
                </c:pt>
                <c:pt idx="225">
                  <c:v>1251.2130000000002</c:v>
                </c:pt>
                <c:pt idx="226">
                  <c:v>1249.56</c:v>
                </c:pt>
                <c:pt idx="227">
                  <c:v>1247.9279999999999</c:v>
                </c:pt>
                <c:pt idx="228">
                  <c:v>1246.2885000000001</c:v>
                </c:pt>
                <c:pt idx="229">
                  <c:v>1244.5259999999998</c:v>
                </c:pt>
                <c:pt idx="230">
                  <c:v>1242.8249999999998</c:v>
                </c:pt>
                <c:pt idx="231">
                  <c:v>1241.1374999999998</c:v>
                </c:pt>
                <c:pt idx="232">
                  <c:v>1239.3285000000001</c:v>
                </c:pt>
                <c:pt idx="233">
                  <c:v>1237.5975000000001</c:v>
                </c:pt>
                <c:pt idx="234">
                  <c:v>1235.7375000000002</c:v>
                </c:pt>
                <c:pt idx="235">
                  <c:v>1233.8715</c:v>
                </c:pt>
                <c:pt idx="236">
                  <c:v>1232.0595000000001</c:v>
                </c:pt>
                <c:pt idx="237">
                  <c:v>1230.0674999999999</c:v>
                </c:pt>
                <c:pt idx="238">
                  <c:v>1228.1010000000001</c:v>
                </c:pt>
                <c:pt idx="239">
                  <c:v>1225.98</c:v>
                </c:pt>
                <c:pt idx="240">
                  <c:v>1223.8530000000001</c:v>
                </c:pt>
                <c:pt idx="241">
                  <c:v>1221.5610000000001</c:v>
                </c:pt>
                <c:pt idx="242">
                  <c:v>1218.8924999999999</c:v>
                </c:pt>
                <c:pt idx="243">
                  <c:v>1216.26</c:v>
                </c:pt>
                <c:pt idx="244">
                  <c:v>1213.4580000000001</c:v>
                </c:pt>
                <c:pt idx="245">
                  <c:v>1210.596</c:v>
                </c:pt>
                <c:pt idx="246">
                  <c:v>1207.4100000000001</c:v>
                </c:pt>
                <c:pt idx="247">
                  <c:v>1203.6524999999999</c:v>
                </c:pt>
                <c:pt idx="248">
                  <c:v>1199.472</c:v>
                </c:pt>
                <c:pt idx="249">
                  <c:v>1193.0685000000001</c:v>
                </c:pt>
                <c:pt idx="250">
                  <c:v>1184.6189999999999</c:v>
                </c:pt>
                <c:pt idx="251">
                  <c:v>1172.796</c:v>
                </c:pt>
                <c:pt idx="252">
                  <c:v>1158.6914999999999</c:v>
                </c:pt>
                <c:pt idx="253">
                  <c:v>1141.3724999999999</c:v>
                </c:pt>
                <c:pt idx="254">
                  <c:v>1121.7165</c:v>
                </c:pt>
                <c:pt idx="255">
                  <c:v>1100.9279999999999</c:v>
                </c:pt>
                <c:pt idx="256">
                  <c:v>1078.527</c:v>
                </c:pt>
                <c:pt idx="257">
                  <c:v>1055.0535</c:v>
                </c:pt>
                <c:pt idx="258">
                  <c:v>1031.1555000000001</c:v>
                </c:pt>
                <c:pt idx="259">
                  <c:v>1008.3795</c:v>
                </c:pt>
                <c:pt idx="260">
                  <c:v>988.84799999999996</c:v>
                </c:pt>
                <c:pt idx="261">
                  <c:v>968.71050000000002</c:v>
                </c:pt>
                <c:pt idx="262">
                  <c:v>950.41499999999996</c:v>
                </c:pt>
                <c:pt idx="263">
                  <c:v>932.86950000000002</c:v>
                </c:pt>
                <c:pt idx="264">
                  <c:v>916.96800000000007</c:v>
                </c:pt>
                <c:pt idx="265">
                  <c:v>901.80000000000007</c:v>
                </c:pt>
                <c:pt idx="266">
                  <c:v>887.64750000000004</c:v>
                </c:pt>
                <c:pt idx="267">
                  <c:v>874.85400000000004</c:v>
                </c:pt>
                <c:pt idx="268">
                  <c:v>862.46250000000009</c:v>
                </c:pt>
                <c:pt idx="269">
                  <c:v>851.09850000000006</c:v>
                </c:pt>
                <c:pt idx="270">
                  <c:v>838.83600000000001</c:v>
                </c:pt>
                <c:pt idx="271">
                  <c:v>826.21949999999993</c:v>
                </c:pt>
                <c:pt idx="272">
                  <c:v>815.31600000000003</c:v>
                </c:pt>
                <c:pt idx="273">
                  <c:v>803.94</c:v>
                </c:pt>
                <c:pt idx="274">
                  <c:v>793.21349999999995</c:v>
                </c:pt>
                <c:pt idx="275">
                  <c:v>782.60400000000004</c:v>
                </c:pt>
                <c:pt idx="276">
                  <c:v>772.68000000000006</c:v>
                </c:pt>
                <c:pt idx="277">
                  <c:v>762.99450000000002</c:v>
                </c:pt>
                <c:pt idx="278">
                  <c:v>753.85050000000001</c:v>
                </c:pt>
                <c:pt idx="279">
                  <c:v>745.50749999999994</c:v>
                </c:pt>
                <c:pt idx="280">
                  <c:v>737.43000000000006</c:v>
                </c:pt>
                <c:pt idx="281">
                  <c:v>730.10249999999996</c:v>
                </c:pt>
                <c:pt idx="282">
                  <c:v>723.06600000000003</c:v>
                </c:pt>
                <c:pt idx="283">
                  <c:v>716.52149999999995</c:v>
                </c:pt>
                <c:pt idx="284">
                  <c:v>710.75249999999994</c:v>
                </c:pt>
                <c:pt idx="285">
                  <c:v>705.01499999999999</c:v>
                </c:pt>
                <c:pt idx="286">
                  <c:v>699.78</c:v>
                </c:pt>
                <c:pt idx="287">
                  <c:v>694.71449999999993</c:v>
                </c:pt>
                <c:pt idx="288">
                  <c:v>690.11249999999995</c:v>
                </c:pt>
                <c:pt idx="289">
                  <c:v>685.428</c:v>
                </c:pt>
                <c:pt idx="290">
                  <c:v>680.60849999999994</c:v>
                </c:pt>
                <c:pt idx="291">
                  <c:v>675.12149999999997</c:v>
                </c:pt>
                <c:pt idx="292">
                  <c:v>668.96100000000001</c:v>
                </c:pt>
                <c:pt idx="293">
                  <c:v>663.37950000000001</c:v>
                </c:pt>
                <c:pt idx="294">
                  <c:v>657.88049999999998</c:v>
                </c:pt>
                <c:pt idx="295">
                  <c:v>652.63499999999999</c:v>
                </c:pt>
                <c:pt idx="296">
                  <c:v>648.14099999999996</c:v>
                </c:pt>
                <c:pt idx="297">
                  <c:v>643.39649999999995</c:v>
                </c:pt>
                <c:pt idx="298">
                  <c:v>639.06299999999999</c:v>
                </c:pt>
                <c:pt idx="299">
                  <c:v>634.70249999999999</c:v>
                </c:pt>
                <c:pt idx="300">
                  <c:v>630.73800000000006</c:v>
                </c:pt>
                <c:pt idx="301">
                  <c:v>626.7645</c:v>
                </c:pt>
                <c:pt idx="302">
                  <c:v>622.86599999999999</c:v>
                </c:pt>
                <c:pt idx="303">
                  <c:v>619.23900000000003</c:v>
                </c:pt>
                <c:pt idx="304">
                  <c:v>615.471</c:v>
                </c:pt>
                <c:pt idx="305">
                  <c:v>612.03600000000006</c:v>
                </c:pt>
                <c:pt idx="306">
                  <c:v>608.54849999999999</c:v>
                </c:pt>
                <c:pt idx="307">
                  <c:v>605.19299999999998</c:v>
                </c:pt>
                <c:pt idx="308">
                  <c:v>602.26049999999998</c:v>
                </c:pt>
                <c:pt idx="309">
                  <c:v>599.1690000000001</c:v>
                </c:pt>
                <c:pt idx="310">
                  <c:v>596.23950000000002</c:v>
                </c:pt>
                <c:pt idx="311">
                  <c:v>593.38049999999998</c:v>
                </c:pt>
                <c:pt idx="312">
                  <c:v>590.67450000000008</c:v>
                </c:pt>
                <c:pt idx="313">
                  <c:v>587.99250000000006</c:v>
                </c:pt>
                <c:pt idx="314">
                  <c:v>585.44100000000003</c:v>
                </c:pt>
                <c:pt idx="315">
                  <c:v>583.05600000000004</c:v>
                </c:pt>
                <c:pt idx="316">
                  <c:v>580.74</c:v>
                </c:pt>
                <c:pt idx="317">
                  <c:v>578.53949999999998</c:v>
                </c:pt>
                <c:pt idx="318">
                  <c:v>576.36899999999991</c:v>
                </c:pt>
                <c:pt idx="319">
                  <c:v>574.24199999999996</c:v>
                </c:pt>
                <c:pt idx="320">
                  <c:v>572.38799999999992</c:v>
                </c:pt>
                <c:pt idx="321">
                  <c:v>570.32100000000003</c:v>
                </c:pt>
                <c:pt idx="322">
                  <c:v>568.4085</c:v>
                </c:pt>
                <c:pt idx="323">
                  <c:v>566.42250000000001</c:v>
                </c:pt>
                <c:pt idx="324">
                  <c:v>564.55050000000006</c:v>
                </c:pt>
                <c:pt idx="325">
                  <c:v>562.59449999999993</c:v>
                </c:pt>
                <c:pt idx="326">
                  <c:v>560.68049999999994</c:v>
                </c:pt>
                <c:pt idx="327">
                  <c:v>558.81299999999999</c:v>
                </c:pt>
                <c:pt idx="328">
                  <c:v>556.90049999999997</c:v>
                </c:pt>
                <c:pt idx="329">
                  <c:v>555.10199999999998</c:v>
                </c:pt>
                <c:pt idx="330">
                  <c:v>553.23900000000003</c:v>
                </c:pt>
                <c:pt idx="331">
                  <c:v>551.41949999999997</c:v>
                </c:pt>
                <c:pt idx="332">
                  <c:v>549.69450000000006</c:v>
                </c:pt>
                <c:pt idx="333">
                  <c:v>547.875</c:v>
                </c:pt>
                <c:pt idx="334">
                  <c:v>546.16650000000004</c:v>
                </c:pt>
                <c:pt idx="335">
                  <c:v>544.33050000000003</c:v>
                </c:pt>
                <c:pt idx="336">
                  <c:v>542.60249999999996</c:v>
                </c:pt>
                <c:pt idx="337">
                  <c:v>540.83399999999995</c:v>
                </c:pt>
                <c:pt idx="338">
                  <c:v>539.0385</c:v>
                </c:pt>
                <c:pt idx="339">
                  <c:v>537.32849999999996</c:v>
                </c:pt>
                <c:pt idx="340">
                  <c:v>535.51800000000003</c:v>
                </c:pt>
                <c:pt idx="341">
                  <c:v>533.64300000000003</c:v>
                </c:pt>
                <c:pt idx="342">
                  <c:v>531.17099999999994</c:v>
                </c:pt>
                <c:pt idx="343">
                  <c:v>528.78449999999998</c:v>
                </c:pt>
                <c:pt idx="344">
                  <c:v>526.6635</c:v>
                </c:pt>
                <c:pt idx="345">
                  <c:v>524.34300000000007</c:v>
                </c:pt>
                <c:pt idx="346">
                  <c:v>522.19200000000001</c:v>
                </c:pt>
                <c:pt idx="347">
                  <c:v>519.97199999999998</c:v>
                </c:pt>
                <c:pt idx="348">
                  <c:v>517.89599999999996</c:v>
                </c:pt>
                <c:pt idx="349">
                  <c:v>515.81399999999996</c:v>
                </c:pt>
                <c:pt idx="350">
                  <c:v>513.73500000000001</c:v>
                </c:pt>
                <c:pt idx="351">
                  <c:v>511.767</c:v>
                </c:pt>
                <c:pt idx="352">
                  <c:v>509.76599999999996</c:v>
                </c:pt>
                <c:pt idx="353">
                  <c:v>507.81299999999999</c:v>
                </c:pt>
                <c:pt idx="354">
                  <c:v>505.86750000000001</c:v>
                </c:pt>
                <c:pt idx="355">
                  <c:v>503.90699999999998</c:v>
                </c:pt>
                <c:pt idx="356">
                  <c:v>502.15350000000001</c:v>
                </c:pt>
                <c:pt idx="357">
                  <c:v>500.31450000000001</c:v>
                </c:pt>
                <c:pt idx="358">
                  <c:v>498.55949999999996</c:v>
                </c:pt>
                <c:pt idx="359">
                  <c:v>496.7235</c:v>
                </c:pt>
                <c:pt idx="360">
                  <c:v>495.06899999999996</c:v>
                </c:pt>
                <c:pt idx="361">
                  <c:v>493.32149999999996</c:v>
                </c:pt>
                <c:pt idx="362">
                  <c:v>491.62049999999999</c:v>
                </c:pt>
                <c:pt idx="363">
                  <c:v>489.99</c:v>
                </c:pt>
                <c:pt idx="364">
                  <c:v>488.40750000000003</c:v>
                </c:pt>
                <c:pt idx="365">
                  <c:v>486.76800000000003</c:v>
                </c:pt>
                <c:pt idx="366">
                  <c:v>485.19450000000006</c:v>
                </c:pt>
                <c:pt idx="367">
                  <c:v>483.58799999999997</c:v>
                </c:pt>
                <c:pt idx="368">
                  <c:v>482.19450000000006</c:v>
                </c:pt>
                <c:pt idx="369">
                  <c:v>480.6585</c:v>
                </c:pt>
                <c:pt idx="370">
                  <c:v>479.24850000000004</c:v>
                </c:pt>
                <c:pt idx="371">
                  <c:v>477.68100000000004</c:v>
                </c:pt>
                <c:pt idx="372">
                  <c:v>476.26949999999999</c:v>
                </c:pt>
                <c:pt idx="373">
                  <c:v>474.798</c:v>
                </c:pt>
                <c:pt idx="374">
                  <c:v>473.38049999999998</c:v>
                </c:pt>
                <c:pt idx="375">
                  <c:v>471.92399999999998</c:v>
                </c:pt>
                <c:pt idx="376">
                  <c:v>470.5455</c:v>
                </c:pt>
                <c:pt idx="377">
                  <c:v>469.14</c:v>
                </c:pt>
                <c:pt idx="378">
                  <c:v>467.80500000000001</c:v>
                </c:pt>
                <c:pt idx="379">
                  <c:v>466.43400000000003</c:v>
                </c:pt>
                <c:pt idx="380">
                  <c:v>465.1635</c:v>
                </c:pt>
                <c:pt idx="381">
                  <c:v>463.78800000000001</c:v>
                </c:pt>
                <c:pt idx="382">
                  <c:v>462.59700000000004</c:v>
                </c:pt>
                <c:pt idx="383">
                  <c:v>461.23649999999998</c:v>
                </c:pt>
                <c:pt idx="384">
                  <c:v>460.0095</c:v>
                </c:pt>
                <c:pt idx="385">
                  <c:v>458.733</c:v>
                </c:pt>
                <c:pt idx="386">
                  <c:v>457.40999999999997</c:v>
                </c:pt>
                <c:pt idx="387">
                  <c:v>456.20100000000002</c:v>
                </c:pt>
                <c:pt idx="388">
                  <c:v>454.95150000000001</c:v>
                </c:pt>
                <c:pt idx="389">
                  <c:v>453.61349999999999</c:v>
                </c:pt>
                <c:pt idx="390">
                  <c:v>452.40000000000003</c:v>
                </c:pt>
                <c:pt idx="391">
                  <c:v>451.125</c:v>
                </c:pt>
                <c:pt idx="392">
                  <c:v>449.91600000000005</c:v>
                </c:pt>
                <c:pt idx="393">
                  <c:v>448.66800000000001</c:v>
                </c:pt>
                <c:pt idx="394">
                  <c:v>447.36300000000006</c:v>
                </c:pt>
                <c:pt idx="395">
                  <c:v>446.21100000000001</c:v>
                </c:pt>
                <c:pt idx="396">
                  <c:v>444.87299999999999</c:v>
                </c:pt>
                <c:pt idx="397">
                  <c:v>443.61149999999998</c:v>
                </c:pt>
                <c:pt idx="398">
                  <c:v>442.42949999999996</c:v>
                </c:pt>
                <c:pt idx="399">
                  <c:v>441.06450000000001</c:v>
                </c:pt>
                <c:pt idx="400">
                  <c:v>439.92599999999999</c:v>
                </c:pt>
                <c:pt idx="401">
                  <c:v>438.62250000000006</c:v>
                </c:pt>
                <c:pt idx="402">
                  <c:v>437.37450000000001</c:v>
                </c:pt>
                <c:pt idx="403">
                  <c:v>436.14600000000002</c:v>
                </c:pt>
                <c:pt idx="404">
                  <c:v>435.00600000000003</c:v>
                </c:pt>
                <c:pt idx="405">
                  <c:v>433.7355</c:v>
                </c:pt>
                <c:pt idx="406">
                  <c:v>432.56850000000003</c:v>
                </c:pt>
                <c:pt idx="407">
                  <c:v>431.27850000000001</c:v>
                </c:pt>
                <c:pt idx="408">
                  <c:v>430.029</c:v>
                </c:pt>
                <c:pt idx="409">
                  <c:v>428.82149999999996</c:v>
                </c:pt>
                <c:pt idx="410">
                  <c:v>427.54499999999996</c:v>
                </c:pt>
                <c:pt idx="411">
                  <c:v>426.36750000000001</c:v>
                </c:pt>
                <c:pt idx="412">
                  <c:v>425.13599999999997</c:v>
                </c:pt>
                <c:pt idx="413">
                  <c:v>423.92550000000006</c:v>
                </c:pt>
                <c:pt idx="414">
                  <c:v>422.82</c:v>
                </c:pt>
                <c:pt idx="415">
                  <c:v>421.54349999999999</c:v>
                </c:pt>
                <c:pt idx="416">
                  <c:v>420.5145</c:v>
                </c:pt>
                <c:pt idx="417">
                  <c:v>419.37</c:v>
                </c:pt>
                <c:pt idx="418">
                  <c:v>418.26150000000001</c:v>
                </c:pt>
                <c:pt idx="419">
                  <c:v>417.10199999999998</c:v>
                </c:pt>
                <c:pt idx="420">
                  <c:v>416.01599999999996</c:v>
                </c:pt>
                <c:pt idx="421">
                  <c:v>414.88200000000006</c:v>
                </c:pt>
                <c:pt idx="422">
                  <c:v>413.74799999999999</c:v>
                </c:pt>
                <c:pt idx="423">
                  <c:v>412.69499999999999</c:v>
                </c:pt>
                <c:pt idx="424">
                  <c:v>411.57449999999994</c:v>
                </c:pt>
                <c:pt idx="425">
                  <c:v>410.54699999999997</c:v>
                </c:pt>
                <c:pt idx="426">
                  <c:v>409.49399999999997</c:v>
                </c:pt>
                <c:pt idx="427">
                  <c:v>408.40800000000002</c:v>
                </c:pt>
                <c:pt idx="428">
                  <c:v>407.42850000000004</c:v>
                </c:pt>
                <c:pt idx="429">
                  <c:v>406.32900000000006</c:v>
                </c:pt>
                <c:pt idx="430">
                  <c:v>405.37049999999999</c:v>
                </c:pt>
                <c:pt idx="431">
                  <c:v>404.25</c:v>
                </c:pt>
                <c:pt idx="432">
                  <c:v>403.27200000000005</c:v>
                </c:pt>
                <c:pt idx="433">
                  <c:v>402.17099999999994</c:v>
                </c:pt>
                <c:pt idx="434">
                  <c:v>401.13149999999996</c:v>
                </c:pt>
                <c:pt idx="435">
                  <c:v>400.14600000000002</c:v>
                </c:pt>
                <c:pt idx="436">
                  <c:v>399.14700000000005</c:v>
                </c:pt>
                <c:pt idx="437">
                  <c:v>398.19299999999998</c:v>
                </c:pt>
                <c:pt idx="438">
                  <c:v>397.161</c:v>
                </c:pt>
                <c:pt idx="439">
                  <c:v>396.12150000000003</c:v>
                </c:pt>
                <c:pt idx="440">
                  <c:v>395.24549999999999</c:v>
                </c:pt>
                <c:pt idx="441">
                  <c:v>394.27949999999998</c:v>
                </c:pt>
                <c:pt idx="442">
                  <c:v>393.26099999999997</c:v>
                </c:pt>
                <c:pt idx="443">
                  <c:v>392.3895</c:v>
                </c:pt>
                <c:pt idx="444">
                  <c:v>391.26</c:v>
                </c:pt>
                <c:pt idx="445">
                  <c:v>390.16800000000001</c:v>
                </c:pt>
                <c:pt idx="446">
                  <c:v>389.03399999999999</c:v>
                </c:pt>
                <c:pt idx="447">
                  <c:v>387.98849999999999</c:v>
                </c:pt>
                <c:pt idx="448">
                  <c:v>386.8605</c:v>
                </c:pt>
                <c:pt idx="449">
                  <c:v>385.88850000000002</c:v>
                </c:pt>
                <c:pt idx="450">
                  <c:v>384.78150000000005</c:v>
                </c:pt>
                <c:pt idx="451">
                  <c:v>383.74200000000002</c:v>
                </c:pt>
                <c:pt idx="452">
                  <c:v>382.74299999999999</c:v>
                </c:pt>
                <c:pt idx="453">
                  <c:v>381.80399999999997</c:v>
                </c:pt>
                <c:pt idx="454">
                  <c:v>380.81099999999998</c:v>
                </c:pt>
                <c:pt idx="455">
                  <c:v>379.72500000000002</c:v>
                </c:pt>
                <c:pt idx="456">
                  <c:v>378.80849999999998</c:v>
                </c:pt>
                <c:pt idx="457">
                  <c:v>377.7405</c:v>
                </c:pt>
                <c:pt idx="458">
                  <c:v>376.84350000000001</c:v>
                </c:pt>
                <c:pt idx="459">
                  <c:v>375.78149999999999</c:v>
                </c:pt>
                <c:pt idx="460">
                  <c:v>374.85750000000002</c:v>
                </c:pt>
                <c:pt idx="461">
                  <c:v>373.97399999999999</c:v>
                </c:pt>
                <c:pt idx="462">
                  <c:v>372.96750000000003</c:v>
                </c:pt>
                <c:pt idx="463">
                  <c:v>371.976</c:v>
                </c:pt>
                <c:pt idx="464">
                  <c:v>371.23349999999999</c:v>
                </c:pt>
                <c:pt idx="465">
                  <c:v>370.27499999999998</c:v>
                </c:pt>
                <c:pt idx="466">
                  <c:v>369.43349999999998</c:v>
                </c:pt>
                <c:pt idx="467">
                  <c:v>368.47949999999997</c:v>
                </c:pt>
                <c:pt idx="468">
                  <c:v>367.6755</c:v>
                </c:pt>
                <c:pt idx="469">
                  <c:v>366.77850000000001</c:v>
                </c:pt>
                <c:pt idx="470">
                  <c:v>365.83350000000002</c:v>
                </c:pt>
                <c:pt idx="471">
                  <c:v>365.0385</c:v>
                </c:pt>
                <c:pt idx="472">
                  <c:v>364.13249999999999</c:v>
                </c:pt>
                <c:pt idx="473">
                  <c:v>363.28199999999998</c:v>
                </c:pt>
                <c:pt idx="474">
                  <c:v>362.43</c:v>
                </c:pt>
                <c:pt idx="475">
                  <c:v>361.6275</c:v>
                </c:pt>
                <c:pt idx="476">
                  <c:v>360.70499999999998</c:v>
                </c:pt>
                <c:pt idx="477">
                  <c:v>359.92649999999998</c:v>
                </c:pt>
                <c:pt idx="478">
                  <c:v>277.48950000000002</c:v>
                </c:pt>
                <c:pt idx="479">
                  <c:v>296.41800000000001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D5-4B7A-A185-BA3C3DDB3E54}"/>
            </c:ext>
          </c:extLst>
        </c:ser>
        <c:ser>
          <c:idx val="1"/>
          <c:order val="1"/>
          <c:tx>
            <c:strRef>
              <c:f>'FPSO1 Base'!$D$2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Base'!$D$3:$D$730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748.83</c:v>
                </c:pt>
                <c:pt idx="34">
                  <c:v>1152.7215000000001</c:v>
                </c:pt>
                <c:pt idx="35">
                  <c:v>1032.1244999999999</c:v>
                </c:pt>
                <c:pt idx="36">
                  <c:v>914.77049999999997</c:v>
                </c:pt>
                <c:pt idx="37">
                  <c:v>840.21749999999997</c:v>
                </c:pt>
                <c:pt idx="38">
                  <c:v>767.24699999999996</c:v>
                </c:pt>
                <c:pt idx="39">
                  <c:v>706.29899999999998</c:v>
                </c:pt>
                <c:pt idx="40">
                  <c:v>663.73950000000002</c:v>
                </c:pt>
                <c:pt idx="41">
                  <c:v>628.31999999999994</c:v>
                </c:pt>
                <c:pt idx="42">
                  <c:v>594.69150000000002</c:v>
                </c:pt>
                <c:pt idx="43">
                  <c:v>588.18149999999991</c:v>
                </c:pt>
                <c:pt idx="44">
                  <c:v>561.37649999999996</c:v>
                </c:pt>
                <c:pt idx="45">
                  <c:v>539.28749999999991</c:v>
                </c:pt>
                <c:pt idx="46">
                  <c:v>519.66600000000005</c:v>
                </c:pt>
                <c:pt idx="47">
                  <c:v>503.84700000000004</c:v>
                </c:pt>
                <c:pt idx="48">
                  <c:v>486.82800000000003</c:v>
                </c:pt>
                <c:pt idx="49">
                  <c:v>472.84950000000003</c:v>
                </c:pt>
                <c:pt idx="50">
                  <c:v>458.31899999999996</c:v>
                </c:pt>
                <c:pt idx="51">
                  <c:v>445.899</c:v>
                </c:pt>
                <c:pt idx="52">
                  <c:v>432.51900000000001</c:v>
                </c:pt>
                <c:pt idx="53">
                  <c:v>418.20000000000005</c:v>
                </c:pt>
                <c:pt idx="54">
                  <c:v>408.822</c:v>
                </c:pt>
                <c:pt idx="55">
                  <c:v>387.30900000000003</c:v>
                </c:pt>
                <c:pt idx="56">
                  <c:v>376.923</c:v>
                </c:pt>
                <c:pt idx="57">
                  <c:v>366.03300000000002</c:v>
                </c:pt>
                <c:pt idx="58">
                  <c:v>357.94650000000001</c:v>
                </c:pt>
                <c:pt idx="59">
                  <c:v>350.12099999999998</c:v>
                </c:pt>
                <c:pt idx="60">
                  <c:v>343.5915</c:v>
                </c:pt>
                <c:pt idx="61">
                  <c:v>338.745</c:v>
                </c:pt>
                <c:pt idx="62">
                  <c:v>331.89300000000003</c:v>
                </c:pt>
                <c:pt idx="63">
                  <c:v>328.05149999999998</c:v>
                </c:pt>
                <c:pt idx="64">
                  <c:v>323.12850000000003</c:v>
                </c:pt>
                <c:pt idx="65">
                  <c:v>318.1635</c:v>
                </c:pt>
                <c:pt idx="66">
                  <c:v>315.15449999999998</c:v>
                </c:pt>
                <c:pt idx="67">
                  <c:v>311.28000000000003</c:v>
                </c:pt>
                <c:pt idx="68">
                  <c:v>308.70299999999997</c:v>
                </c:pt>
                <c:pt idx="69">
                  <c:v>305.56200000000001</c:v>
                </c:pt>
                <c:pt idx="70">
                  <c:v>302.85599999999999</c:v>
                </c:pt>
                <c:pt idx="71">
                  <c:v>300.02100000000002</c:v>
                </c:pt>
                <c:pt idx="72">
                  <c:v>297.13200000000001</c:v>
                </c:pt>
                <c:pt idx="73">
                  <c:v>294.39749999999998</c:v>
                </c:pt>
                <c:pt idx="74">
                  <c:v>291.78750000000002</c:v>
                </c:pt>
                <c:pt idx="75">
                  <c:v>289.46550000000002</c:v>
                </c:pt>
                <c:pt idx="76">
                  <c:v>287.23950000000002</c:v>
                </c:pt>
                <c:pt idx="77">
                  <c:v>284.5575</c:v>
                </c:pt>
                <c:pt idx="78">
                  <c:v>282.23099999999999</c:v>
                </c:pt>
                <c:pt idx="79">
                  <c:v>277.50450000000001</c:v>
                </c:pt>
                <c:pt idx="80">
                  <c:v>274.55399999999997</c:v>
                </c:pt>
                <c:pt idx="81">
                  <c:v>272.27249999999998</c:v>
                </c:pt>
                <c:pt idx="82">
                  <c:v>269.8245</c:v>
                </c:pt>
                <c:pt idx="83">
                  <c:v>267.59399999999999</c:v>
                </c:pt>
                <c:pt idx="84">
                  <c:v>265.29599999999999</c:v>
                </c:pt>
                <c:pt idx="85">
                  <c:v>263.43599999999998</c:v>
                </c:pt>
                <c:pt idx="86">
                  <c:v>260.8125</c:v>
                </c:pt>
                <c:pt idx="87">
                  <c:v>257.88600000000002</c:v>
                </c:pt>
                <c:pt idx="88">
                  <c:v>256.17</c:v>
                </c:pt>
                <c:pt idx="89">
                  <c:v>253.88249999999999</c:v>
                </c:pt>
                <c:pt idx="90">
                  <c:v>251.37450000000001</c:v>
                </c:pt>
                <c:pt idx="91">
                  <c:v>248.25599999999997</c:v>
                </c:pt>
                <c:pt idx="92">
                  <c:v>246.40949999999998</c:v>
                </c:pt>
                <c:pt idx="93">
                  <c:v>244.65300000000002</c:v>
                </c:pt>
                <c:pt idx="94">
                  <c:v>243.29850000000002</c:v>
                </c:pt>
                <c:pt idx="95">
                  <c:v>241.12050000000002</c:v>
                </c:pt>
                <c:pt idx="96">
                  <c:v>239.83199999999999</c:v>
                </c:pt>
                <c:pt idx="97">
                  <c:v>237.54149999999998</c:v>
                </c:pt>
                <c:pt idx="98">
                  <c:v>235.899</c:v>
                </c:pt>
                <c:pt idx="99">
                  <c:v>234.30149999999998</c:v>
                </c:pt>
                <c:pt idx="100">
                  <c:v>232.76850000000002</c:v>
                </c:pt>
                <c:pt idx="101">
                  <c:v>231.21299999999999</c:v>
                </c:pt>
                <c:pt idx="102">
                  <c:v>229.74450000000002</c:v>
                </c:pt>
                <c:pt idx="103">
                  <c:v>225.04199999999997</c:v>
                </c:pt>
                <c:pt idx="104">
                  <c:v>223.87199999999999</c:v>
                </c:pt>
                <c:pt idx="105">
                  <c:v>222.846</c:v>
                </c:pt>
                <c:pt idx="106">
                  <c:v>221.19150000000002</c:v>
                </c:pt>
                <c:pt idx="107">
                  <c:v>219.92699999999999</c:v>
                </c:pt>
                <c:pt idx="108">
                  <c:v>218.72550000000001</c:v>
                </c:pt>
                <c:pt idx="109">
                  <c:v>217.46999999999997</c:v>
                </c:pt>
                <c:pt idx="110">
                  <c:v>216.10050000000001</c:v>
                </c:pt>
                <c:pt idx="111">
                  <c:v>214.90500000000003</c:v>
                </c:pt>
                <c:pt idx="112">
                  <c:v>213.89099999999999</c:v>
                </c:pt>
                <c:pt idx="113">
                  <c:v>212.58599999999998</c:v>
                </c:pt>
                <c:pt idx="114">
                  <c:v>211.209</c:v>
                </c:pt>
                <c:pt idx="115">
                  <c:v>208.78800000000001</c:v>
                </c:pt>
                <c:pt idx="116">
                  <c:v>207.786</c:v>
                </c:pt>
                <c:pt idx="117">
                  <c:v>206.673</c:v>
                </c:pt>
                <c:pt idx="118">
                  <c:v>205.6155</c:v>
                </c:pt>
                <c:pt idx="119">
                  <c:v>204.46350000000001</c:v>
                </c:pt>
                <c:pt idx="120">
                  <c:v>203.38200000000001</c:v>
                </c:pt>
                <c:pt idx="121">
                  <c:v>202.30199999999999</c:v>
                </c:pt>
                <c:pt idx="122">
                  <c:v>201.23849999999999</c:v>
                </c:pt>
                <c:pt idx="123">
                  <c:v>200.1705</c:v>
                </c:pt>
                <c:pt idx="124">
                  <c:v>199.077</c:v>
                </c:pt>
                <c:pt idx="125">
                  <c:v>198.03449999999998</c:v>
                </c:pt>
                <c:pt idx="126">
                  <c:v>196.99799999999999</c:v>
                </c:pt>
                <c:pt idx="127">
                  <c:v>195.15450000000001</c:v>
                </c:pt>
                <c:pt idx="128">
                  <c:v>194.24849999999998</c:v>
                </c:pt>
                <c:pt idx="129">
                  <c:v>193.2405</c:v>
                </c:pt>
                <c:pt idx="130">
                  <c:v>192.27299999999997</c:v>
                </c:pt>
                <c:pt idx="131">
                  <c:v>191.44499999999999</c:v>
                </c:pt>
                <c:pt idx="132">
                  <c:v>190.2225</c:v>
                </c:pt>
                <c:pt idx="133">
                  <c:v>189.21299999999999</c:v>
                </c:pt>
                <c:pt idx="134">
                  <c:v>188.232</c:v>
                </c:pt>
                <c:pt idx="135">
                  <c:v>187.28100000000001</c:v>
                </c:pt>
                <c:pt idx="136">
                  <c:v>186.3075</c:v>
                </c:pt>
                <c:pt idx="137">
                  <c:v>185.523</c:v>
                </c:pt>
                <c:pt idx="138">
                  <c:v>184.416</c:v>
                </c:pt>
                <c:pt idx="139">
                  <c:v>182.32650000000001</c:v>
                </c:pt>
                <c:pt idx="140">
                  <c:v>181.476</c:v>
                </c:pt>
                <c:pt idx="141">
                  <c:v>180.696</c:v>
                </c:pt>
                <c:pt idx="142">
                  <c:v>179.553</c:v>
                </c:pt>
                <c:pt idx="143">
                  <c:v>178.6515</c:v>
                </c:pt>
                <c:pt idx="144">
                  <c:v>177.79500000000002</c:v>
                </c:pt>
                <c:pt idx="145">
                  <c:v>176.86799999999999</c:v>
                </c:pt>
                <c:pt idx="146">
                  <c:v>175.935</c:v>
                </c:pt>
                <c:pt idx="147">
                  <c:v>175.03649999999999</c:v>
                </c:pt>
                <c:pt idx="148">
                  <c:v>174.1155</c:v>
                </c:pt>
                <c:pt idx="149">
                  <c:v>173.20499999999998</c:v>
                </c:pt>
                <c:pt idx="150">
                  <c:v>172.26149999999998</c:v>
                </c:pt>
                <c:pt idx="151">
                  <c:v>169.54349999999999</c:v>
                </c:pt>
                <c:pt idx="152">
                  <c:v>168.732</c:v>
                </c:pt>
                <c:pt idx="153">
                  <c:v>167.8425</c:v>
                </c:pt>
                <c:pt idx="154">
                  <c:v>166.96799999999999</c:v>
                </c:pt>
                <c:pt idx="155">
                  <c:v>166.047</c:v>
                </c:pt>
                <c:pt idx="156">
                  <c:v>165.17400000000001</c:v>
                </c:pt>
                <c:pt idx="157">
                  <c:v>164.29949999999999</c:v>
                </c:pt>
                <c:pt idx="158">
                  <c:v>163.43700000000001</c:v>
                </c:pt>
                <c:pt idx="159">
                  <c:v>162.6105</c:v>
                </c:pt>
                <c:pt idx="160">
                  <c:v>161.7825</c:v>
                </c:pt>
                <c:pt idx="161">
                  <c:v>161.01</c:v>
                </c:pt>
                <c:pt idx="162">
                  <c:v>160.2225</c:v>
                </c:pt>
                <c:pt idx="163">
                  <c:v>158.56950000000001</c:v>
                </c:pt>
                <c:pt idx="164">
                  <c:v>157.90199999999999</c:v>
                </c:pt>
                <c:pt idx="165">
                  <c:v>157.36500000000001</c:v>
                </c:pt>
                <c:pt idx="166">
                  <c:v>156.6045</c:v>
                </c:pt>
                <c:pt idx="167">
                  <c:v>155.88749999999999</c:v>
                </c:pt>
                <c:pt idx="168">
                  <c:v>155.02949999999998</c:v>
                </c:pt>
                <c:pt idx="169">
                  <c:v>154.36350000000002</c:v>
                </c:pt>
                <c:pt idx="170">
                  <c:v>153.726</c:v>
                </c:pt>
                <c:pt idx="171">
                  <c:v>153.12450000000001</c:v>
                </c:pt>
                <c:pt idx="172">
                  <c:v>152.5095</c:v>
                </c:pt>
                <c:pt idx="173">
                  <c:v>151.83150000000001</c:v>
                </c:pt>
                <c:pt idx="174">
                  <c:v>151.11449999999999</c:v>
                </c:pt>
                <c:pt idx="175">
                  <c:v>150.41849999999999</c:v>
                </c:pt>
                <c:pt idx="176">
                  <c:v>149.76749999999998</c:v>
                </c:pt>
                <c:pt idx="177">
                  <c:v>149.10750000000002</c:v>
                </c:pt>
                <c:pt idx="178">
                  <c:v>148.43700000000001</c:v>
                </c:pt>
                <c:pt idx="179">
                  <c:v>147.74849999999998</c:v>
                </c:pt>
                <c:pt idx="180">
                  <c:v>147.05850000000001</c:v>
                </c:pt>
                <c:pt idx="181">
                  <c:v>146.3655</c:v>
                </c:pt>
                <c:pt idx="182">
                  <c:v>145.6455</c:v>
                </c:pt>
                <c:pt idx="183">
                  <c:v>144.92249999999999</c:v>
                </c:pt>
                <c:pt idx="184">
                  <c:v>144.19200000000001</c:v>
                </c:pt>
                <c:pt idx="185">
                  <c:v>143.48099999999999</c:v>
                </c:pt>
                <c:pt idx="186">
                  <c:v>142.74</c:v>
                </c:pt>
                <c:pt idx="187">
                  <c:v>137.625</c:v>
                </c:pt>
                <c:pt idx="188">
                  <c:v>137.29050000000001</c:v>
                </c:pt>
                <c:pt idx="189">
                  <c:v>136.50150000000002</c:v>
                </c:pt>
                <c:pt idx="190">
                  <c:v>135.828</c:v>
                </c:pt>
                <c:pt idx="191">
                  <c:v>135.13200000000001</c:v>
                </c:pt>
                <c:pt idx="192">
                  <c:v>134.41200000000001</c:v>
                </c:pt>
                <c:pt idx="193">
                  <c:v>133.70250000000001</c:v>
                </c:pt>
                <c:pt idx="194">
                  <c:v>132.97050000000002</c:v>
                </c:pt>
                <c:pt idx="195">
                  <c:v>132.28799999999998</c:v>
                </c:pt>
                <c:pt idx="196">
                  <c:v>131.57550000000001</c:v>
                </c:pt>
                <c:pt idx="197">
                  <c:v>130.89599999999999</c:v>
                </c:pt>
                <c:pt idx="198">
                  <c:v>130.19400000000002</c:v>
                </c:pt>
                <c:pt idx="199">
                  <c:v>129.4965</c:v>
                </c:pt>
                <c:pt idx="200">
                  <c:v>128.89350000000002</c:v>
                </c:pt>
                <c:pt idx="201">
                  <c:v>128.23349999999999</c:v>
                </c:pt>
                <c:pt idx="202">
                  <c:v>127.563</c:v>
                </c:pt>
                <c:pt idx="203">
                  <c:v>126.88649999999998</c:v>
                </c:pt>
                <c:pt idx="204">
                  <c:v>126.27000000000001</c:v>
                </c:pt>
                <c:pt idx="205">
                  <c:v>125.62200000000001</c:v>
                </c:pt>
                <c:pt idx="206">
                  <c:v>124.9725</c:v>
                </c:pt>
                <c:pt idx="207">
                  <c:v>124.34100000000001</c:v>
                </c:pt>
                <c:pt idx="208">
                  <c:v>123.708</c:v>
                </c:pt>
                <c:pt idx="209">
                  <c:v>123.09599999999999</c:v>
                </c:pt>
                <c:pt idx="210">
                  <c:v>122.4915</c:v>
                </c:pt>
                <c:pt idx="211">
                  <c:v>121.90049999999999</c:v>
                </c:pt>
                <c:pt idx="212">
                  <c:v>121.34699999999999</c:v>
                </c:pt>
                <c:pt idx="213">
                  <c:v>120.744</c:v>
                </c:pt>
                <c:pt idx="214">
                  <c:v>120.16650000000001</c:v>
                </c:pt>
                <c:pt idx="215">
                  <c:v>119.57399999999998</c:v>
                </c:pt>
                <c:pt idx="216">
                  <c:v>119.00699999999999</c:v>
                </c:pt>
                <c:pt idx="217">
                  <c:v>118.416</c:v>
                </c:pt>
                <c:pt idx="218">
                  <c:v>117.82499999999999</c:v>
                </c:pt>
                <c:pt idx="219">
                  <c:v>117.285</c:v>
                </c:pt>
                <c:pt idx="220">
                  <c:v>116.703</c:v>
                </c:pt>
                <c:pt idx="221">
                  <c:v>116.14950000000002</c:v>
                </c:pt>
                <c:pt idx="222">
                  <c:v>115.581</c:v>
                </c:pt>
                <c:pt idx="223">
                  <c:v>115.026</c:v>
                </c:pt>
                <c:pt idx="224">
                  <c:v>114.49349999999998</c:v>
                </c:pt>
                <c:pt idx="225">
                  <c:v>113.95050000000001</c:v>
                </c:pt>
                <c:pt idx="226">
                  <c:v>113.40300000000001</c:v>
                </c:pt>
                <c:pt idx="227">
                  <c:v>112.82849999999999</c:v>
                </c:pt>
                <c:pt idx="228">
                  <c:v>112.30500000000001</c:v>
                </c:pt>
                <c:pt idx="229">
                  <c:v>111.76500000000001</c:v>
                </c:pt>
                <c:pt idx="230">
                  <c:v>111.19800000000001</c:v>
                </c:pt>
                <c:pt idx="231">
                  <c:v>110.69400000000002</c:v>
                </c:pt>
                <c:pt idx="232">
                  <c:v>110.1345</c:v>
                </c:pt>
                <c:pt idx="233">
                  <c:v>109.61849999999998</c:v>
                </c:pt>
                <c:pt idx="234">
                  <c:v>109.07250000000001</c:v>
                </c:pt>
                <c:pt idx="235">
                  <c:v>108.55199999999999</c:v>
                </c:pt>
                <c:pt idx="236">
                  <c:v>108.01950000000001</c:v>
                </c:pt>
                <c:pt idx="237">
                  <c:v>107.48850000000002</c:v>
                </c:pt>
                <c:pt idx="238">
                  <c:v>106.96950000000001</c:v>
                </c:pt>
                <c:pt idx="239">
                  <c:v>106.42500000000001</c:v>
                </c:pt>
                <c:pt idx="240">
                  <c:v>105.8835</c:v>
                </c:pt>
                <c:pt idx="241">
                  <c:v>105.351</c:v>
                </c:pt>
                <c:pt idx="242">
                  <c:v>104.79600000000001</c:v>
                </c:pt>
                <c:pt idx="243">
                  <c:v>104.27250000000001</c:v>
                </c:pt>
                <c:pt idx="244">
                  <c:v>103.7325</c:v>
                </c:pt>
                <c:pt idx="245">
                  <c:v>103.19850000000001</c:v>
                </c:pt>
                <c:pt idx="246">
                  <c:v>102.669</c:v>
                </c:pt>
                <c:pt idx="247">
                  <c:v>102.14850000000001</c:v>
                </c:pt>
                <c:pt idx="248">
                  <c:v>101.66250000000001</c:v>
                </c:pt>
                <c:pt idx="249">
                  <c:v>101.15700000000001</c:v>
                </c:pt>
                <c:pt idx="250">
                  <c:v>100.65899999999999</c:v>
                </c:pt>
                <c:pt idx="251">
                  <c:v>100.15350000000001</c:v>
                </c:pt>
                <c:pt idx="252">
                  <c:v>99.670500000000004</c:v>
                </c:pt>
                <c:pt idx="253">
                  <c:v>99.1965</c:v>
                </c:pt>
                <c:pt idx="254">
                  <c:v>98.712000000000018</c:v>
                </c:pt>
                <c:pt idx="255">
                  <c:v>98.218500000000006</c:v>
                </c:pt>
                <c:pt idx="256">
                  <c:v>97.766999999999996</c:v>
                </c:pt>
                <c:pt idx="257">
                  <c:v>97.301999999999992</c:v>
                </c:pt>
                <c:pt idx="258">
                  <c:v>96.834000000000003</c:v>
                </c:pt>
                <c:pt idx="259">
                  <c:v>96.359999999999985</c:v>
                </c:pt>
                <c:pt idx="260">
                  <c:v>95.947500000000005</c:v>
                </c:pt>
                <c:pt idx="261">
                  <c:v>95.486999999999995</c:v>
                </c:pt>
                <c:pt idx="262">
                  <c:v>95.044499999999999</c:v>
                </c:pt>
                <c:pt idx="263">
                  <c:v>94.600499999999997</c:v>
                </c:pt>
                <c:pt idx="264">
                  <c:v>94.165500000000009</c:v>
                </c:pt>
                <c:pt idx="265">
                  <c:v>93.713999999999999</c:v>
                </c:pt>
                <c:pt idx="266">
                  <c:v>93.289500000000004</c:v>
                </c:pt>
                <c:pt idx="267">
                  <c:v>92.858999999999995</c:v>
                </c:pt>
                <c:pt idx="268">
                  <c:v>92.427000000000007</c:v>
                </c:pt>
                <c:pt idx="269">
                  <c:v>92.003999999999991</c:v>
                </c:pt>
                <c:pt idx="270">
                  <c:v>91.57650000000001</c:v>
                </c:pt>
                <c:pt idx="271">
                  <c:v>91.14</c:v>
                </c:pt>
                <c:pt idx="272">
                  <c:v>90.754500000000007</c:v>
                </c:pt>
                <c:pt idx="273">
                  <c:v>90.335999999999999</c:v>
                </c:pt>
                <c:pt idx="274">
                  <c:v>89.929500000000004</c:v>
                </c:pt>
                <c:pt idx="275">
                  <c:v>89.509500000000003</c:v>
                </c:pt>
                <c:pt idx="276">
                  <c:v>89.111999999999995</c:v>
                </c:pt>
                <c:pt idx="277">
                  <c:v>88.823999999999998</c:v>
                </c:pt>
                <c:pt idx="278">
                  <c:v>88.268999999999991</c:v>
                </c:pt>
                <c:pt idx="279">
                  <c:v>87.976500000000001</c:v>
                </c:pt>
                <c:pt idx="280">
                  <c:v>87.453000000000003</c:v>
                </c:pt>
                <c:pt idx="281">
                  <c:v>87.085499999999996</c:v>
                </c:pt>
                <c:pt idx="282">
                  <c:v>86.697000000000003</c:v>
                </c:pt>
                <c:pt idx="283">
                  <c:v>86.306999999999988</c:v>
                </c:pt>
                <c:pt idx="284">
                  <c:v>85.945499999999996</c:v>
                </c:pt>
                <c:pt idx="285">
                  <c:v>85.551000000000002</c:v>
                </c:pt>
                <c:pt idx="286">
                  <c:v>85.180499999999995</c:v>
                </c:pt>
                <c:pt idx="287">
                  <c:v>84.772500000000008</c:v>
                </c:pt>
                <c:pt idx="288">
                  <c:v>84.387</c:v>
                </c:pt>
                <c:pt idx="289">
                  <c:v>83.980500000000006</c:v>
                </c:pt>
                <c:pt idx="290">
                  <c:v>83.602499999999992</c:v>
                </c:pt>
                <c:pt idx="291">
                  <c:v>83.215499999999992</c:v>
                </c:pt>
                <c:pt idx="292">
                  <c:v>82.810500000000005</c:v>
                </c:pt>
                <c:pt idx="293">
                  <c:v>82.445999999999998</c:v>
                </c:pt>
                <c:pt idx="294">
                  <c:v>82.02</c:v>
                </c:pt>
                <c:pt idx="295">
                  <c:v>81.652500000000003</c:v>
                </c:pt>
                <c:pt idx="296">
                  <c:v>81.284999999999997</c:v>
                </c:pt>
                <c:pt idx="297">
                  <c:v>80.908500000000004</c:v>
                </c:pt>
                <c:pt idx="298">
                  <c:v>80.516999999999996</c:v>
                </c:pt>
                <c:pt idx="299">
                  <c:v>80.152500000000003</c:v>
                </c:pt>
                <c:pt idx="300">
                  <c:v>79.772999999999996</c:v>
                </c:pt>
                <c:pt idx="301">
                  <c:v>79.408500000000004</c:v>
                </c:pt>
                <c:pt idx="302">
                  <c:v>79.018500000000003</c:v>
                </c:pt>
                <c:pt idx="303">
                  <c:v>78.661500000000004</c:v>
                </c:pt>
                <c:pt idx="304">
                  <c:v>78.286500000000004</c:v>
                </c:pt>
                <c:pt idx="305">
                  <c:v>77.941499999999991</c:v>
                </c:pt>
                <c:pt idx="306">
                  <c:v>77.566499999999991</c:v>
                </c:pt>
                <c:pt idx="307">
                  <c:v>77.188500000000005</c:v>
                </c:pt>
                <c:pt idx="308">
                  <c:v>76.878</c:v>
                </c:pt>
                <c:pt idx="309">
                  <c:v>76.573499999999996</c:v>
                </c:pt>
                <c:pt idx="310">
                  <c:v>76.147500000000008</c:v>
                </c:pt>
                <c:pt idx="311">
                  <c:v>75.781499999999994</c:v>
                </c:pt>
                <c:pt idx="312">
                  <c:v>75.45150000000001</c:v>
                </c:pt>
                <c:pt idx="313">
                  <c:v>75.097499999999997</c:v>
                </c:pt>
                <c:pt idx="314">
                  <c:v>74.742000000000004</c:v>
                </c:pt>
                <c:pt idx="315">
                  <c:v>74.438999999999993</c:v>
                </c:pt>
                <c:pt idx="316">
                  <c:v>74.092500000000001</c:v>
                </c:pt>
                <c:pt idx="317">
                  <c:v>73.766999999999996</c:v>
                </c:pt>
                <c:pt idx="318">
                  <c:v>73.430999999999997</c:v>
                </c:pt>
                <c:pt idx="319">
                  <c:v>73.100999999999999</c:v>
                </c:pt>
                <c:pt idx="320">
                  <c:v>72.798000000000002</c:v>
                </c:pt>
                <c:pt idx="321">
                  <c:v>72.474000000000004</c:v>
                </c:pt>
                <c:pt idx="322">
                  <c:v>72.143999999999991</c:v>
                </c:pt>
                <c:pt idx="323">
                  <c:v>71.836500000000001</c:v>
                </c:pt>
                <c:pt idx="324">
                  <c:v>71.581499999999991</c:v>
                </c:pt>
                <c:pt idx="325">
                  <c:v>71.162999999999997</c:v>
                </c:pt>
                <c:pt idx="326">
                  <c:v>70.938000000000002</c:v>
                </c:pt>
                <c:pt idx="327">
                  <c:v>70.545000000000002</c:v>
                </c:pt>
                <c:pt idx="328">
                  <c:v>70.3005</c:v>
                </c:pt>
                <c:pt idx="329">
                  <c:v>69.9465</c:v>
                </c:pt>
                <c:pt idx="330">
                  <c:v>69.675000000000011</c:v>
                </c:pt>
                <c:pt idx="331">
                  <c:v>69.272999999999996</c:v>
                </c:pt>
                <c:pt idx="332">
                  <c:v>68.911500000000004</c:v>
                </c:pt>
                <c:pt idx="333">
                  <c:v>68.623500000000007</c:v>
                </c:pt>
                <c:pt idx="334">
                  <c:v>68.359499999999997</c:v>
                </c:pt>
                <c:pt idx="335">
                  <c:v>68.080500000000001</c:v>
                </c:pt>
                <c:pt idx="336">
                  <c:v>67.822500000000005</c:v>
                </c:pt>
                <c:pt idx="337">
                  <c:v>67.524000000000001</c:v>
                </c:pt>
                <c:pt idx="338">
                  <c:v>67.228499999999997</c:v>
                </c:pt>
                <c:pt idx="339">
                  <c:v>66.955500000000001</c:v>
                </c:pt>
                <c:pt idx="340">
                  <c:v>66.697500000000005</c:v>
                </c:pt>
                <c:pt idx="341">
                  <c:v>66.406499999999994</c:v>
                </c:pt>
                <c:pt idx="342">
                  <c:v>66.118499999999997</c:v>
                </c:pt>
                <c:pt idx="343">
                  <c:v>65.858999999999995</c:v>
                </c:pt>
                <c:pt idx="344">
                  <c:v>65.590499999999992</c:v>
                </c:pt>
                <c:pt idx="345">
                  <c:v>65.316000000000003</c:v>
                </c:pt>
                <c:pt idx="346">
                  <c:v>65.038499999999999</c:v>
                </c:pt>
                <c:pt idx="347">
                  <c:v>64.388114999999999</c:v>
                </c:pt>
                <c:pt idx="348">
                  <c:v>63.744233850000001</c:v>
                </c:pt>
                <c:pt idx="349">
                  <c:v>63.106791511499999</c:v>
                </c:pt>
                <c:pt idx="350">
                  <c:v>62.475723596384995</c:v>
                </c:pt>
                <c:pt idx="351">
                  <c:v>61.850966360421147</c:v>
                </c:pt>
                <c:pt idx="352">
                  <c:v>61.232456696816932</c:v>
                </c:pt>
                <c:pt idx="353">
                  <c:v>60.620132129848763</c:v>
                </c:pt>
                <c:pt idx="354">
                  <c:v>60.013930808550278</c:v>
                </c:pt>
                <c:pt idx="355">
                  <c:v>59.413791500464775</c:v>
                </c:pt>
                <c:pt idx="356">
                  <c:v>58.819653585460124</c:v>
                </c:pt>
                <c:pt idx="357">
                  <c:v>58.231457049605524</c:v>
                </c:pt>
                <c:pt idx="358">
                  <c:v>57.649142479109472</c:v>
                </c:pt>
                <c:pt idx="359">
                  <c:v>57.072651054318378</c:v>
                </c:pt>
                <c:pt idx="360">
                  <c:v>56.501924543775196</c:v>
                </c:pt>
                <c:pt idx="361">
                  <c:v>55.936905298337443</c:v>
                </c:pt>
                <c:pt idx="362">
                  <c:v>55.377536245354065</c:v>
                </c:pt>
                <c:pt idx="363">
                  <c:v>54.823760882900523</c:v>
                </c:pt>
                <c:pt idx="364">
                  <c:v>54.275523274071517</c:v>
                </c:pt>
                <c:pt idx="365">
                  <c:v>53.7327680413308</c:v>
                </c:pt>
                <c:pt idx="366">
                  <c:v>53.195440360917495</c:v>
                </c:pt>
                <c:pt idx="367">
                  <c:v>52.663485957308318</c:v>
                </c:pt>
                <c:pt idx="368">
                  <c:v>52.136851097735232</c:v>
                </c:pt>
                <c:pt idx="369">
                  <c:v>51.615482586757878</c:v>
                </c:pt>
                <c:pt idx="370">
                  <c:v>51.099327760890297</c:v>
                </c:pt>
                <c:pt idx="371">
                  <c:v>50.588334483281393</c:v>
                </c:pt>
                <c:pt idx="372">
                  <c:v>50.082451138448576</c:v>
                </c:pt>
                <c:pt idx="373">
                  <c:v>49.58162662706409</c:v>
                </c:pt>
                <c:pt idx="374">
                  <c:v>49.085810360793445</c:v>
                </c:pt>
                <c:pt idx="375">
                  <c:v>48.594952257185511</c:v>
                </c:pt>
                <c:pt idx="376">
                  <c:v>48.109002734613654</c:v>
                </c:pt>
                <c:pt idx="377">
                  <c:v>47.627912707267519</c:v>
                </c:pt>
                <c:pt idx="378">
                  <c:v>47.151633580194847</c:v>
                </c:pt>
                <c:pt idx="379">
                  <c:v>46.680117244392896</c:v>
                </c:pt>
                <c:pt idx="380">
                  <c:v>46.213316071948967</c:v>
                </c:pt>
                <c:pt idx="381">
                  <c:v>45.751182911229478</c:v>
                </c:pt>
                <c:pt idx="382">
                  <c:v>45.293671082117186</c:v>
                </c:pt>
                <c:pt idx="383">
                  <c:v>44.840734371296016</c:v>
                </c:pt>
                <c:pt idx="384">
                  <c:v>44.392327027583057</c:v>
                </c:pt>
                <c:pt idx="385">
                  <c:v>43.948403757307226</c:v>
                </c:pt>
                <c:pt idx="386">
                  <c:v>43.508919719734152</c:v>
                </c:pt>
                <c:pt idx="387">
                  <c:v>43.073830522536809</c:v>
                </c:pt>
                <c:pt idx="388">
                  <c:v>42.643092217311441</c:v>
                </c:pt>
                <c:pt idx="389">
                  <c:v>42.216661295138323</c:v>
                </c:pt>
                <c:pt idx="390">
                  <c:v>41.794494682186937</c:v>
                </c:pt>
                <c:pt idx="391">
                  <c:v>41.376549735365067</c:v>
                </c:pt>
                <c:pt idx="392">
                  <c:v>40.962784238011416</c:v>
                </c:pt>
                <c:pt idx="393">
                  <c:v>40.553156395631298</c:v>
                </c:pt>
                <c:pt idx="394">
                  <c:v>40.147624831674982</c:v>
                </c:pt>
                <c:pt idx="395">
                  <c:v>39.746148583358234</c:v>
                </c:pt>
                <c:pt idx="396">
                  <c:v>39.348687097524653</c:v>
                </c:pt>
                <c:pt idx="397">
                  <c:v>38.955200226549408</c:v>
                </c:pt>
                <c:pt idx="398">
                  <c:v>38.565648224283912</c:v>
                </c:pt>
                <c:pt idx="399">
                  <c:v>38.179991742041075</c:v>
                </c:pt>
                <c:pt idx="400">
                  <c:v>37.798191824620666</c:v>
                </c:pt>
                <c:pt idx="401">
                  <c:v>37.42020990637446</c:v>
                </c:pt>
                <c:pt idx="402">
                  <c:v>37.046007807310716</c:v>
                </c:pt>
                <c:pt idx="403">
                  <c:v>36.675547729237607</c:v>
                </c:pt>
                <c:pt idx="404">
                  <c:v>36.308792251945228</c:v>
                </c:pt>
                <c:pt idx="405">
                  <c:v>35.945704329425773</c:v>
                </c:pt>
                <c:pt idx="406">
                  <c:v>35.586247286131517</c:v>
                </c:pt>
                <c:pt idx="407">
                  <c:v>35.230384813270199</c:v>
                </c:pt>
                <c:pt idx="408">
                  <c:v>34.878080965137499</c:v>
                </c:pt>
                <c:pt idx="409">
                  <c:v>34.529300155486126</c:v>
                </c:pt>
                <c:pt idx="410">
                  <c:v>34.184007153931262</c:v>
                </c:pt>
                <c:pt idx="411">
                  <c:v>33.842167082391946</c:v>
                </c:pt>
                <c:pt idx="412">
                  <c:v>33.503745411568026</c:v>
                </c:pt>
                <c:pt idx="413">
                  <c:v>33.168707957452348</c:v>
                </c:pt>
                <c:pt idx="414">
                  <c:v>32.837020877877826</c:v>
                </c:pt>
                <c:pt idx="415">
                  <c:v>32.508650669099048</c:v>
                </c:pt>
                <c:pt idx="416">
                  <c:v>32.183564162408054</c:v>
                </c:pt>
                <c:pt idx="417">
                  <c:v>31.861728520783974</c:v>
                </c:pt>
                <c:pt idx="418">
                  <c:v>31.543111235576134</c:v>
                </c:pt>
                <c:pt idx="419">
                  <c:v>31.227680123220374</c:v>
                </c:pt>
                <c:pt idx="420">
                  <c:v>30.915403321988169</c:v>
                </c:pt>
                <c:pt idx="421">
                  <c:v>30.606249288768286</c:v>
                </c:pt>
                <c:pt idx="422">
                  <c:v>30.300186795880602</c:v>
                </c:pt>
                <c:pt idx="423">
                  <c:v>29.997184927921797</c:v>
                </c:pt>
                <c:pt idx="424">
                  <c:v>29.69721307864258</c:v>
                </c:pt>
                <c:pt idx="425">
                  <c:v>29.400240947856155</c:v>
                </c:pt>
                <c:pt idx="426">
                  <c:v>29.106238538377593</c:v>
                </c:pt>
                <c:pt idx="427">
                  <c:v>28.815176152993818</c:v>
                </c:pt>
                <c:pt idx="428">
                  <c:v>28.527024391463879</c:v>
                </c:pt>
                <c:pt idx="429">
                  <c:v>28.241754147549241</c:v>
                </c:pt>
                <c:pt idx="430">
                  <c:v>27.959336606073748</c:v>
                </c:pt>
                <c:pt idx="431">
                  <c:v>27.679743240013011</c:v>
                </c:pt>
                <c:pt idx="432">
                  <c:v>27.40294580761288</c:v>
                </c:pt>
                <c:pt idx="433">
                  <c:v>27.128916349536752</c:v>
                </c:pt>
                <c:pt idx="434">
                  <c:v>26.857627186041384</c:v>
                </c:pt>
                <c:pt idx="435">
                  <c:v>26.589050914180969</c:v>
                </c:pt>
                <c:pt idx="436">
                  <c:v>26.323160405039161</c:v>
                </c:pt>
                <c:pt idx="437">
                  <c:v>26.059928800988768</c:v>
                </c:pt>
                <c:pt idx="438">
                  <c:v>25.799329512978879</c:v>
                </c:pt>
                <c:pt idx="439">
                  <c:v>25.541336217849089</c:v>
                </c:pt>
                <c:pt idx="440">
                  <c:v>25.285922855670599</c:v>
                </c:pt>
                <c:pt idx="441">
                  <c:v>25.033063627113894</c:v>
                </c:pt>
                <c:pt idx="442">
                  <c:v>24.782732990842753</c:v>
                </c:pt>
                <c:pt idx="443">
                  <c:v>24.534905660934324</c:v>
                </c:pt>
                <c:pt idx="444">
                  <c:v>24.289556604324982</c:v>
                </c:pt>
                <c:pt idx="445">
                  <c:v>24.046661038281734</c:v>
                </c:pt>
                <c:pt idx="446">
                  <c:v>23.806194427898916</c:v>
                </c:pt>
                <c:pt idx="447">
                  <c:v>23.568132483619927</c:v>
                </c:pt>
                <c:pt idx="448">
                  <c:v>23.332451158783726</c:v>
                </c:pt>
                <c:pt idx="449">
                  <c:v>23.099126647195888</c:v>
                </c:pt>
                <c:pt idx="450">
                  <c:v>22.868135380723928</c:v>
                </c:pt>
                <c:pt idx="451">
                  <c:v>22.639454026916688</c:v>
                </c:pt>
                <c:pt idx="452">
                  <c:v>22.413059486647523</c:v>
                </c:pt>
                <c:pt idx="453">
                  <c:v>22.188928891781046</c:v>
                </c:pt>
                <c:pt idx="454">
                  <c:v>21.967039602863235</c:v>
                </c:pt>
                <c:pt idx="455">
                  <c:v>21.747369206834602</c:v>
                </c:pt>
                <c:pt idx="456">
                  <c:v>21.529895514766256</c:v>
                </c:pt>
                <c:pt idx="457">
                  <c:v>21.314596559618593</c:v>
                </c:pt>
                <c:pt idx="458">
                  <c:v>21.101450594022406</c:v>
                </c:pt>
                <c:pt idx="459">
                  <c:v>20.890436088082183</c:v>
                </c:pt>
                <c:pt idx="460">
                  <c:v>20.68153172720136</c:v>
                </c:pt>
                <c:pt idx="461">
                  <c:v>20.474716409929346</c:v>
                </c:pt>
                <c:pt idx="462">
                  <c:v>20.269969245830051</c:v>
                </c:pt>
                <c:pt idx="463">
                  <c:v>20.067269553371752</c:v>
                </c:pt>
                <c:pt idx="464">
                  <c:v>19.866596857838033</c:v>
                </c:pt>
                <c:pt idx="465">
                  <c:v>19.667930889259651</c:v>
                </c:pt>
                <c:pt idx="466">
                  <c:v>19.471251580367053</c:v>
                </c:pt>
                <c:pt idx="467">
                  <c:v>19.276539064563384</c:v>
                </c:pt>
                <c:pt idx="468">
                  <c:v>19.083773673917751</c:v>
                </c:pt>
                <c:pt idx="469">
                  <c:v>18.892935937178574</c:v>
                </c:pt>
                <c:pt idx="470">
                  <c:v>18.704006577806787</c:v>
                </c:pt>
                <c:pt idx="471">
                  <c:v>18.51696651202872</c:v>
                </c:pt>
                <c:pt idx="472">
                  <c:v>18.331796846908432</c:v>
                </c:pt>
                <c:pt idx="473">
                  <c:v>18.148478878439349</c:v>
                </c:pt>
                <c:pt idx="474">
                  <c:v>17.966994089654953</c:v>
                </c:pt>
                <c:pt idx="475">
                  <c:v>17.787324148758405</c:v>
                </c:pt>
                <c:pt idx="476">
                  <c:v>17.609450907270819</c:v>
                </c:pt>
                <c:pt idx="477">
                  <c:v>17.433356398198111</c:v>
                </c:pt>
                <c:pt idx="478">
                  <c:v>17.259022834216129</c:v>
                </c:pt>
                <c:pt idx="479">
                  <c:v>17.086432605873966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D5-4B7A-A185-BA3C3DDB3E54}"/>
            </c:ext>
          </c:extLst>
        </c:ser>
        <c:ser>
          <c:idx val="2"/>
          <c:order val="2"/>
          <c:tx>
            <c:strRef>
              <c:f>'FPSO1 Base'!$E$2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Base'!$E$3:$E$730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2689.59</c:v>
                </c:pt>
                <c:pt idx="35">
                  <c:v>2203.4700000000003</c:v>
                </c:pt>
                <c:pt idx="36">
                  <c:v>1647.5249999999999</c:v>
                </c:pt>
                <c:pt idx="37">
                  <c:v>1479.3975</c:v>
                </c:pt>
                <c:pt idx="38">
                  <c:v>1401.4335000000001</c:v>
                </c:pt>
                <c:pt idx="39">
                  <c:v>1344.4289999999999</c:v>
                </c:pt>
                <c:pt idx="40">
                  <c:v>1305.99</c:v>
                </c:pt>
                <c:pt idx="41">
                  <c:v>1269.1275000000001</c:v>
                </c:pt>
                <c:pt idx="42">
                  <c:v>1223.4960000000001</c:v>
                </c:pt>
                <c:pt idx="43">
                  <c:v>1191.4950000000001</c:v>
                </c:pt>
                <c:pt idx="44">
                  <c:v>1165.7474999999999</c:v>
                </c:pt>
                <c:pt idx="45">
                  <c:v>1136.6775</c:v>
                </c:pt>
                <c:pt idx="46">
                  <c:v>1095.4965</c:v>
                </c:pt>
                <c:pt idx="47">
                  <c:v>1059.6990000000001</c:v>
                </c:pt>
                <c:pt idx="48">
                  <c:v>1035.7695000000001</c:v>
                </c:pt>
                <c:pt idx="49">
                  <c:v>1019.0175</c:v>
                </c:pt>
                <c:pt idx="50">
                  <c:v>1002.7529999999999</c:v>
                </c:pt>
                <c:pt idx="51">
                  <c:v>985.69200000000001</c:v>
                </c:pt>
                <c:pt idx="52">
                  <c:v>973.2315000000001</c:v>
                </c:pt>
                <c:pt idx="53">
                  <c:v>960.62099999999998</c:v>
                </c:pt>
                <c:pt idx="54">
                  <c:v>941.90699999999993</c:v>
                </c:pt>
                <c:pt idx="55">
                  <c:v>931.173</c:v>
                </c:pt>
                <c:pt idx="56">
                  <c:v>919.48049999999989</c:v>
                </c:pt>
                <c:pt idx="57">
                  <c:v>912.53549999999996</c:v>
                </c:pt>
                <c:pt idx="58">
                  <c:v>905.08800000000008</c:v>
                </c:pt>
                <c:pt idx="59">
                  <c:v>898.71450000000004</c:v>
                </c:pt>
                <c:pt idx="60">
                  <c:v>892.28399999999999</c:v>
                </c:pt>
                <c:pt idx="61">
                  <c:v>886.88400000000001</c:v>
                </c:pt>
                <c:pt idx="62">
                  <c:v>881.86349999999993</c:v>
                </c:pt>
                <c:pt idx="63">
                  <c:v>876.87149999999997</c:v>
                </c:pt>
                <c:pt idx="64">
                  <c:v>872.50650000000007</c:v>
                </c:pt>
                <c:pt idx="65">
                  <c:v>867.93450000000007</c:v>
                </c:pt>
                <c:pt idx="66">
                  <c:v>864.423</c:v>
                </c:pt>
                <c:pt idx="67">
                  <c:v>860.64</c:v>
                </c:pt>
                <c:pt idx="68">
                  <c:v>856.32899999999995</c:v>
                </c:pt>
                <c:pt idx="69">
                  <c:v>852.93450000000007</c:v>
                </c:pt>
                <c:pt idx="70">
                  <c:v>849</c:v>
                </c:pt>
                <c:pt idx="71">
                  <c:v>845.50650000000007</c:v>
                </c:pt>
                <c:pt idx="72">
                  <c:v>841.84649999999999</c:v>
                </c:pt>
                <c:pt idx="73">
                  <c:v>838.46399999999994</c:v>
                </c:pt>
                <c:pt idx="74">
                  <c:v>835.09799999999996</c:v>
                </c:pt>
                <c:pt idx="75">
                  <c:v>831.56850000000009</c:v>
                </c:pt>
                <c:pt idx="76">
                  <c:v>829.22849999999994</c:v>
                </c:pt>
                <c:pt idx="77">
                  <c:v>824.71499999999992</c:v>
                </c:pt>
                <c:pt idx="78">
                  <c:v>821.9369999999999</c:v>
                </c:pt>
                <c:pt idx="79">
                  <c:v>818.24099999999999</c:v>
                </c:pt>
                <c:pt idx="80">
                  <c:v>813.90449999999987</c:v>
                </c:pt>
                <c:pt idx="81">
                  <c:v>810.48450000000003</c:v>
                </c:pt>
                <c:pt idx="82">
                  <c:v>806.55599999999993</c:v>
                </c:pt>
                <c:pt idx="83">
                  <c:v>803.02649999999994</c:v>
                </c:pt>
                <c:pt idx="84">
                  <c:v>799.28699999999992</c:v>
                </c:pt>
                <c:pt idx="85">
                  <c:v>795.87750000000005</c:v>
                </c:pt>
                <c:pt idx="86">
                  <c:v>792.55049999999994</c:v>
                </c:pt>
                <c:pt idx="87">
                  <c:v>789.1244999999999</c:v>
                </c:pt>
                <c:pt idx="88">
                  <c:v>786.09750000000008</c:v>
                </c:pt>
                <c:pt idx="89">
                  <c:v>782.85599999999999</c:v>
                </c:pt>
                <c:pt idx="90">
                  <c:v>776.78250000000003</c:v>
                </c:pt>
                <c:pt idx="91">
                  <c:v>773.64299999999992</c:v>
                </c:pt>
                <c:pt idx="92">
                  <c:v>770.41199999999992</c:v>
                </c:pt>
                <c:pt idx="93">
                  <c:v>767.64300000000003</c:v>
                </c:pt>
                <c:pt idx="94">
                  <c:v>764.55600000000004</c:v>
                </c:pt>
                <c:pt idx="95">
                  <c:v>761.75850000000003</c:v>
                </c:pt>
                <c:pt idx="96">
                  <c:v>758.71199999999999</c:v>
                </c:pt>
                <c:pt idx="97">
                  <c:v>755.85450000000003</c:v>
                </c:pt>
                <c:pt idx="98">
                  <c:v>753.00600000000009</c:v>
                </c:pt>
                <c:pt idx="99">
                  <c:v>750.03749999999991</c:v>
                </c:pt>
                <c:pt idx="100">
                  <c:v>747.303</c:v>
                </c:pt>
                <c:pt idx="101">
                  <c:v>744.33150000000001</c:v>
                </c:pt>
                <c:pt idx="102">
                  <c:v>735.66</c:v>
                </c:pt>
                <c:pt idx="103">
                  <c:v>732.678</c:v>
                </c:pt>
                <c:pt idx="104">
                  <c:v>729.77699999999993</c:v>
                </c:pt>
                <c:pt idx="105">
                  <c:v>727.47</c:v>
                </c:pt>
                <c:pt idx="106">
                  <c:v>724.82549999999992</c:v>
                </c:pt>
                <c:pt idx="107">
                  <c:v>722.40149999999994</c:v>
                </c:pt>
                <c:pt idx="108">
                  <c:v>719.78700000000003</c:v>
                </c:pt>
                <c:pt idx="109">
                  <c:v>717.31499999999994</c:v>
                </c:pt>
                <c:pt idx="110">
                  <c:v>714.84749999999997</c:v>
                </c:pt>
                <c:pt idx="111">
                  <c:v>712.26299999999992</c:v>
                </c:pt>
                <c:pt idx="112">
                  <c:v>709.91700000000003</c:v>
                </c:pt>
                <c:pt idx="113">
                  <c:v>707.44350000000009</c:v>
                </c:pt>
                <c:pt idx="114">
                  <c:v>705.14549999999997</c:v>
                </c:pt>
                <c:pt idx="115">
                  <c:v>702.99149999999997</c:v>
                </c:pt>
                <c:pt idx="116">
                  <c:v>700.47300000000007</c:v>
                </c:pt>
                <c:pt idx="117">
                  <c:v>698.42550000000006</c:v>
                </c:pt>
                <c:pt idx="118">
                  <c:v>696.03150000000005</c:v>
                </c:pt>
                <c:pt idx="119">
                  <c:v>693.85350000000005</c:v>
                </c:pt>
                <c:pt idx="120">
                  <c:v>691.51949999999999</c:v>
                </c:pt>
                <c:pt idx="121">
                  <c:v>689.33399999999995</c:v>
                </c:pt>
                <c:pt idx="122">
                  <c:v>687.1875</c:v>
                </c:pt>
                <c:pt idx="123">
                  <c:v>684.97499999999991</c:v>
                </c:pt>
                <c:pt idx="124">
                  <c:v>682.91700000000003</c:v>
                </c:pt>
                <c:pt idx="125">
                  <c:v>680.67450000000008</c:v>
                </c:pt>
                <c:pt idx="126">
                  <c:v>678.56850000000009</c:v>
                </c:pt>
                <c:pt idx="127">
                  <c:v>676.572</c:v>
                </c:pt>
                <c:pt idx="128">
                  <c:v>674.23050000000001</c:v>
                </c:pt>
                <c:pt idx="129">
                  <c:v>672.33899999999994</c:v>
                </c:pt>
                <c:pt idx="130">
                  <c:v>670.09950000000003</c:v>
                </c:pt>
                <c:pt idx="131">
                  <c:v>668.03250000000003</c:v>
                </c:pt>
                <c:pt idx="132">
                  <c:v>665.77500000000009</c:v>
                </c:pt>
                <c:pt idx="133">
                  <c:v>663.66600000000005</c:v>
                </c:pt>
                <c:pt idx="134">
                  <c:v>661.56000000000006</c:v>
                </c:pt>
                <c:pt idx="135">
                  <c:v>659.36850000000004</c:v>
                </c:pt>
                <c:pt idx="136">
                  <c:v>657.36300000000006</c:v>
                </c:pt>
                <c:pt idx="137">
                  <c:v>655.17450000000008</c:v>
                </c:pt>
                <c:pt idx="138">
                  <c:v>653.11649999999997</c:v>
                </c:pt>
                <c:pt idx="139">
                  <c:v>651.10350000000005</c:v>
                </c:pt>
                <c:pt idx="140">
                  <c:v>648.89850000000001</c:v>
                </c:pt>
                <c:pt idx="141">
                  <c:v>647.93399999999997</c:v>
                </c:pt>
                <c:pt idx="142">
                  <c:v>646.85550000000001</c:v>
                </c:pt>
                <c:pt idx="143">
                  <c:v>645.774</c:v>
                </c:pt>
                <c:pt idx="144">
                  <c:v>644.45699999999999</c:v>
                </c:pt>
                <c:pt idx="145">
                  <c:v>643.08299999999997</c:v>
                </c:pt>
                <c:pt idx="146">
                  <c:v>641.63100000000009</c:v>
                </c:pt>
                <c:pt idx="147">
                  <c:v>640.03800000000001</c:v>
                </c:pt>
                <c:pt idx="148">
                  <c:v>638.53499999999997</c:v>
                </c:pt>
                <c:pt idx="149">
                  <c:v>636.82500000000005</c:v>
                </c:pt>
                <c:pt idx="150">
                  <c:v>630.4905</c:v>
                </c:pt>
                <c:pt idx="151">
                  <c:v>628.64549999999997</c:v>
                </c:pt>
                <c:pt idx="152">
                  <c:v>626.84550000000002</c:v>
                </c:pt>
                <c:pt idx="153">
                  <c:v>625.30649999999991</c:v>
                </c:pt>
                <c:pt idx="154">
                  <c:v>623.44949999999994</c:v>
                </c:pt>
                <c:pt idx="155">
                  <c:v>621.73199999999997</c:v>
                </c:pt>
                <c:pt idx="156">
                  <c:v>619.85550000000001</c:v>
                </c:pt>
                <c:pt idx="157">
                  <c:v>618.03</c:v>
                </c:pt>
                <c:pt idx="158">
                  <c:v>616.18500000000006</c:v>
                </c:pt>
                <c:pt idx="159">
                  <c:v>614.18700000000001</c:v>
                </c:pt>
                <c:pt idx="160">
                  <c:v>612.62850000000003</c:v>
                </c:pt>
                <c:pt idx="161">
                  <c:v>611.38799999999992</c:v>
                </c:pt>
                <c:pt idx="162">
                  <c:v>609.76199999999994</c:v>
                </c:pt>
                <c:pt idx="163">
                  <c:v>608.52750000000003</c:v>
                </c:pt>
                <c:pt idx="164">
                  <c:v>607.16549999999995</c:v>
                </c:pt>
                <c:pt idx="165">
                  <c:v>606.024</c:v>
                </c:pt>
                <c:pt idx="166">
                  <c:v>604.60050000000001</c:v>
                </c:pt>
                <c:pt idx="167">
                  <c:v>603.25350000000003</c:v>
                </c:pt>
                <c:pt idx="168">
                  <c:v>601.63799999999992</c:v>
                </c:pt>
                <c:pt idx="169">
                  <c:v>600.024</c:v>
                </c:pt>
                <c:pt idx="170">
                  <c:v>598.34249999999997</c:v>
                </c:pt>
                <c:pt idx="171">
                  <c:v>596.48700000000008</c:v>
                </c:pt>
                <c:pt idx="172">
                  <c:v>594.73800000000006</c:v>
                </c:pt>
                <c:pt idx="173">
                  <c:v>592.76250000000005</c:v>
                </c:pt>
                <c:pt idx="174">
                  <c:v>590.87850000000003</c:v>
                </c:pt>
                <c:pt idx="175">
                  <c:v>589.08899999999994</c:v>
                </c:pt>
                <c:pt idx="176">
                  <c:v>586.875</c:v>
                </c:pt>
                <c:pt idx="177">
                  <c:v>585.09749999999997</c:v>
                </c:pt>
                <c:pt idx="178">
                  <c:v>583.02449999999999</c:v>
                </c:pt>
                <c:pt idx="179">
                  <c:v>581.10450000000003</c:v>
                </c:pt>
                <c:pt idx="180">
                  <c:v>578.97450000000003</c:v>
                </c:pt>
                <c:pt idx="181">
                  <c:v>576.99149999999997</c:v>
                </c:pt>
                <c:pt idx="182">
                  <c:v>575.00850000000003</c:v>
                </c:pt>
                <c:pt idx="183">
                  <c:v>572.95049999999992</c:v>
                </c:pt>
                <c:pt idx="184">
                  <c:v>571.101</c:v>
                </c:pt>
                <c:pt idx="185">
                  <c:v>569.05050000000006</c:v>
                </c:pt>
                <c:pt idx="186">
                  <c:v>551.31000000000006</c:v>
                </c:pt>
                <c:pt idx="187">
                  <c:v>548.45550000000003</c:v>
                </c:pt>
                <c:pt idx="188">
                  <c:v>546.86699999999996</c:v>
                </c:pt>
                <c:pt idx="189">
                  <c:v>545.39549999999997</c:v>
                </c:pt>
                <c:pt idx="190">
                  <c:v>543.73800000000006</c:v>
                </c:pt>
                <c:pt idx="191">
                  <c:v>542.226</c:v>
                </c:pt>
                <c:pt idx="192">
                  <c:v>540.55050000000006</c:v>
                </c:pt>
                <c:pt idx="193">
                  <c:v>538.91100000000006</c:v>
                </c:pt>
                <c:pt idx="194">
                  <c:v>537.26549999999997</c:v>
                </c:pt>
                <c:pt idx="195">
                  <c:v>535.46250000000009</c:v>
                </c:pt>
                <c:pt idx="196">
                  <c:v>533.84249999999997</c:v>
                </c:pt>
                <c:pt idx="197">
                  <c:v>532.03800000000001</c:v>
                </c:pt>
                <c:pt idx="198">
                  <c:v>530.274</c:v>
                </c:pt>
                <c:pt idx="199">
                  <c:v>528.60450000000003</c:v>
                </c:pt>
                <c:pt idx="200">
                  <c:v>526.5809999999999</c:v>
                </c:pt>
                <c:pt idx="201">
                  <c:v>525.024</c:v>
                </c:pt>
                <c:pt idx="202">
                  <c:v>523.15049999999997</c:v>
                </c:pt>
                <c:pt idx="203">
                  <c:v>521.46749999999997</c:v>
                </c:pt>
                <c:pt idx="204">
                  <c:v>519.61200000000008</c:v>
                </c:pt>
                <c:pt idx="205">
                  <c:v>517.851</c:v>
                </c:pt>
                <c:pt idx="206">
                  <c:v>516.12149999999997</c:v>
                </c:pt>
                <c:pt idx="207">
                  <c:v>514.3125</c:v>
                </c:pt>
                <c:pt idx="208">
                  <c:v>512.68500000000006</c:v>
                </c:pt>
                <c:pt idx="209">
                  <c:v>510.86249999999995</c:v>
                </c:pt>
                <c:pt idx="210">
                  <c:v>509.18999999999994</c:v>
                </c:pt>
                <c:pt idx="211">
                  <c:v>507.59249999999997</c:v>
                </c:pt>
                <c:pt idx="212">
                  <c:v>505.54049999999995</c:v>
                </c:pt>
                <c:pt idx="213">
                  <c:v>503.89050000000003</c:v>
                </c:pt>
                <c:pt idx="214">
                  <c:v>502.00049999999999</c:v>
                </c:pt>
                <c:pt idx="215">
                  <c:v>500.286</c:v>
                </c:pt>
                <c:pt idx="216">
                  <c:v>498.40049999999997</c:v>
                </c:pt>
                <c:pt idx="217">
                  <c:v>496.60949999999997</c:v>
                </c:pt>
                <c:pt idx="218">
                  <c:v>494.86649999999997</c:v>
                </c:pt>
                <c:pt idx="219">
                  <c:v>492.94949999999994</c:v>
                </c:pt>
                <c:pt idx="220">
                  <c:v>491.226</c:v>
                </c:pt>
                <c:pt idx="221">
                  <c:v>489.31200000000001</c:v>
                </c:pt>
                <c:pt idx="222">
                  <c:v>487.59749999999997</c:v>
                </c:pt>
                <c:pt idx="223">
                  <c:v>485.93999999999994</c:v>
                </c:pt>
                <c:pt idx="224">
                  <c:v>483.92399999999998</c:v>
                </c:pt>
                <c:pt idx="225">
                  <c:v>482.298</c:v>
                </c:pt>
                <c:pt idx="226">
                  <c:v>480.40049999999997</c:v>
                </c:pt>
                <c:pt idx="227">
                  <c:v>478.66949999999997</c:v>
                </c:pt>
                <c:pt idx="228">
                  <c:v>476.76299999999998</c:v>
                </c:pt>
                <c:pt idx="229">
                  <c:v>474.97950000000003</c:v>
                </c:pt>
                <c:pt idx="230">
                  <c:v>473.16600000000005</c:v>
                </c:pt>
                <c:pt idx="231">
                  <c:v>471.26250000000005</c:v>
                </c:pt>
                <c:pt idx="232">
                  <c:v>469.524</c:v>
                </c:pt>
                <c:pt idx="233">
                  <c:v>467.625</c:v>
                </c:pt>
                <c:pt idx="234">
                  <c:v>465.84749999999997</c:v>
                </c:pt>
                <c:pt idx="235">
                  <c:v>464.11649999999997</c:v>
                </c:pt>
                <c:pt idx="236">
                  <c:v>462.19350000000003</c:v>
                </c:pt>
                <c:pt idx="237">
                  <c:v>460.23449999999997</c:v>
                </c:pt>
                <c:pt idx="238">
                  <c:v>457.24950000000001</c:v>
                </c:pt>
                <c:pt idx="239">
                  <c:v>454.5</c:v>
                </c:pt>
                <c:pt idx="240">
                  <c:v>451.57500000000005</c:v>
                </c:pt>
                <c:pt idx="241">
                  <c:v>448.86300000000006</c:v>
                </c:pt>
                <c:pt idx="242">
                  <c:v>446.226</c:v>
                </c:pt>
                <c:pt idx="243">
                  <c:v>443.41200000000003</c:v>
                </c:pt>
                <c:pt idx="244">
                  <c:v>440.93999999999994</c:v>
                </c:pt>
                <c:pt idx="245">
                  <c:v>438.22499999999997</c:v>
                </c:pt>
                <c:pt idx="246">
                  <c:v>435.678</c:v>
                </c:pt>
                <c:pt idx="247">
                  <c:v>433.28250000000003</c:v>
                </c:pt>
                <c:pt idx="248">
                  <c:v>430.52699999999993</c:v>
                </c:pt>
                <c:pt idx="249">
                  <c:v>428.34749999999997</c:v>
                </c:pt>
                <c:pt idx="250">
                  <c:v>425.8125</c:v>
                </c:pt>
                <c:pt idx="251">
                  <c:v>423.48449999999997</c:v>
                </c:pt>
                <c:pt idx="252">
                  <c:v>421.00049999999999</c:v>
                </c:pt>
                <c:pt idx="253">
                  <c:v>418.70550000000003</c:v>
                </c:pt>
                <c:pt idx="254">
                  <c:v>416.40750000000003</c:v>
                </c:pt>
                <c:pt idx="255">
                  <c:v>413.97450000000003</c:v>
                </c:pt>
                <c:pt idx="256">
                  <c:v>411.786</c:v>
                </c:pt>
                <c:pt idx="257">
                  <c:v>409.3125</c:v>
                </c:pt>
                <c:pt idx="258">
                  <c:v>406.95899999999995</c:v>
                </c:pt>
                <c:pt idx="259">
                  <c:v>404.78250000000003</c:v>
                </c:pt>
                <c:pt idx="260">
                  <c:v>402.255</c:v>
                </c:pt>
                <c:pt idx="261">
                  <c:v>400.28250000000003</c:v>
                </c:pt>
                <c:pt idx="262">
                  <c:v>397.98749999999995</c:v>
                </c:pt>
                <c:pt idx="263">
                  <c:v>395.89050000000003</c:v>
                </c:pt>
                <c:pt idx="264">
                  <c:v>393.68700000000001</c:v>
                </c:pt>
                <c:pt idx="265">
                  <c:v>391.65750000000003</c:v>
                </c:pt>
                <c:pt idx="266">
                  <c:v>389.70899999999995</c:v>
                </c:pt>
                <c:pt idx="267">
                  <c:v>387.61200000000002</c:v>
                </c:pt>
                <c:pt idx="268">
                  <c:v>385.75349999999997</c:v>
                </c:pt>
                <c:pt idx="269">
                  <c:v>383.73749999999995</c:v>
                </c:pt>
                <c:pt idx="270">
                  <c:v>381.87149999999997</c:v>
                </c:pt>
                <c:pt idx="271">
                  <c:v>380.08050000000003</c:v>
                </c:pt>
                <c:pt idx="272">
                  <c:v>378.01349999999996</c:v>
                </c:pt>
                <c:pt idx="273">
                  <c:v>376.37850000000003</c:v>
                </c:pt>
                <c:pt idx="274">
                  <c:v>374.4375</c:v>
                </c:pt>
                <c:pt idx="275">
                  <c:v>372.666</c:v>
                </c:pt>
                <c:pt idx="276">
                  <c:v>370.81200000000001</c:v>
                </c:pt>
                <c:pt idx="277">
                  <c:v>369.048</c:v>
                </c:pt>
                <c:pt idx="278">
                  <c:v>367.31849999999997</c:v>
                </c:pt>
                <c:pt idx="279">
                  <c:v>365.46299999999997</c:v>
                </c:pt>
                <c:pt idx="280">
                  <c:v>364.173</c:v>
                </c:pt>
                <c:pt idx="281">
                  <c:v>362.4255</c:v>
                </c:pt>
                <c:pt idx="282">
                  <c:v>360.27750000000003</c:v>
                </c:pt>
                <c:pt idx="283">
                  <c:v>358.572</c:v>
                </c:pt>
                <c:pt idx="284">
                  <c:v>356.75400000000002</c:v>
                </c:pt>
                <c:pt idx="285">
                  <c:v>355.185</c:v>
                </c:pt>
                <c:pt idx="286">
                  <c:v>353.50049999999999</c:v>
                </c:pt>
                <c:pt idx="287">
                  <c:v>351.90749999999997</c:v>
                </c:pt>
                <c:pt idx="288">
                  <c:v>350.238</c:v>
                </c:pt>
                <c:pt idx="289">
                  <c:v>389.274</c:v>
                </c:pt>
                <c:pt idx="290">
                  <c:v>391.56000000000006</c:v>
                </c:pt>
                <c:pt idx="291">
                  <c:v>390.21299999999997</c:v>
                </c:pt>
                <c:pt idx="292">
                  <c:v>389.274</c:v>
                </c:pt>
                <c:pt idx="293">
                  <c:v>388.15049999999997</c:v>
                </c:pt>
                <c:pt idx="294">
                  <c:v>387.22950000000003</c:v>
                </c:pt>
                <c:pt idx="295">
                  <c:v>386.35949999999997</c:v>
                </c:pt>
                <c:pt idx="296">
                  <c:v>385.21800000000002</c:v>
                </c:pt>
                <c:pt idx="297">
                  <c:v>384.26550000000003</c:v>
                </c:pt>
                <c:pt idx="298">
                  <c:v>383.0745</c:v>
                </c:pt>
                <c:pt idx="299">
                  <c:v>381.93150000000003</c:v>
                </c:pt>
                <c:pt idx="300">
                  <c:v>380.625</c:v>
                </c:pt>
                <c:pt idx="301">
                  <c:v>379.33050000000003</c:v>
                </c:pt>
                <c:pt idx="302">
                  <c:v>378.012</c:v>
                </c:pt>
                <c:pt idx="303">
                  <c:v>376.52549999999997</c:v>
                </c:pt>
                <c:pt idx="304">
                  <c:v>375.012</c:v>
                </c:pt>
                <c:pt idx="305">
                  <c:v>374.59950000000003</c:v>
                </c:pt>
                <c:pt idx="306">
                  <c:v>374.15250000000003</c:v>
                </c:pt>
                <c:pt idx="307">
                  <c:v>373.161</c:v>
                </c:pt>
                <c:pt idx="308">
                  <c:v>371.6925</c:v>
                </c:pt>
                <c:pt idx="309">
                  <c:v>370.60950000000003</c:v>
                </c:pt>
                <c:pt idx="310">
                  <c:v>369.40049999999997</c:v>
                </c:pt>
                <c:pt idx="311">
                  <c:v>367.75350000000003</c:v>
                </c:pt>
                <c:pt idx="312">
                  <c:v>365.77499999999998</c:v>
                </c:pt>
                <c:pt idx="313">
                  <c:v>364.077</c:v>
                </c:pt>
                <c:pt idx="314">
                  <c:v>362.262</c:v>
                </c:pt>
                <c:pt idx="315">
                  <c:v>360.41250000000002</c:v>
                </c:pt>
                <c:pt idx="316">
                  <c:v>358.75350000000003</c:v>
                </c:pt>
                <c:pt idx="317">
                  <c:v>356.97450000000003</c:v>
                </c:pt>
                <c:pt idx="318">
                  <c:v>355.35449999999997</c:v>
                </c:pt>
                <c:pt idx="319">
                  <c:v>353.94</c:v>
                </c:pt>
                <c:pt idx="320">
                  <c:v>352.1925</c:v>
                </c:pt>
                <c:pt idx="321">
                  <c:v>350.81849999999997</c:v>
                </c:pt>
                <c:pt idx="322">
                  <c:v>349.125</c:v>
                </c:pt>
                <c:pt idx="323">
                  <c:v>347.625</c:v>
                </c:pt>
                <c:pt idx="324">
                  <c:v>346.35</c:v>
                </c:pt>
                <c:pt idx="325">
                  <c:v>344.44349999999997</c:v>
                </c:pt>
                <c:pt idx="326">
                  <c:v>342.85950000000003</c:v>
                </c:pt>
                <c:pt idx="327">
                  <c:v>341.18700000000001</c:v>
                </c:pt>
                <c:pt idx="328">
                  <c:v>339.61649999999997</c:v>
                </c:pt>
                <c:pt idx="329">
                  <c:v>337.887</c:v>
                </c:pt>
                <c:pt idx="330">
                  <c:v>336.303</c:v>
                </c:pt>
                <c:pt idx="331">
                  <c:v>334.76549999999997</c:v>
                </c:pt>
                <c:pt idx="332">
                  <c:v>333.07799999999997</c:v>
                </c:pt>
                <c:pt idx="333">
                  <c:v>331.62149999999997</c:v>
                </c:pt>
                <c:pt idx="334">
                  <c:v>330.02549999999997</c:v>
                </c:pt>
                <c:pt idx="335">
                  <c:v>328.536</c:v>
                </c:pt>
                <c:pt idx="336">
                  <c:v>326.87549999999999</c:v>
                </c:pt>
                <c:pt idx="337">
                  <c:v>325.24649999999997</c:v>
                </c:pt>
                <c:pt idx="338">
                  <c:v>323.673</c:v>
                </c:pt>
                <c:pt idx="339">
                  <c:v>322.02449999999999</c:v>
                </c:pt>
                <c:pt idx="340">
                  <c:v>320.52750000000003</c:v>
                </c:pt>
                <c:pt idx="341">
                  <c:v>318.9255</c:v>
                </c:pt>
                <c:pt idx="342">
                  <c:v>317.39550000000003</c:v>
                </c:pt>
                <c:pt idx="343">
                  <c:v>315.93150000000003</c:v>
                </c:pt>
                <c:pt idx="344">
                  <c:v>314.11649999999997</c:v>
                </c:pt>
                <c:pt idx="345">
                  <c:v>312.62850000000003</c:v>
                </c:pt>
                <c:pt idx="346">
                  <c:v>310.96199999999999</c:v>
                </c:pt>
                <c:pt idx="347">
                  <c:v>309.399</c:v>
                </c:pt>
                <c:pt idx="348">
                  <c:v>307.6755</c:v>
                </c:pt>
                <c:pt idx="349">
                  <c:v>306</c:v>
                </c:pt>
                <c:pt idx="350">
                  <c:v>304.31849999999997</c:v>
                </c:pt>
                <c:pt idx="351">
                  <c:v>302.50049999999999</c:v>
                </c:pt>
                <c:pt idx="352">
                  <c:v>300.84749999999997</c:v>
                </c:pt>
                <c:pt idx="353">
                  <c:v>299.03700000000003</c:v>
                </c:pt>
                <c:pt idx="354">
                  <c:v>297.315</c:v>
                </c:pt>
                <c:pt idx="355">
                  <c:v>295.69349999999997</c:v>
                </c:pt>
                <c:pt idx="356">
                  <c:v>293.71800000000002</c:v>
                </c:pt>
                <c:pt idx="357">
                  <c:v>292.137</c:v>
                </c:pt>
                <c:pt idx="358">
                  <c:v>290.262</c:v>
                </c:pt>
                <c:pt idx="359">
                  <c:v>288.55650000000003</c:v>
                </c:pt>
                <c:pt idx="360">
                  <c:v>286.6995</c:v>
                </c:pt>
                <c:pt idx="361">
                  <c:v>284.952</c:v>
                </c:pt>
                <c:pt idx="362">
                  <c:v>283.197</c:v>
                </c:pt>
                <c:pt idx="363">
                  <c:v>281.39999999999998</c:v>
                </c:pt>
                <c:pt idx="364">
                  <c:v>279.702</c:v>
                </c:pt>
                <c:pt idx="365">
                  <c:v>277.91250000000002</c:v>
                </c:pt>
                <c:pt idx="366">
                  <c:v>276.18150000000003</c:v>
                </c:pt>
                <c:pt idx="367">
                  <c:v>274.56</c:v>
                </c:pt>
                <c:pt idx="368">
                  <c:v>272.625</c:v>
                </c:pt>
                <c:pt idx="369">
                  <c:v>271.053</c:v>
                </c:pt>
                <c:pt idx="370">
                  <c:v>269.238</c:v>
                </c:pt>
                <c:pt idx="371">
                  <c:v>267.52050000000003</c:v>
                </c:pt>
                <c:pt idx="372">
                  <c:v>265.6875</c:v>
                </c:pt>
                <c:pt idx="373">
                  <c:v>263.94</c:v>
                </c:pt>
                <c:pt idx="374">
                  <c:v>262.197</c:v>
                </c:pt>
                <c:pt idx="375">
                  <c:v>260.37450000000001</c:v>
                </c:pt>
                <c:pt idx="376">
                  <c:v>258.678</c:v>
                </c:pt>
                <c:pt idx="377">
                  <c:v>256.83749999999998</c:v>
                </c:pt>
                <c:pt idx="378">
                  <c:v>255.14550000000003</c:v>
                </c:pt>
                <c:pt idx="379">
                  <c:v>253.488</c:v>
                </c:pt>
                <c:pt idx="380">
                  <c:v>251.61150000000004</c:v>
                </c:pt>
                <c:pt idx="381">
                  <c:v>249.96750000000003</c:v>
                </c:pt>
                <c:pt idx="382">
                  <c:v>248.13750000000002</c:v>
                </c:pt>
                <c:pt idx="383">
                  <c:v>246.447</c:v>
                </c:pt>
                <c:pt idx="384">
                  <c:v>244.62450000000001</c:v>
                </c:pt>
                <c:pt idx="385">
                  <c:v>242.928</c:v>
                </c:pt>
                <c:pt idx="386">
                  <c:v>241.2225</c:v>
                </c:pt>
                <c:pt idx="387">
                  <c:v>239.4495</c:v>
                </c:pt>
                <c:pt idx="388">
                  <c:v>237.822</c:v>
                </c:pt>
                <c:pt idx="389">
                  <c:v>236.10000000000002</c:v>
                </c:pt>
                <c:pt idx="390">
                  <c:v>234.459</c:v>
                </c:pt>
                <c:pt idx="391">
                  <c:v>232.935</c:v>
                </c:pt>
                <c:pt idx="392">
                  <c:v>231.17400000000004</c:v>
                </c:pt>
                <c:pt idx="393">
                  <c:v>229.76549999999997</c:v>
                </c:pt>
                <c:pt idx="394">
                  <c:v>228.14999999999998</c:v>
                </c:pt>
                <c:pt idx="395">
                  <c:v>226.68150000000003</c:v>
                </c:pt>
                <c:pt idx="396">
                  <c:v>225.12450000000001</c:v>
                </c:pt>
                <c:pt idx="397">
                  <c:v>223.68150000000003</c:v>
                </c:pt>
                <c:pt idx="398">
                  <c:v>222.22949999999997</c:v>
                </c:pt>
                <c:pt idx="399">
                  <c:v>220.77449999999999</c:v>
                </c:pt>
                <c:pt idx="400">
                  <c:v>219.411</c:v>
                </c:pt>
                <c:pt idx="401">
                  <c:v>217.98749999999998</c:v>
                </c:pt>
                <c:pt idx="402">
                  <c:v>216.6525</c:v>
                </c:pt>
                <c:pt idx="403">
                  <c:v>215.4195</c:v>
                </c:pt>
                <c:pt idx="404">
                  <c:v>214.005</c:v>
                </c:pt>
                <c:pt idx="405">
                  <c:v>212.916</c:v>
                </c:pt>
                <c:pt idx="406">
                  <c:v>211.62450000000001</c:v>
                </c:pt>
                <c:pt idx="407">
                  <c:v>210.435</c:v>
                </c:pt>
                <c:pt idx="408">
                  <c:v>209.16300000000001</c:v>
                </c:pt>
                <c:pt idx="409">
                  <c:v>207.96750000000003</c:v>
                </c:pt>
                <c:pt idx="410">
                  <c:v>206.7945</c:v>
                </c:pt>
                <c:pt idx="411">
                  <c:v>205.57500000000002</c:v>
                </c:pt>
                <c:pt idx="412">
                  <c:v>204.48450000000003</c:v>
                </c:pt>
                <c:pt idx="413">
                  <c:v>203.29949999999997</c:v>
                </c:pt>
                <c:pt idx="414">
                  <c:v>202.209</c:v>
                </c:pt>
                <c:pt idx="415">
                  <c:v>201.2055</c:v>
                </c:pt>
                <c:pt idx="416">
                  <c:v>200.02200000000002</c:v>
                </c:pt>
                <c:pt idx="417">
                  <c:v>199.077</c:v>
                </c:pt>
                <c:pt idx="418">
                  <c:v>198</c:v>
                </c:pt>
                <c:pt idx="419">
                  <c:v>197.0085</c:v>
                </c:pt>
                <c:pt idx="420">
                  <c:v>195.9495</c:v>
                </c:pt>
                <c:pt idx="421">
                  <c:v>194.976</c:v>
                </c:pt>
                <c:pt idx="422">
                  <c:v>193.98450000000003</c:v>
                </c:pt>
                <c:pt idx="423">
                  <c:v>192.98699999999997</c:v>
                </c:pt>
                <c:pt idx="424">
                  <c:v>192.036</c:v>
                </c:pt>
                <c:pt idx="425">
                  <c:v>191.0505</c:v>
                </c:pt>
                <c:pt idx="426">
                  <c:v>190.137</c:v>
                </c:pt>
                <c:pt idx="427">
                  <c:v>189.2175</c:v>
                </c:pt>
                <c:pt idx="428">
                  <c:v>188.19899999999998</c:v>
                </c:pt>
                <c:pt idx="429">
                  <c:v>187.5975</c:v>
                </c:pt>
                <c:pt idx="430">
                  <c:v>186.47549999999998</c:v>
                </c:pt>
                <c:pt idx="431">
                  <c:v>185.613</c:v>
                </c:pt>
                <c:pt idx="432">
                  <c:v>184.72500000000002</c:v>
                </c:pt>
                <c:pt idx="433">
                  <c:v>183.8955</c:v>
                </c:pt>
                <c:pt idx="434">
                  <c:v>183.024</c:v>
                </c:pt>
                <c:pt idx="435">
                  <c:v>182.14950000000002</c:v>
                </c:pt>
                <c:pt idx="436">
                  <c:v>181.3545</c:v>
                </c:pt>
                <c:pt idx="437">
                  <c:v>180.47549999999998</c:v>
                </c:pt>
                <c:pt idx="438">
                  <c:v>179.685</c:v>
                </c:pt>
                <c:pt idx="439">
                  <c:v>178.476</c:v>
                </c:pt>
                <c:pt idx="440">
                  <c:v>176.91899999999998</c:v>
                </c:pt>
                <c:pt idx="441">
                  <c:v>175.7655</c:v>
                </c:pt>
                <c:pt idx="442">
                  <c:v>174.45</c:v>
                </c:pt>
                <c:pt idx="443">
                  <c:v>173.3955</c:v>
                </c:pt>
                <c:pt idx="444">
                  <c:v>172.35000000000002</c:v>
                </c:pt>
                <c:pt idx="445">
                  <c:v>171.363</c:v>
                </c:pt>
                <c:pt idx="446">
                  <c:v>170.4195</c:v>
                </c:pt>
                <c:pt idx="447">
                  <c:v>169.42500000000001</c:v>
                </c:pt>
                <c:pt idx="448">
                  <c:v>168.6045</c:v>
                </c:pt>
                <c:pt idx="449">
                  <c:v>167.625</c:v>
                </c:pt>
                <c:pt idx="450">
                  <c:v>166.7175</c:v>
                </c:pt>
                <c:pt idx="451">
                  <c:v>169.6935</c:v>
                </c:pt>
                <c:pt idx="452">
                  <c:v>169.23149999999998</c:v>
                </c:pt>
                <c:pt idx="453">
                  <c:v>168.6045</c:v>
                </c:pt>
                <c:pt idx="454">
                  <c:v>167.8245</c:v>
                </c:pt>
                <c:pt idx="455">
                  <c:v>167.178</c:v>
                </c:pt>
                <c:pt idx="456">
                  <c:v>166.42500000000001</c:v>
                </c:pt>
                <c:pt idx="457">
                  <c:v>165.774</c:v>
                </c:pt>
                <c:pt idx="458">
                  <c:v>165.1215</c:v>
                </c:pt>
                <c:pt idx="459">
                  <c:v>164.39999999999998</c:v>
                </c:pt>
                <c:pt idx="460">
                  <c:v>163.7415</c:v>
                </c:pt>
                <c:pt idx="461">
                  <c:v>163.09950000000001</c:v>
                </c:pt>
                <c:pt idx="462">
                  <c:v>162.435</c:v>
                </c:pt>
                <c:pt idx="463">
                  <c:v>161.8785</c:v>
                </c:pt>
                <c:pt idx="464">
                  <c:v>161.14350000000002</c:v>
                </c:pt>
                <c:pt idx="465">
                  <c:v>160.6215</c:v>
                </c:pt>
                <c:pt idx="466">
                  <c:v>159.9255</c:v>
                </c:pt>
                <c:pt idx="467">
                  <c:v>159.363</c:v>
                </c:pt>
                <c:pt idx="468">
                  <c:v>158.72549999999998</c:v>
                </c:pt>
                <c:pt idx="469">
                  <c:v>158.1285</c:v>
                </c:pt>
                <c:pt idx="470">
                  <c:v>157.548</c:v>
                </c:pt>
                <c:pt idx="471">
                  <c:v>156.9255</c:v>
                </c:pt>
                <c:pt idx="472">
                  <c:v>156.363</c:v>
                </c:pt>
                <c:pt idx="473">
                  <c:v>154.79937000000001</c:v>
                </c:pt>
                <c:pt idx="474">
                  <c:v>153.2513763</c:v>
                </c:pt>
                <c:pt idx="475">
                  <c:v>151.71886253700001</c:v>
                </c:pt>
                <c:pt idx="476">
                  <c:v>150.20167391163</c:v>
                </c:pt>
                <c:pt idx="477">
                  <c:v>148.6996571725137</c:v>
                </c:pt>
                <c:pt idx="478">
                  <c:v>147.21266060078855</c:v>
                </c:pt>
                <c:pt idx="479">
                  <c:v>145.74053399478066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D5-4B7A-A185-BA3C3DDB3E54}"/>
            </c:ext>
          </c:extLst>
        </c:ser>
        <c:ser>
          <c:idx val="3"/>
          <c:order val="3"/>
          <c:tx>
            <c:strRef>
              <c:f>'FPSO1 Base'!$F$2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Base'!$F$3:$F$730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1537.8899999999999</c:v>
                </c:pt>
                <c:pt idx="36">
                  <c:v>1759.9949999999999</c:v>
                </c:pt>
                <c:pt idx="37">
                  <c:v>1842.9450000000002</c:v>
                </c:pt>
                <c:pt idx="38">
                  <c:v>1931.16</c:v>
                </c:pt>
                <c:pt idx="39">
                  <c:v>2016.4349999999999</c:v>
                </c:pt>
                <c:pt idx="40">
                  <c:v>2074.14</c:v>
                </c:pt>
                <c:pt idx="41">
                  <c:v>2115.8999999999996</c:v>
                </c:pt>
                <c:pt idx="42">
                  <c:v>2099.52</c:v>
                </c:pt>
                <c:pt idx="43">
                  <c:v>2075.145</c:v>
                </c:pt>
                <c:pt idx="44">
                  <c:v>2039.5650000000001</c:v>
                </c:pt>
                <c:pt idx="45">
                  <c:v>1964.4900000000002</c:v>
                </c:pt>
                <c:pt idx="46">
                  <c:v>1875.8849999999998</c:v>
                </c:pt>
                <c:pt idx="47">
                  <c:v>1836.8999999999999</c:v>
                </c:pt>
                <c:pt idx="48">
                  <c:v>1796.91</c:v>
                </c:pt>
                <c:pt idx="49">
                  <c:v>1751.6849999999999</c:v>
                </c:pt>
                <c:pt idx="50">
                  <c:v>1698.03</c:v>
                </c:pt>
                <c:pt idx="51">
                  <c:v>1643.6100000000001</c:v>
                </c:pt>
                <c:pt idx="52">
                  <c:v>1608.6750000000002</c:v>
                </c:pt>
                <c:pt idx="53">
                  <c:v>1576.8000000000002</c:v>
                </c:pt>
                <c:pt idx="54">
                  <c:v>1548.7049999999999</c:v>
                </c:pt>
                <c:pt idx="55">
                  <c:v>1537.29</c:v>
                </c:pt>
                <c:pt idx="56">
                  <c:v>1519.4850000000001</c:v>
                </c:pt>
                <c:pt idx="57">
                  <c:v>1506.135</c:v>
                </c:pt>
                <c:pt idx="58">
                  <c:v>1490.5844999999999</c:v>
                </c:pt>
                <c:pt idx="59">
                  <c:v>1476.4470000000001</c:v>
                </c:pt>
                <c:pt idx="60">
                  <c:v>1461.0374999999999</c:v>
                </c:pt>
                <c:pt idx="61">
                  <c:v>1447.0529999999999</c:v>
                </c:pt>
                <c:pt idx="62">
                  <c:v>1433.625</c:v>
                </c:pt>
                <c:pt idx="63">
                  <c:v>1419.8744999999999</c:v>
                </c:pt>
                <c:pt idx="64">
                  <c:v>1407.8340000000001</c:v>
                </c:pt>
                <c:pt idx="65">
                  <c:v>1395.0255000000002</c:v>
                </c:pt>
                <c:pt idx="66">
                  <c:v>1384.2645</c:v>
                </c:pt>
                <c:pt idx="67">
                  <c:v>1373.7345</c:v>
                </c:pt>
                <c:pt idx="68">
                  <c:v>1361.3969999999999</c:v>
                </c:pt>
                <c:pt idx="69">
                  <c:v>1351.9904999999999</c:v>
                </c:pt>
                <c:pt idx="70">
                  <c:v>1341.2505000000001</c:v>
                </c:pt>
                <c:pt idx="71">
                  <c:v>1331.7645</c:v>
                </c:pt>
                <c:pt idx="72">
                  <c:v>1321.6185</c:v>
                </c:pt>
                <c:pt idx="73">
                  <c:v>1312.3185000000001</c:v>
                </c:pt>
                <c:pt idx="74">
                  <c:v>1303.1370000000002</c:v>
                </c:pt>
                <c:pt idx="75">
                  <c:v>1293.4559999999999</c:v>
                </c:pt>
                <c:pt idx="76">
                  <c:v>1288.6275000000001</c:v>
                </c:pt>
                <c:pt idx="77">
                  <c:v>1277.8004999999998</c:v>
                </c:pt>
                <c:pt idx="78">
                  <c:v>1269.297</c:v>
                </c:pt>
                <c:pt idx="79">
                  <c:v>1260.8039999999999</c:v>
                </c:pt>
                <c:pt idx="80">
                  <c:v>1250.2905000000001</c:v>
                </c:pt>
                <c:pt idx="81">
                  <c:v>1241.934</c:v>
                </c:pt>
                <c:pt idx="82">
                  <c:v>1232.1495</c:v>
                </c:pt>
                <c:pt idx="83">
                  <c:v>1223.3595</c:v>
                </c:pt>
                <c:pt idx="84">
                  <c:v>1213.8945000000001</c:v>
                </c:pt>
                <c:pt idx="85">
                  <c:v>1205.0925</c:v>
                </c:pt>
                <c:pt idx="86">
                  <c:v>1196.4675</c:v>
                </c:pt>
                <c:pt idx="87">
                  <c:v>1187.5815</c:v>
                </c:pt>
                <c:pt idx="88">
                  <c:v>1179.6164999999999</c:v>
                </c:pt>
                <c:pt idx="89">
                  <c:v>1171.038</c:v>
                </c:pt>
                <c:pt idx="90">
                  <c:v>1159.0035</c:v>
                </c:pt>
                <c:pt idx="91">
                  <c:v>1151.1960000000001</c:v>
                </c:pt>
                <c:pt idx="92">
                  <c:v>1143.0060000000001</c:v>
                </c:pt>
                <c:pt idx="93">
                  <c:v>1136.1224999999999</c:v>
                </c:pt>
                <c:pt idx="94">
                  <c:v>1128.4304999999999</c:v>
                </c:pt>
                <c:pt idx="95">
                  <c:v>1121.4555</c:v>
                </c:pt>
                <c:pt idx="96">
                  <c:v>1113.8820000000001</c:v>
                </c:pt>
                <c:pt idx="97">
                  <c:v>1106.8125</c:v>
                </c:pt>
                <c:pt idx="98">
                  <c:v>1099.845</c:v>
                </c:pt>
                <c:pt idx="99">
                  <c:v>1092.6374999999998</c:v>
                </c:pt>
                <c:pt idx="100">
                  <c:v>1086.1575</c:v>
                </c:pt>
                <c:pt idx="101">
                  <c:v>1079.1690000000001</c:v>
                </c:pt>
                <c:pt idx="102">
                  <c:v>1065.0419999999999</c:v>
                </c:pt>
                <c:pt idx="103">
                  <c:v>1058.8605</c:v>
                </c:pt>
                <c:pt idx="104">
                  <c:v>1052.4314999999999</c:v>
                </c:pt>
                <c:pt idx="105">
                  <c:v>1047.2294999999999</c:v>
                </c:pt>
                <c:pt idx="106">
                  <c:v>1041.144</c:v>
                </c:pt>
                <c:pt idx="107">
                  <c:v>1035.6044999999999</c:v>
                </c:pt>
                <c:pt idx="108">
                  <c:v>1029.6374999999998</c:v>
                </c:pt>
                <c:pt idx="109">
                  <c:v>1024.077</c:v>
                </c:pt>
                <c:pt idx="110">
                  <c:v>1018.5239999999999</c:v>
                </c:pt>
                <c:pt idx="111">
                  <c:v>1012.6005</c:v>
                </c:pt>
                <c:pt idx="112">
                  <c:v>1007.2139999999999</c:v>
                </c:pt>
                <c:pt idx="113">
                  <c:v>1001.3249999999999</c:v>
                </c:pt>
                <c:pt idx="114">
                  <c:v>995.94</c:v>
                </c:pt>
                <c:pt idx="115">
                  <c:v>990.89549999999997</c:v>
                </c:pt>
                <c:pt idx="116">
                  <c:v>984.97800000000007</c:v>
                </c:pt>
                <c:pt idx="117">
                  <c:v>980.27399999999989</c:v>
                </c:pt>
                <c:pt idx="118">
                  <c:v>974.80049999999994</c:v>
                </c:pt>
                <c:pt idx="119">
                  <c:v>969.822</c:v>
                </c:pt>
                <c:pt idx="120">
                  <c:v>964.45049999999992</c:v>
                </c:pt>
                <c:pt idx="121">
                  <c:v>959.44350000000009</c:v>
                </c:pt>
                <c:pt idx="122">
                  <c:v>954.447</c:v>
                </c:pt>
                <c:pt idx="123">
                  <c:v>949.22550000000001</c:v>
                </c:pt>
                <c:pt idx="124">
                  <c:v>944.45549999999992</c:v>
                </c:pt>
                <c:pt idx="125">
                  <c:v>939.28800000000001</c:v>
                </c:pt>
                <c:pt idx="126">
                  <c:v>934.548</c:v>
                </c:pt>
                <c:pt idx="127">
                  <c:v>930.072</c:v>
                </c:pt>
                <c:pt idx="128">
                  <c:v>924.81749999999988</c:v>
                </c:pt>
                <c:pt idx="129">
                  <c:v>920.625</c:v>
                </c:pt>
                <c:pt idx="130">
                  <c:v>915.76200000000006</c:v>
                </c:pt>
                <c:pt idx="131">
                  <c:v>911.31</c:v>
                </c:pt>
                <c:pt idx="132">
                  <c:v>906.4994999999999</c:v>
                </c:pt>
                <c:pt idx="133">
                  <c:v>902.03250000000003</c:v>
                </c:pt>
                <c:pt idx="134">
                  <c:v>897.58049999999992</c:v>
                </c:pt>
                <c:pt idx="135">
                  <c:v>892.88700000000006</c:v>
                </c:pt>
                <c:pt idx="136">
                  <c:v>888.65249999999992</c:v>
                </c:pt>
                <c:pt idx="137">
                  <c:v>884.02500000000009</c:v>
                </c:pt>
                <c:pt idx="138">
                  <c:v>879.81</c:v>
                </c:pt>
                <c:pt idx="139">
                  <c:v>875.73450000000003</c:v>
                </c:pt>
                <c:pt idx="140">
                  <c:v>871.21499999999992</c:v>
                </c:pt>
                <c:pt idx="141">
                  <c:v>867.375</c:v>
                </c:pt>
                <c:pt idx="142">
                  <c:v>863.08800000000008</c:v>
                </c:pt>
                <c:pt idx="143">
                  <c:v>859.23450000000003</c:v>
                </c:pt>
                <c:pt idx="144">
                  <c:v>855.02550000000008</c:v>
                </c:pt>
                <c:pt idx="145">
                  <c:v>851.12850000000003</c:v>
                </c:pt>
                <c:pt idx="146">
                  <c:v>847.25850000000014</c:v>
                </c:pt>
                <c:pt idx="147">
                  <c:v>843.22499999999991</c:v>
                </c:pt>
                <c:pt idx="148">
                  <c:v>839.553</c:v>
                </c:pt>
                <c:pt idx="149">
                  <c:v>835.57499999999993</c:v>
                </c:pt>
                <c:pt idx="150">
                  <c:v>826.33049999999992</c:v>
                </c:pt>
                <c:pt idx="151">
                  <c:v>822.66599999999994</c:v>
                </c:pt>
                <c:pt idx="152">
                  <c:v>819.01350000000002</c:v>
                </c:pt>
                <c:pt idx="153">
                  <c:v>815.928</c:v>
                </c:pt>
                <c:pt idx="154">
                  <c:v>812.40000000000009</c:v>
                </c:pt>
                <c:pt idx="155">
                  <c:v>809.178</c:v>
                </c:pt>
                <c:pt idx="156">
                  <c:v>805.73700000000008</c:v>
                </c:pt>
                <c:pt idx="157">
                  <c:v>802.48799999999994</c:v>
                </c:pt>
                <c:pt idx="158">
                  <c:v>799.23450000000003</c:v>
                </c:pt>
                <c:pt idx="159">
                  <c:v>795.83699999999999</c:v>
                </c:pt>
                <c:pt idx="160">
                  <c:v>792.71399999999994</c:v>
                </c:pt>
                <c:pt idx="161">
                  <c:v>790.05000000000007</c:v>
                </c:pt>
                <c:pt idx="162">
                  <c:v>786.33899999999994</c:v>
                </c:pt>
                <c:pt idx="163">
                  <c:v>783.39899999999989</c:v>
                </c:pt>
                <c:pt idx="164">
                  <c:v>779.97299999999996</c:v>
                </c:pt>
                <c:pt idx="165">
                  <c:v>777.25350000000003</c:v>
                </c:pt>
                <c:pt idx="166">
                  <c:v>774.02550000000008</c:v>
                </c:pt>
                <c:pt idx="167">
                  <c:v>771.10950000000003</c:v>
                </c:pt>
                <c:pt idx="168">
                  <c:v>767.89949999999999</c:v>
                </c:pt>
                <c:pt idx="169">
                  <c:v>764.89049999999997</c:v>
                </c:pt>
                <c:pt idx="170">
                  <c:v>761.91600000000005</c:v>
                </c:pt>
                <c:pt idx="171">
                  <c:v>758.74950000000001</c:v>
                </c:pt>
                <c:pt idx="172">
                  <c:v>755.83050000000003</c:v>
                </c:pt>
                <c:pt idx="173">
                  <c:v>752.65049999999997</c:v>
                </c:pt>
                <c:pt idx="174">
                  <c:v>749.54100000000005</c:v>
                </c:pt>
                <c:pt idx="175">
                  <c:v>746.577</c:v>
                </c:pt>
                <c:pt idx="176">
                  <c:v>742.9815000000001</c:v>
                </c:pt>
                <c:pt idx="177">
                  <c:v>740.08050000000003</c:v>
                </c:pt>
                <c:pt idx="178">
                  <c:v>736.62450000000001</c:v>
                </c:pt>
                <c:pt idx="179">
                  <c:v>733.476</c:v>
                </c:pt>
                <c:pt idx="180">
                  <c:v>730.05</c:v>
                </c:pt>
                <c:pt idx="181">
                  <c:v>726.84749999999997</c:v>
                </c:pt>
                <c:pt idx="182">
                  <c:v>723.62850000000003</c:v>
                </c:pt>
                <c:pt idx="183">
                  <c:v>720.41249999999991</c:v>
                </c:pt>
                <c:pt idx="184">
                  <c:v>717.73800000000006</c:v>
                </c:pt>
                <c:pt idx="185">
                  <c:v>714.81299999999999</c:v>
                </c:pt>
                <c:pt idx="186">
                  <c:v>701.73450000000003</c:v>
                </c:pt>
                <c:pt idx="187">
                  <c:v>701.93999999999994</c:v>
                </c:pt>
                <c:pt idx="188">
                  <c:v>701.54700000000003</c:v>
                </c:pt>
                <c:pt idx="189">
                  <c:v>699.48450000000003</c:v>
                </c:pt>
                <c:pt idx="190">
                  <c:v>695.25</c:v>
                </c:pt>
                <c:pt idx="191">
                  <c:v>690.99149999999997</c:v>
                </c:pt>
                <c:pt idx="192">
                  <c:v>686.21250000000009</c:v>
                </c:pt>
                <c:pt idx="193">
                  <c:v>681.56850000000009</c:v>
                </c:pt>
                <c:pt idx="194">
                  <c:v>676.86300000000006</c:v>
                </c:pt>
                <c:pt idx="195">
                  <c:v>671.87549999999999</c:v>
                </c:pt>
                <c:pt idx="196">
                  <c:v>667.29449999999997</c:v>
                </c:pt>
                <c:pt idx="197">
                  <c:v>662.27549999999997</c:v>
                </c:pt>
                <c:pt idx="198">
                  <c:v>657.55649999999991</c:v>
                </c:pt>
                <c:pt idx="199">
                  <c:v>653.10450000000003</c:v>
                </c:pt>
                <c:pt idx="200">
                  <c:v>647.8125</c:v>
                </c:pt>
                <c:pt idx="201">
                  <c:v>643.59749999999997</c:v>
                </c:pt>
                <c:pt idx="202">
                  <c:v>638.66249999999991</c:v>
                </c:pt>
                <c:pt idx="203">
                  <c:v>634.197</c:v>
                </c:pt>
                <c:pt idx="204">
                  <c:v>628.30050000000006</c:v>
                </c:pt>
                <c:pt idx="205">
                  <c:v>621.83399999999995</c:v>
                </c:pt>
                <c:pt idx="206">
                  <c:v>615.423</c:v>
                </c:pt>
                <c:pt idx="207">
                  <c:v>608.70000000000005</c:v>
                </c:pt>
                <c:pt idx="208">
                  <c:v>602.78250000000003</c:v>
                </c:pt>
                <c:pt idx="209">
                  <c:v>596.50049999999999</c:v>
                </c:pt>
                <c:pt idx="210">
                  <c:v>590.70899999999995</c:v>
                </c:pt>
                <c:pt idx="211">
                  <c:v>585.29100000000005</c:v>
                </c:pt>
                <c:pt idx="212">
                  <c:v>579.13350000000003</c:v>
                </c:pt>
                <c:pt idx="213">
                  <c:v>574.35450000000003</c:v>
                </c:pt>
                <c:pt idx="214">
                  <c:v>568.90049999999997</c:v>
                </c:pt>
                <c:pt idx="215">
                  <c:v>563.928</c:v>
                </c:pt>
                <c:pt idx="216">
                  <c:v>558.75</c:v>
                </c:pt>
                <c:pt idx="217">
                  <c:v>553.98450000000003</c:v>
                </c:pt>
                <c:pt idx="218">
                  <c:v>549.33899999999994</c:v>
                </c:pt>
                <c:pt idx="219">
                  <c:v>544.41300000000001</c:v>
                </c:pt>
                <c:pt idx="220">
                  <c:v>540.03600000000006</c:v>
                </c:pt>
                <c:pt idx="221">
                  <c:v>535.42499999999995</c:v>
                </c:pt>
                <c:pt idx="222">
                  <c:v>531.12149999999997</c:v>
                </c:pt>
                <c:pt idx="223">
                  <c:v>527.11649999999997</c:v>
                </c:pt>
                <c:pt idx="224">
                  <c:v>522.4815000000001</c:v>
                </c:pt>
                <c:pt idx="225">
                  <c:v>518.83050000000003</c:v>
                </c:pt>
                <c:pt idx="226">
                  <c:v>514.60050000000001</c:v>
                </c:pt>
                <c:pt idx="227">
                  <c:v>510.75</c:v>
                </c:pt>
                <c:pt idx="228">
                  <c:v>506.71199999999999</c:v>
                </c:pt>
                <c:pt idx="229">
                  <c:v>502.947</c:v>
                </c:pt>
                <c:pt idx="230">
                  <c:v>499.25850000000003</c:v>
                </c:pt>
                <c:pt idx="231">
                  <c:v>495.32549999999998</c:v>
                </c:pt>
                <c:pt idx="232">
                  <c:v>491.85450000000003</c:v>
                </c:pt>
                <c:pt idx="233">
                  <c:v>488.11200000000002</c:v>
                </c:pt>
                <c:pt idx="234">
                  <c:v>484.66949999999997</c:v>
                </c:pt>
                <c:pt idx="235">
                  <c:v>481.33050000000003</c:v>
                </c:pt>
                <c:pt idx="236">
                  <c:v>477.67199999999997</c:v>
                </c:pt>
                <c:pt idx="237">
                  <c:v>474.68999999999994</c:v>
                </c:pt>
                <c:pt idx="238">
                  <c:v>471.52500000000003</c:v>
                </c:pt>
                <c:pt idx="239">
                  <c:v>468.678</c:v>
                </c:pt>
                <c:pt idx="240">
                  <c:v>465.61200000000002</c:v>
                </c:pt>
                <c:pt idx="241">
                  <c:v>462.726</c:v>
                </c:pt>
                <c:pt idx="242">
                  <c:v>459.93149999999997</c:v>
                </c:pt>
                <c:pt idx="243">
                  <c:v>456.97499999999997</c:v>
                </c:pt>
                <c:pt idx="244">
                  <c:v>454.25850000000003</c:v>
                </c:pt>
                <c:pt idx="245">
                  <c:v>451.38750000000005</c:v>
                </c:pt>
                <c:pt idx="246">
                  <c:v>448.75349999999997</c:v>
                </c:pt>
                <c:pt idx="247">
                  <c:v>446.286</c:v>
                </c:pt>
                <c:pt idx="248">
                  <c:v>443.41050000000007</c:v>
                </c:pt>
                <c:pt idx="249">
                  <c:v>441.12150000000003</c:v>
                </c:pt>
                <c:pt idx="250">
                  <c:v>438.48749999999995</c:v>
                </c:pt>
                <c:pt idx="251">
                  <c:v>436.11300000000006</c:v>
                </c:pt>
                <c:pt idx="252">
                  <c:v>433.54950000000002</c:v>
                </c:pt>
                <c:pt idx="253">
                  <c:v>431.202</c:v>
                </c:pt>
                <c:pt idx="254">
                  <c:v>428.87849999999997</c:v>
                </c:pt>
                <c:pt idx="255">
                  <c:v>426.40049999999997</c:v>
                </c:pt>
                <c:pt idx="256">
                  <c:v>424.161</c:v>
                </c:pt>
                <c:pt idx="257">
                  <c:v>421.69949999999994</c:v>
                </c:pt>
                <c:pt idx="258">
                  <c:v>419.41949999999997</c:v>
                </c:pt>
                <c:pt idx="259">
                  <c:v>417.36300000000006</c:v>
                </c:pt>
                <c:pt idx="260">
                  <c:v>414.96449999999993</c:v>
                </c:pt>
                <c:pt idx="261">
                  <c:v>413.03250000000003</c:v>
                </c:pt>
                <c:pt idx="262">
                  <c:v>410.80050000000006</c:v>
                </c:pt>
                <c:pt idx="263">
                  <c:v>408.75</c:v>
                </c:pt>
                <c:pt idx="264">
                  <c:v>406.52549999999997</c:v>
                </c:pt>
                <c:pt idx="265">
                  <c:v>404.51550000000003</c:v>
                </c:pt>
                <c:pt idx="266">
                  <c:v>402.48449999999997</c:v>
                </c:pt>
                <c:pt idx="267">
                  <c:v>400.34999999999997</c:v>
                </c:pt>
                <c:pt idx="268">
                  <c:v>398.39549999999997</c:v>
                </c:pt>
                <c:pt idx="269">
                  <c:v>396.27449999999999</c:v>
                </c:pt>
                <c:pt idx="270">
                  <c:v>394.30649999999997</c:v>
                </c:pt>
                <c:pt idx="271">
                  <c:v>392.44350000000003</c:v>
                </c:pt>
                <c:pt idx="272">
                  <c:v>390.24149999999997</c:v>
                </c:pt>
                <c:pt idx="273">
                  <c:v>388.5</c:v>
                </c:pt>
                <c:pt idx="274">
                  <c:v>386.50049999999999</c:v>
                </c:pt>
                <c:pt idx="275">
                  <c:v>384.62849999999997</c:v>
                </c:pt>
                <c:pt idx="276">
                  <c:v>382.65</c:v>
                </c:pt>
                <c:pt idx="277">
                  <c:v>380.80650000000003</c:v>
                </c:pt>
                <c:pt idx="278">
                  <c:v>378.96750000000003</c:v>
                </c:pt>
                <c:pt idx="279">
                  <c:v>376.99950000000001</c:v>
                </c:pt>
                <c:pt idx="280">
                  <c:v>375.702</c:v>
                </c:pt>
                <c:pt idx="281">
                  <c:v>373.79999999999995</c:v>
                </c:pt>
                <c:pt idx="282">
                  <c:v>371.613</c:v>
                </c:pt>
                <c:pt idx="283">
                  <c:v>369.89550000000003</c:v>
                </c:pt>
                <c:pt idx="284">
                  <c:v>368.01749999999998</c:v>
                </c:pt>
                <c:pt idx="285">
                  <c:v>366.435</c:v>
                </c:pt>
                <c:pt idx="286">
                  <c:v>364.72500000000002</c:v>
                </c:pt>
                <c:pt idx="287">
                  <c:v>363.072</c:v>
                </c:pt>
                <c:pt idx="288">
                  <c:v>361.37549999999999</c:v>
                </c:pt>
                <c:pt idx="289">
                  <c:v>431.202</c:v>
                </c:pt>
                <c:pt idx="290">
                  <c:v>435.29100000000005</c:v>
                </c:pt>
                <c:pt idx="291">
                  <c:v>432.62549999999999</c:v>
                </c:pt>
                <c:pt idx="292">
                  <c:v>430.86300000000006</c:v>
                </c:pt>
                <c:pt idx="293">
                  <c:v>428.59950000000003</c:v>
                </c:pt>
                <c:pt idx="294">
                  <c:v>426.024</c:v>
                </c:pt>
                <c:pt idx="295">
                  <c:v>423.65250000000003</c:v>
                </c:pt>
                <c:pt idx="296">
                  <c:v>421.01849999999996</c:v>
                </c:pt>
                <c:pt idx="297">
                  <c:v>418.95899999999995</c:v>
                </c:pt>
                <c:pt idx="298">
                  <c:v>416.54999999999995</c:v>
                </c:pt>
                <c:pt idx="299">
                  <c:v>414.19350000000003</c:v>
                </c:pt>
                <c:pt idx="300">
                  <c:v>411.77549999999997</c:v>
                </c:pt>
                <c:pt idx="301">
                  <c:v>409.452</c:v>
                </c:pt>
                <c:pt idx="302">
                  <c:v>407.15250000000003</c:v>
                </c:pt>
                <c:pt idx="303">
                  <c:v>404.65049999999997</c:v>
                </c:pt>
                <c:pt idx="304">
                  <c:v>413.25</c:v>
                </c:pt>
                <c:pt idx="305">
                  <c:v>412.79999999999995</c:v>
                </c:pt>
                <c:pt idx="306">
                  <c:v>411.14549999999997</c:v>
                </c:pt>
                <c:pt idx="307">
                  <c:v>409.30649999999997</c:v>
                </c:pt>
                <c:pt idx="308">
                  <c:v>407.625</c:v>
                </c:pt>
                <c:pt idx="309">
                  <c:v>406.30649999999997</c:v>
                </c:pt>
                <c:pt idx="310">
                  <c:v>404.72550000000001</c:v>
                </c:pt>
                <c:pt idx="311">
                  <c:v>403.35450000000003</c:v>
                </c:pt>
                <c:pt idx="312">
                  <c:v>401.72550000000001</c:v>
                </c:pt>
                <c:pt idx="313">
                  <c:v>400.25850000000003</c:v>
                </c:pt>
                <c:pt idx="314">
                  <c:v>398.661</c:v>
                </c:pt>
                <c:pt idx="315">
                  <c:v>397.04999999999995</c:v>
                </c:pt>
                <c:pt idx="316">
                  <c:v>395.54100000000005</c:v>
                </c:pt>
                <c:pt idx="317">
                  <c:v>393.82500000000005</c:v>
                </c:pt>
                <c:pt idx="318">
                  <c:v>392.25</c:v>
                </c:pt>
                <c:pt idx="319">
                  <c:v>390.75</c:v>
                </c:pt>
                <c:pt idx="320">
                  <c:v>388.98150000000004</c:v>
                </c:pt>
                <c:pt idx="321">
                  <c:v>387.60450000000003</c:v>
                </c:pt>
                <c:pt idx="322">
                  <c:v>385.97550000000001</c:v>
                </c:pt>
                <c:pt idx="323">
                  <c:v>384.678</c:v>
                </c:pt>
                <c:pt idx="324">
                  <c:v>383.74950000000001</c:v>
                </c:pt>
                <c:pt idx="325">
                  <c:v>382.28249999999997</c:v>
                </c:pt>
                <c:pt idx="326">
                  <c:v>380.928</c:v>
                </c:pt>
                <c:pt idx="327">
                  <c:v>379.42499999999995</c:v>
                </c:pt>
                <c:pt idx="328">
                  <c:v>377.952</c:v>
                </c:pt>
                <c:pt idx="329">
                  <c:v>376.27499999999998</c:v>
                </c:pt>
                <c:pt idx="330">
                  <c:v>374.709</c:v>
                </c:pt>
                <c:pt idx="331">
                  <c:v>373.065</c:v>
                </c:pt>
                <c:pt idx="332">
                  <c:v>371.19900000000001</c:v>
                </c:pt>
                <c:pt idx="333">
                  <c:v>369.62850000000003</c:v>
                </c:pt>
                <c:pt idx="334">
                  <c:v>367.77449999999999</c:v>
                </c:pt>
                <c:pt idx="335">
                  <c:v>366.12149999999997</c:v>
                </c:pt>
                <c:pt idx="336">
                  <c:v>364.3005</c:v>
                </c:pt>
                <c:pt idx="337">
                  <c:v>362.565</c:v>
                </c:pt>
                <c:pt idx="338">
                  <c:v>360.91949999999997</c:v>
                </c:pt>
                <c:pt idx="339">
                  <c:v>359.12549999999999</c:v>
                </c:pt>
                <c:pt idx="340">
                  <c:v>357.55650000000003</c:v>
                </c:pt>
                <c:pt idx="341">
                  <c:v>355.82550000000003</c:v>
                </c:pt>
                <c:pt idx="342">
                  <c:v>354.21750000000003</c:v>
                </c:pt>
                <c:pt idx="343">
                  <c:v>352.76549999999997</c:v>
                </c:pt>
                <c:pt idx="344">
                  <c:v>351.02699999999999</c:v>
                </c:pt>
                <c:pt idx="345">
                  <c:v>349.69349999999997</c:v>
                </c:pt>
                <c:pt idx="346">
                  <c:v>348.12450000000001</c:v>
                </c:pt>
                <c:pt idx="347">
                  <c:v>346.74149999999997</c:v>
                </c:pt>
                <c:pt idx="348">
                  <c:v>345.22500000000002</c:v>
                </c:pt>
                <c:pt idx="349">
                  <c:v>343.863</c:v>
                </c:pt>
                <c:pt idx="350">
                  <c:v>342.50850000000003</c:v>
                </c:pt>
                <c:pt idx="351">
                  <c:v>341.0745</c:v>
                </c:pt>
                <c:pt idx="352">
                  <c:v>339.798</c:v>
                </c:pt>
                <c:pt idx="353">
                  <c:v>338.4255</c:v>
                </c:pt>
                <c:pt idx="354">
                  <c:v>337.113</c:v>
                </c:pt>
                <c:pt idx="355">
                  <c:v>335.928</c:v>
                </c:pt>
                <c:pt idx="356">
                  <c:v>334.5</c:v>
                </c:pt>
                <c:pt idx="357">
                  <c:v>333.387</c:v>
                </c:pt>
                <c:pt idx="358">
                  <c:v>332.12549999999999</c:v>
                </c:pt>
                <c:pt idx="359">
                  <c:v>330.91949999999997</c:v>
                </c:pt>
                <c:pt idx="360">
                  <c:v>329.67449999999997</c:v>
                </c:pt>
                <c:pt idx="361">
                  <c:v>328.476</c:v>
                </c:pt>
                <c:pt idx="362">
                  <c:v>327.339</c:v>
                </c:pt>
                <c:pt idx="363">
                  <c:v>326.12549999999999</c:v>
                </c:pt>
                <c:pt idx="364">
                  <c:v>325.01549999999997</c:v>
                </c:pt>
                <c:pt idx="365">
                  <c:v>323.8245</c:v>
                </c:pt>
                <c:pt idx="366">
                  <c:v>322.74149999999997</c:v>
                </c:pt>
                <c:pt idx="367">
                  <c:v>321.678</c:v>
                </c:pt>
                <c:pt idx="368">
                  <c:v>320.46449999999999</c:v>
                </c:pt>
                <c:pt idx="369">
                  <c:v>319.5</c:v>
                </c:pt>
                <c:pt idx="370">
                  <c:v>318.375</c:v>
                </c:pt>
                <c:pt idx="371">
                  <c:v>317.34749999999997</c:v>
                </c:pt>
                <c:pt idx="372">
                  <c:v>316.20000000000005</c:v>
                </c:pt>
                <c:pt idx="373">
                  <c:v>315.19349999999997</c:v>
                </c:pt>
                <c:pt idx="374">
                  <c:v>314.15250000000003</c:v>
                </c:pt>
                <c:pt idx="375">
                  <c:v>313.04999999999995</c:v>
                </c:pt>
                <c:pt idx="376">
                  <c:v>312.072</c:v>
                </c:pt>
                <c:pt idx="377">
                  <c:v>310.99950000000001</c:v>
                </c:pt>
                <c:pt idx="378">
                  <c:v>310.041</c:v>
                </c:pt>
                <c:pt idx="379">
                  <c:v>309.09749999999997</c:v>
                </c:pt>
                <c:pt idx="380">
                  <c:v>308.04300000000001</c:v>
                </c:pt>
                <c:pt idx="381">
                  <c:v>307.137</c:v>
                </c:pt>
                <c:pt idx="382">
                  <c:v>306.1755</c:v>
                </c:pt>
                <c:pt idx="383">
                  <c:v>305.226</c:v>
                </c:pt>
                <c:pt idx="384">
                  <c:v>304.27499999999998</c:v>
                </c:pt>
                <c:pt idx="385">
                  <c:v>303.363</c:v>
                </c:pt>
                <c:pt idx="386">
                  <c:v>302.49149999999997</c:v>
                </c:pt>
                <c:pt idx="387">
                  <c:v>301.57500000000005</c:v>
                </c:pt>
                <c:pt idx="388">
                  <c:v>300.75</c:v>
                </c:pt>
                <c:pt idx="389">
                  <c:v>299.85000000000002</c:v>
                </c:pt>
                <c:pt idx="390">
                  <c:v>298.98450000000003</c:v>
                </c:pt>
                <c:pt idx="391">
                  <c:v>298.185</c:v>
                </c:pt>
                <c:pt idx="392">
                  <c:v>297.1875</c:v>
                </c:pt>
                <c:pt idx="393">
                  <c:v>296.39550000000003</c:v>
                </c:pt>
                <c:pt idx="394">
                  <c:v>295.45050000000003</c:v>
                </c:pt>
                <c:pt idx="395">
                  <c:v>294.58050000000003</c:v>
                </c:pt>
                <c:pt idx="396">
                  <c:v>293.625</c:v>
                </c:pt>
                <c:pt idx="397">
                  <c:v>292.69349999999997</c:v>
                </c:pt>
                <c:pt idx="398">
                  <c:v>291.75</c:v>
                </c:pt>
                <c:pt idx="399">
                  <c:v>290.8005</c:v>
                </c:pt>
                <c:pt idx="400">
                  <c:v>289.911</c:v>
                </c:pt>
                <c:pt idx="401">
                  <c:v>288.97500000000002</c:v>
                </c:pt>
                <c:pt idx="402">
                  <c:v>288.09749999999997</c:v>
                </c:pt>
                <c:pt idx="403">
                  <c:v>287.274</c:v>
                </c:pt>
                <c:pt idx="404">
                  <c:v>286.25850000000003</c:v>
                </c:pt>
                <c:pt idx="405">
                  <c:v>285.48450000000003</c:v>
                </c:pt>
                <c:pt idx="406">
                  <c:v>284.54999999999995</c:v>
                </c:pt>
                <c:pt idx="407">
                  <c:v>283.69349999999997</c:v>
                </c:pt>
                <c:pt idx="408">
                  <c:v>282.75</c:v>
                </c:pt>
                <c:pt idx="409">
                  <c:v>281.87850000000003</c:v>
                </c:pt>
                <c:pt idx="410">
                  <c:v>281.00850000000003</c:v>
                </c:pt>
                <c:pt idx="411">
                  <c:v>280.07550000000003</c:v>
                </c:pt>
                <c:pt idx="412">
                  <c:v>279.24149999999997</c:v>
                </c:pt>
                <c:pt idx="413">
                  <c:v>278.27549999999997</c:v>
                </c:pt>
                <c:pt idx="414">
                  <c:v>277.452</c:v>
                </c:pt>
                <c:pt idx="415">
                  <c:v>276.62850000000003</c:v>
                </c:pt>
                <c:pt idx="416">
                  <c:v>275.70600000000002</c:v>
                </c:pt>
                <c:pt idx="417">
                  <c:v>274.98450000000003</c:v>
                </c:pt>
                <c:pt idx="418">
                  <c:v>274.09950000000003</c:v>
                </c:pt>
                <c:pt idx="419">
                  <c:v>273.291</c:v>
                </c:pt>
                <c:pt idx="420">
                  <c:v>272.4495</c:v>
                </c:pt>
                <c:pt idx="421">
                  <c:v>271.64550000000003</c:v>
                </c:pt>
                <c:pt idx="422">
                  <c:v>270.822</c:v>
                </c:pt>
                <c:pt idx="423">
                  <c:v>269.97450000000003</c:v>
                </c:pt>
                <c:pt idx="424">
                  <c:v>269.202</c:v>
                </c:pt>
                <c:pt idx="425">
                  <c:v>268.39949999999999</c:v>
                </c:pt>
                <c:pt idx="426">
                  <c:v>267.60449999999997</c:v>
                </c:pt>
                <c:pt idx="427">
                  <c:v>266.83050000000003</c:v>
                </c:pt>
                <c:pt idx="428">
                  <c:v>266.09550000000002</c:v>
                </c:pt>
                <c:pt idx="429">
                  <c:v>265.524</c:v>
                </c:pt>
                <c:pt idx="430">
                  <c:v>264.49950000000001</c:v>
                </c:pt>
                <c:pt idx="431">
                  <c:v>263.685</c:v>
                </c:pt>
                <c:pt idx="432">
                  <c:v>262.77449999999999</c:v>
                </c:pt>
                <c:pt idx="433">
                  <c:v>261.91949999999997</c:v>
                </c:pt>
                <c:pt idx="434">
                  <c:v>261.048</c:v>
                </c:pt>
                <c:pt idx="435">
                  <c:v>260.17499999999995</c:v>
                </c:pt>
                <c:pt idx="436">
                  <c:v>259.40250000000003</c:v>
                </c:pt>
                <c:pt idx="437">
                  <c:v>258.47550000000001</c:v>
                </c:pt>
                <c:pt idx="438">
                  <c:v>257.73450000000003</c:v>
                </c:pt>
                <c:pt idx="439">
                  <c:v>256.959</c:v>
                </c:pt>
                <c:pt idx="440">
                  <c:v>256.04399999999998</c:v>
                </c:pt>
                <c:pt idx="441">
                  <c:v>255.291</c:v>
                </c:pt>
                <c:pt idx="442">
                  <c:v>254.4255</c:v>
                </c:pt>
                <c:pt idx="443">
                  <c:v>253.5975</c:v>
                </c:pt>
                <c:pt idx="444">
                  <c:v>252.72450000000001</c:v>
                </c:pt>
                <c:pt idx="445">
                  <c:v>251.952</c:v>
                </c:pt>
                <c:pt idx="446">
                  <c:v>251.12850000000003</c:v>
                </c:pt>
                <c:pt idx="447">
                  <c:v>250.37549999999999</c:v>
                </c:pt>
                <c:pt idx="448">
                  <c:v>249.62850000000003</c:v>
                </c:pt>
                <c:pt idx="449">
                  <c:v>248.8245</c:v>
                </c:pt>
                <c:pt idx="450">
                  <c:v>248.12850000000003</c:v>
                </c:pt>
                <c:pt idx="451">
                  <c:v>247.6695</c:v>
                </c:pt>
                <c:pt idx="452">
                  <c:v>247.15199999999999</c:v>
                </c:pt>
                <c:pt idx="453">
                  <c:v>246.60449999999997</c:v>
                </c:pt>
                <c:pt idx="454">
                  <c:v>245.89949999999999</c:v>
                </c:pt>
                <c:pt idx="455">
                  <c:v>245.226</c:v>
                </c:pt>
                <c:pt idx="456">
                  <c:v>244.52549999999999</c:v>
                </c:pt>
                <c:pt idx="457">
                  <c:v>243.87149999999997</c:v>
                </c:pt>
                <c:pt idx="458">
                  <c:v>243.2415</c:v>
                </c:pt>
                <c:pt idx="459">
                  <c:v>242.59950000000001</c:v>
                </c:pt>
                <c:pt idx="460">
                  <c:v>241.98450000000003</c:v>
                </c:pt>
                <c:pt idx="461">
                  <c:v>241.37549999999999</c:v>
                </c:pt>
                <c:pt idx="462">
                  <c:v>240.774</c:v>
                </c:pt>
                <c:pt idx="463">
                  <c:v>240.21750000000003</c:v>
                </c:pt>
                <c:pt idx="464">
                  <c:v>239.59800000000001</c:v>
                </c:pt>
                <c:pt idx="465">
                  <c:v>239.05650000000003</c:v>
                </c:pt>
                <c:pt idx="466">
                  <c:v>238.42499999999998</c:v>
                </c:pt>
                <c:pt idx="467">
                  <c:v>237.9195</c:v>
                </c:pt>
                <c:pt idx="468">
                  <c:v>237.29999999999998</c:v>
                </c:pt>
                <c:pt idx="469">
                  <c:v>236.73450000000003</c:v>
                </c:pt>
                <c:pt idx="470">
                  <c:v>236.178</c:v>
                </c:pt>
                <c:pt idx="471">
                  <c:v>235.60050000000001</c:v>
                </c:pt>
                <c:pt idx="472">
                  <c:v>235.01549999999997</c:v>
                </c:pt>
                <c:pt idx="473">
                  <c:v>234.52499999999998</c:v>
                </c:pt>
                <c:pt idx="474">
                  <c:v>233.976</c:v>
                </c:pt>
                <c:pt idx="475">
                  <c:v>233.46750000000003</c:v>
                </c:pt>
                <c:pt idx="476">
                  <c:v>232.86150000000004</c:v>
                </c:pt>
                <c:pt idx="477">
                  <c:v>232.3305</c:v>
                </c:pt>
                <c:pt idx="478">
                  <c:v>231.75</c:v>
                </c:pt>
                <c:pt idx="479">
                  <c:v>231.2415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D5-4B7A-A185-BA3C3DDB3E54}"/>
            </c:ext>
          </c:extLst>
        </c:ser>
        <c:ser>
          <c:idx val="4"/>
          <c:order val="4"/>
          <c:tx>
            <c:strRef>
              <c:f>'FPSO1 Base'!$G$2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Base'!$G$3:$G$730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927.06150000000002</c:v>
                </c:pt>
                <c:pt idx="36">
                  <c:v>675.52949999999998</c:v>
                </c:pt>
                <c:pt idx="37">
                  <c:v>622.07249999999999</c:v>
                </c:pt>
                <c:pt idx="38">
                  <c:v>585.29100000000005</c:v>
                </c:pt>
                <c:pt idx="39">
                  <c:v>552.91499999999996</c:v>
                </c:pt>
                <c:pt idx="40">
                  <c:v>532.03050000000007</c:v>
                </c:pt>
                <c:pt idx="41">
                  <c:v>511.85250000000002</c:v>
                </c:pt>
                <c:pt idx="42">
                  <c:v>492.84300000000002</c:v>
                </c:pt>
                <c:pt idx="43">
                  <c:v>496.10699999999997</c:v>
                </c:pt>
                <c:pt idx="44">
                  <c:v>484.32</c:v>
                </c:pt>
                <c:pt idx="45">
                  <c:v>476.08350000000002</c:v>
                </c:pt>
                <c:pt idx="46">
                  <c:v>469.66800000000001</c:v>
                </c:pt>
                <c:pt idx="47">
                  <c:v>465.09449999999998</c:v>
                </c:pt>
                <c:pt idx="48">
                  <c:v>461.13900000000001</c:v>
                </c:pt>
                <c:pt idx="49">
                  <c:v>455.60250000000002</c:v>
                </c:pt>
                <c:pt idx="50">
                  <c:v>451.21350000000007</c:v>
                </c:pt>
                <c:pt idx="51">
                  <c:v>446.46900000000005</c:v>
                </c:pt>
                <c:pt idx="52">
                  <c:v>441.36750000000001</c:v>
                </c:pt>
                <c:pt idx="53">
                  <c:v>433.82849999999996</c:v>
                </c:pt>
                <c:pt idx="54">
                  <c:v>430.52249999999998</c:v>
                </c:pt>
                <c:pt idx="55">
                  <c:v>415.98599999999999</c:v>
                </c:pt>
                <c:pt idx="56">
                  <c:v>413.80799999999999</c:v>
                </c:pt>
                <c:pt idx="57">
                  <c:v>409.60650000000004</c:v>
                </c:pt>
                <c:pt idx="58">
                  <c:v>406.51800000000003</c:v>
                </c:pt>
                <c:pt idx="59">
                  <c:v>402.44550000000004</c:v>
                </c:pt>
                <c:pt idx="60">
                  <c:v>399.95100000000002</c:v>
                </c:pt>
                <c:pt idx="61">
                  <c:v>397.15049999999997</c:v>
                </c:pt>
                <c:pt idx="62">
                  <c:v>395.78550000000007</c:v>
                </c:pt>
                <c:pt idx="63">
                  <c:v>394.5795</c:v>
                </c:pt>
                <c:pt idx="64">
                  <c:v>395.05949999999996</c:v>
                </c:pt>
                <c:pt idx="65">
                  <c:v>395.54999999999995</c:v>
                </c:pt>
                <c:pt idx="66">
                  <c:v>395.05649999999997</c:v>
                </c:pt>
                <c:pt idx="67">
                  <c:v>394.89300000000003</c:v>
                </c:pt>
                <c:pt idx="68">
                  <c:v>394.81499999999994</c:v>
                </c:pt>
                <c:pt idx="69">
                  <c:v>394.31100000000004</c:v>
                </c:pt>
                <c:pt idx="70">
                  <c:v>393.61500000000001</c:v>
                </c:pt>
                <c:pt idx="71">
                  <c:v>392.3655</c:v>
                </c:pt>
                <c:pt idx="72">
                  <c:v>390.61950000000002</c:v>
                </c:pt>
                <c:pt idx="73">
                  <c:v>388.74750000000006</c:v>
                </c:pt>
                <c:pt idx="74">
                  <c:v>386.20799999999997</c:v>
                </c:pt>
                <c:pt idx="75">
                  <c:v>383.58450000000005</c:v>
                </c:pt>
                <c:pt idx="76">
                  <c:v>381.35550000000001</c:v>
                </c:pt>
                <c:pt idx="77">
                  <c:v>377.80799999999999</c:v>
                </c:pt>
                <c:pt idx="78">
                  <c:v>376.101</c:v>
                </c:pt>
                <c:pt idx="79">
                  <c:v>371.70749999999998</c:v>
                </c:pt>
                <c:pt idx="80">
                  <c:v>368.79449999999997</c:v>
                </c:pt>
                <c:pt idx="81">
                  <c:v>365.66699999999997</c:v>
                </c:pt>
                <c:pt idx="82">
                  <c:v>362.76</c:v>
                </c:pt>
                <c:pt idx="83">
                  <c:v>359.34749999999997</c:v>
                </c:pt>
                <c:pt idx="84">
                  <c:v>356.08199999999999</c:v>
                </c:pt>
                <c:pt idx="85">
                  <c:v>353.67449999999997</c:v>
                </c:pt>
                <c:pt idx="86">
                  <c:v>350.32500000000005</c:v>
                </c:pt>
                <c:pt idx="87">
                  <c:v>346.45650000000001</c:v>
                </c:pt>
                <c:pt idx="88">
                  <c:v>343.25549999999998</c:v>
                </c:pt>
                <c:pt idx="89">
                  <c:v>339.51150000000001</c:v>
                </c:pt>
                <c:pt idx="90">
                  <c:v>335.12400000000002</c:v>
                </c:pt>
                <c:pt idx="91">
                  <c:v>330.01800000000003</c:v>
                </c:pt>
                <c:pt idx="92">
                  <c:v>327.04199999999997</c:v>
                </c:pt>
                <c:pt idx="93">
                  <c:v>323.988</c:v>
                </c:pt>
                <c:pt idx="94">
                  <c:v>321.92700000000002</c:v>
                </c:pt>
                <c:pt idx="95">
                  <c:v>318.41699999999997</c:v>
                </c:pt>
                <c:pt idx="96">
                  <c:v>315.99149999999997</c:v>
                </c:pt>
                <c:pt idx="97">
                  <c:v>313.09800000000001</c:v>
                </c:pt>
                <c:pt idx="98">
                  <c:v>310.16250000000002</c:v>
                </c:pt>
                <c:pt idx="99">
                  <c:v>307.59899999999999</c:v>
                </c:pt>
                <c:pt idx="100">
                  <c:v>305.01599999999996</c:v>
                </c:pt>
                <c:pt idx="101">
                  <c:v>302.88750000000005</c:v>
                </c:pt>
                <c:pt idx="102">
                  <c:v>300.23400000000004</c:v>
                </c:pt>
                <c:pt idx="103">
                  <c:v>294.28649999999999</c:v>
                </c:pt>
                <c:pt idx="104">
                  <c:v>291.94799999999998</c:v>
                </c:pt>
                <c:pt idx="105">
                  <c:v>289.47149999999999</c:v>
                </c:pt>
                <c:pt idx="106">
                  <c:v>284.91149999999999</c:v>
                </c:pt>
                <c:pt idx="107">
                  <c:v>281.988</c:v>
                </c:pt>
                <c:pt idx="108">
                  <c:v>278.67449999999997</c:v>
                </c:pt>
                <c:pt idx="109">
                  <c:v>275.65649999999999</c:v>
                </c:pt>
                <c:pt idx="110">
                  <c:v>273.14550000000003</c:v>
                </c:pt>
                <c:pt idx="111">
                  <c:v>270.91050000000001</c:v>
                </c:pt>
                <c:pt idx="112">
                  <c:v>269.26499999999999</c:v>
                </c:pt>
                <c:pt idx="113">
                  <c:v>267.20550000000003</c:v>
                </c:pt>
                <c:pt idx="114">
                  <c:v>264.53399999999999</c:v>
                </c:pt>
                <c:pt idx="115">
                  <c:v>260.26349999999996</c:v>
                </c:pt>
                <c:pt idx="116">
                  <c:v>257.75400000000002</c:v>
                </c:pt>
                <c:pt idx="117">
                  <c:v>254.94749999999999</c:v>
                </c:pt>
                <c:pt idx="118">
                  <c:v>252.80700000000002</c:v>
                </c:pt>
                <c:pt idx="119">
                  <c:v>250.64849999999998</c:v>
                </c:pt>
                <c:pt idx="120">
                  <c:v>248.67000000000002</c:v>
                </c:pt>
                <c:pt idx="121">
                  <c:v>246.75</c:v>
                </c:pt>
                <c:pt idx="122">
                  <c:v>244.79399999999998</c:v>
                </c:pt>
                <c:pt idx="123">
                  <c:v>243.048</c:v>
                </c:pt>
                <c:pt idx="124">
                  <c:v>241.33350000000002</c:v>
                </c:pt>
                <c:pt idx="125">
                  <c:v>239.40450000000001</c:v>
                </c:pt>
                <c:pt idx="126">
                  <c:v>237.642</c:v>
                </c:pt>
                <c:pt idx="127">
                  <c:v>234.98400000000001</c:v>
                </c:pt>
                <c:pt idx="128">
                  <c:v>233.67599999999999</c:v>
                </c:pt>
                <c:pt idx="129">
                  <c:v>232.11900000000003</c:v>
                </c:pt>
                <c:pt idx="130">
                  <c:v>230.02950000000001</c:v>
                </c:pt>
                <c:pt idx="131">
                  <c:v>228.47399999999999</c:v>
                </c:pt>
                <c:pt idx="132">
                  <c:v>225.94050000000001</c:v>
                </c:pt>
                <c:pt idx="133">
                  <c:v>224.23949999999999</c:v>
                </c:pt>
                <c:pt idx="134">
                  <c:v>222.46199999999999</c:v>
                </c:pt>
                <c:pt idx="135">
                  <c:v>220.79399999999998</c:v>
                </c:pt>
                <c:pt idx="136">
                  <c:v>219.03000000000003</c:v>
                </c:pt>
                <c:pt idx="137">
                  <c:v>217.79850000000002</c:v>
                </c:pt>
                <c:pt idx="138">
                  <c:v>216.07649999999998</c:v>
                </c:pt>
                <c:pt idx="139">
                  <c:v>213.43049999999999</c:v>
                </c:pt>
                <c:pt idx="140">
                  <c:v>212.02349999999998</c:v>
                </c:pt>
                <c:pt idx="141">
                  <c:v>211.11449999999999</c:v>
                </c:pt>
                <c:pt idx="142">
                  <c:v>209.41800000000001</c:v>
                </c:pt>
                <c:pt idx="143">
                  <c:v>208.233</c:v>
                </c:pt>
                <c:pt idx="144">
                  <c:v>207.12900000000002</c:v>
                </c:pt>
                <c:pt idx="145">
                  <c:v>206.07599999999996</c:v>
                </c:pt>
                <c:pt idx="146">
                  <c:v>204.99</c:v>
                </c:pt>
                <c:pt idx="147">
                  <c:v>203.86349999999999</c:v>
                </c:pt>
                <c:pt idx="148">
                  <c:v>202.88099999999997</c:v>
                </c:pt>
                <c:pt idx="149">
                  <c:v>201.95850000000002</c:v>
                </c:pt>
                <c:pt idx="150">
                  <c:v>201.03750000000002</c:v>
                </c:pt>
                <c:pt idx="151">
                  <c:v>198.56849999999997</c:v>
                </c:pt>
                <c:pt idx="152">
                  <c:v>198.19199999999998</c:v>
                </c:pt>
                <c:pt idx="153">
                  <c:v>197.60550000000001</c:v>
                </c:pt>
                <c:pt idx="154">
                  <c:v>196.64249999999998</c:v>
                </c:pt>
                <c:pt idx="155">
                  <c:v>195.95249999999999</c:v>
                </c:pt>
                <c:pt idx="156">
                  <c:v>195.28800000000001</c:v>
                </c:pt>
                <c:pt idx="157">
                  <c:v>194.59350000000001</c:v>
                </c:pt>
                <c:pt idx="158">
                  <c:v>193.92599999999999</c:v>
                </c:pt>
                <c:pt idx="159">
                  <c:v>193.4205</c:v>
                </c:pt>
                <c:pt idx="160">
                  <c:v>192.57900000000001</c:v>
                </c:pt>
                <c:pt idx="161">
                  <c:v>192.13200000000001</c:v>
                </c:pt>
                <c:pt idx="162">
                  <c:v>191.44499999999999</c:v>
                </c:pt>
                <c:pt idx="163">
                  <c:v>190.2</c:v>
                </c:pt>
                <c:pt idx="164">
                  <c:v>189.69749999999999</c:v>
                </c:pt>
                <c:pt idx="165">
                  <c:v>189.36599999999999</c:v>
                </c:pt>
                <c:pt idx="166">
                  <c:v>188.721</c:v>
                </c:pt>
                <c:pt idx="167">
                  <c:v>188.292</c:v>
                </c:pt>
                <c:pt idx="168">
                  <c:v>187.76850000000002</c:v>
                </c:pt>
                <c:pt idx="169">
                  <c:v>187.0035</c:v>
                </c:pt>
                <c:pt idx="170">
                  <c:v>186.78</c:v>
                </c:pt>
                <c:pt idx="171">
                  <c:v>186.48750000000001</c:v>
                </c:pt>
                <c:pt idx="172">
                  <c:v>185.982</c:v>
                </c:pt>
                <c:pt idx="173">
                  <c:v>185.577</c:v>
                </c:pt>
                <c:pt idx="174">
                  <c:v>185.03100000000001</c:v>
                </c:pt>
                <c:pt idx="175">
                  <c:v>184.5</c:v>
                </c:pt>
                <c:pt idx="176">
                  <c:v>184.16550000000001</c:v>
                </c:pt>
                <c:pt idx="177">
                  <c:v>183.69</c:v>
                </c:pt>
                <c:pt idx="178">
                  <c:v>183.38550000000001</c:v>
                </c:pt>
                <c:pt idx="179">
                  <c:v>183.18299999999999</c:v>
                </c:pt>
                <c:pt idx="180">
                  <c:v>182.0985</c:v>
                </c:pt>
                <c:pt idx="181">
                  <c:v>181.51650000000001</c:v>
                </c:pt>
                <c:pt idx="182">
                  <c:v>180.59550000000002</c:v>
                </c:pt>
                <c:pt idx="183">
                  <c:v>180.73050000000001</c:v>
                </c:pt>
                <c:pt idx="184">
                  <c:v>180.27</c:v>
                </c:pt>
                <c:pt idx="185">
                  <c:v>180.03</c:v>
                </c:pt>
                <c:pt idx="186">
                  <c:v>179.4495</c:v>
                </c:pt>
                <c:pt idx="187">
                  <c:v>175.38600000000002</c:v>
                </c:pt>
                <c:pt idx="188">
                  <c:v>173.7285</c:v>
                </c:pt>
                <c:pt idx="189">
                  <c:v>171.6465</c:v>
                </c:pt>
                <c:pt idx="190">
                  <c:v>170.83199999999999</c:v>
                </c:pt>
                <c:pt idx="191">
                  <c:v>170.8905</c:v>
                </c:pt>
                <c:pt idx="192">
                  <c:v>170.52</c:v>
                </c:pt>
                <c:pt idx="193">
                  <c:v>169.98149999999998</c:v>
                </c:pt>
                <c:pt idx="194">
                  <c:v>169.3605</c:v>
                </c:pt>
                <c:pt idx="195">
                  <c:v>168.6885</c:v>
                </c:pt>
                <c:pt idx="196">
                  <c:v>168.20849999999999</c:v>
                </c:pt>
                <c:pt idx="197">
                  <c:v>167.553</c:v>
                </c:pt>
                <c:pt idx="198">
                  <c:v>166.94549999999998</c:v>
                </c:pt>
                <c:pt idx="199">
                  <c:v>166.3545</c:v>
                </c:pt>
                <c:pt idx="200">
                  <c:v>165.71699999999998</c:v>
                </c:pt>
                <c:pt idx="201">
                  <c:v>165.126</c:v>
                </c:pt>
                <c:pt idx="202">
                  <c:v>164.62950000000001</c:v>
                </c:pt>
                <c:pt idx="203">
                  <c:v>163.98599999999999</c:v>
                </c:pt>
                <c:pt idx="204">
                  <c:v>163.404</c:v>
                </c:pt>
                <c:pt idx="205">
                  <c:v>162.95250000000001</c:v>
                </c:pt>
                <c:pt idx="206">
                  <c:v>162.44999999999999</c:v>
                </c:pt>
                <c:pt idx="207">
                  <c:v>161.9025</c:v>
                </c:pt>
                <c:pt idx="208">
                  <c:v>161.358</c:v>
                </c:pt>
                <c:pt idx="209">
                  <c:v>160.827</c:v>
                </c:pt>
                <c:pt idx="210">
                  <c:v>160.34699999999998</c:v>
                </c:pt>
                <c:pt idx="211">
                  <c:v>159.89850000000001</c:v>
                </c:pt>
                <c:pt idx="212">
                  <c:v>159.54300000000001</c:v>
                </c:pt>
                <c:pt idx="213">
                  <c:v>159.072</c:v>
                </c:pt>
                <c:pt idx="214">
                  <c:v>158.637</c:v>
                </c:pt>
                <c:pt idx="215">
                  <c:v>158.268</c:v>
                </c:pt>
                <c:pt idx="216">
                  <c:v>157.80000000000001</c:v>
                </c:pt>
                <c:pt idx="217">
                  <c:v>157.34699999999998</c:v>
                </c:pt>
                <c:pt idx="218">
                  <c:v>156.90899999999999</c:v>
                </c:pt>
                <c:pt idx="219">
                  <c:v>156.45150000000001</c:v>
                </c:pt>
                <c:pt idx="220">
                  <c:v>156.13649999999998</c:v>
                </c:pt>
                <c:pt idx="221">
                  <c:v>155.81099999999998</c:v>
                </c:pt>
                <c:pt idx="222">
                  <c:v>155.33850000000001</c:v>
                </c:pt>
                <c:pt idx="223">
                  <c:v>154.84199999999998</c:v>
                </c:pt>
                <c:pt idx="224">
                  <c:v>154.476</c:v>
                </c:pt>
                <c:pt idx="225">
                  <c:v>154.2045</c:v>
                </c:pt>
                <c:pt idx="226">
                  <c:v>153.71100000000001</c:v>
                </c:pt>
                <c:pt idx="227">
                  <c:v>153.15300000000002</c:v>
                </c:pt>
                <c:pt idx="228">
                  <c:v>152.7405</c:v>
                </c:pt>
                <c:pt idx="229">
                  <c:v>152.33850000000001</c:v>
                </c:pt>
                <c:pt idx="230">
                  <c:v>151.85400000000001</c:v>
                </c:pt>
                <c:pt idx="231">
                  <c:v>151.48949999999999</c:v>
                </c:pt>
                <c:pt idx="232">
                  <c:v>151.06200000000001</c:v>
                </c:pt>
                <c:pt idx="233">
                  <c:v>150.6525</c:v>
                </c:pt>
                <c:pt idx="234">
                  <c:v>150.30000000000001</c:v>
                </c:pt>
                <c:pt idx="235">
                  <c:v>150.13499999999999</c:v>
                </c:pt>
                <c:pt idx="236">
                  <c:v>149.94450000000001</c:v>
                </c:pt>
                <c:pt idx="237">
                  <c:v>149.53799999999998</c:v>
                </c:pt>
                <c:pt idx="238">
                  <c:v>149.23650000000001</c:v>
                </c:pt>
                <c:pt idx="239">
                  <c:v>148.90049999999999</c:v>
                </c:pt>
                <c:pt idx="240">
                  <c:v>148.35750000000002</c:v>
                </c:pt>
                <c:pt idx="241">
                  <c:v>147.9435</c:v>
                </c:pt>
                <c:pt idx="242">
                  <c:v>147.59550000000002</c:v>
                </c:pt>
                <c:pt idx="243">
                  <c:v>147.14400000000001</c:v>
                </c:pt>
                <c:pt idx="244">
                  <c:v>146.874</c:v>
                </c:pt>
                <c:pt idx="245">
                  <c:v>146.649</c:v>
                </c:pt>
                <c:pt idx="246">
                  <c:v>146.01749999999998</c:v>
                </c:pt>
                <c:pt idx="247">
                  <c:v>145.45650000000001</c:v>
                </c:pt>
                <c:pt idx="248">
                  <c:v>145.49099999999999</c:v>
                </c:pt>
                <c:pt idx="249">
                  <c:v>145.27350000000001</c:v>
                </c:pt>
                <c:pt idx="250">
                  <c:v>145.07399999999998</c:v>
                </c:pt>
                <c:pt idx="251">
                  <c:v>144.24</c:v>
                </c:pt>
                <c:pt idx="252">
                  <c:v>144.26249999999999</c:v>
                </c:pt>
                <c:pt idx="253">
                  <c:v>143.685</c:v>
                </c:pt>
                <c:pt idx="254">
                  <c:v>143.1885</c:v>
                </c:pt>
                <c:pt idx="255">
                  <c:v>143.1705</c:v>
                </c:pt>
                <c:pt idx="256">
                  <c:v>142.6215</c:v>
                </c:pt>
                <c:pt idx="257">
                  <c:v>142.46850000000001</c:v>
                </c:pt>
                <c:pt idx="258">
                  <c:v>142.155</c:v>
                </c:pt>
                <c:pt idx="259">
                  <c:v>141.8475</c:v>
                </c:pt>
                <c:pt idx="260">
                  <c:v>141.39599999999999</c:v>
                </c:pt>
                <c:pt idx="261">
                  <c:v>141.14999999999998</c:v>
                </c:pt>
                <c:pt idx="262">
                  <c:v>140.93700000000001</c:v>
                </c:pt>
                <c:pt idx="263">
                  <c:v>140.29949999999999</c:v>
                </c:pt>
                <c:pt idx="264">
                  <c:v>139.422</c:v>
                </c:pt>
                <c:pt idx="265">
                  <c:v>139.125</c:v>
                </c:pt>
                <c:pt idx="266">
                  <c:v>138.48149999999998</c:v>
                </c:pt>
                <c:pt idx="267">
                  <c:v>138.32399999999998</c:v>
                </c:pt>
                <c:pt idx="268">
                  <c:v>137.92500000000001</c:v>
                </c:pt>
                <c:pt idx="269">
                  <c:v>137.19450000000001</c:v>
                </c:pt>
                <c:pt idx="270">
                  <c:v>136.821</c:v>
                </c:pt>
                <c:pt idx="271">
                  <c:v>136.15350000000001</c:v>
                </c:pt>
                <c:pt idx="272">
                  <c:v>135.70050000000001</c:v>
                </c:pt>
                <c:pt idx="273">
                  <c:v>135.77549999999999</c:v>
                </c:pt>
                <c:pt idx="274">
                  <c:v>135.2175</c:v>
                </c:pt>
                <c:pt idx="275">
                  <c:v>134.77800000000002</c:v>
                </c:pt>
                <c:pt idx="276">
                  <c:v>134.14350000000002</c:v>
                </c:pt>
                <c:pt idx="277">
                  <c:v>134.0745</c:v>
                </c:pt>
                <c:pt idx="278">
                  <c:v>133.785</c:v>
                </c:pt>
                <c:pt idx="279">
                  <c:v>133.56299999999999</c:v>
                </c:pt>
                <c:pt idx="280">
                  <c:v>133.17150000000001</c:v>
                </c:pt>
                <c:pt idx="281">
                  <c:v>132.95849999999999</c:v>
                </c:pt>
                <c:pt idx="282">
                  <c:v>132.84</c:v>
                </c:pt>
                <c:pt idx="283">
                  <c:v>132.66299999999998</c:v>
                </c:pt>
                <c:pt idx="284">
                  <c:v>132.60599999999999</c:v>
                </c:pt>
                <c:pt idx="285">
                  <c:v>131.90100000000001</c:v>
                </c:pt>
                <c:pt idx="286">
                  <c:v>131.62799999999999</c:v>
                </c:pt>
                <c:pt idx="287">
                  <c:v>131.44650000000001</c:v>
                </c:pt>
                <c:pt idx="288">
                  <c:v>131.30549999999999</c:v>
                </c:pt>
                <c:pt idx="289">
                  <c:v>130.45349999999999</c:v>
                </c:pt>
                <c:pt idx="290">
                  <c:v>130.12950000000001</c:v>
                </c:pt>
                <c:pt idx="291">
                  <c:v>129.62700000000001</c:v>
                </c:pt>
                <c:pt idx="292">
                  <c:v>129.4845</c:v>
                </c:pt>
                <c:pt idx="293">
                  <c:v>129.327</c:v>
                </c:pt>
                <c:pt idx="294">
                  <c:v>129.285</c:v>
                </c:pt>
                <c:pt idx="295">
                  <c:v>128.7405</c:v>
                </c:pt>
                <c:pt idx="296">
                  <c:v>128.56649999999999</c:v>
                </c:pt>
                <c:pt idx="297">
                  <c:v>128.262</c:v>
                </c:pt>
                <c:pt idx="298">
                  <c:v>128.0085</c:v>
                </c:pt>
                <c:pt idx="299">
                  <c:v>127.63050000000001</c:v>
                </c:pt>
                <c:pt idx="300">
                  <c:v>127.38600000000001</c:v>
                </c:pt>
                <c:pt idx="301">
                  <c:v>126.33150000000001</c:v>
                </c:pt>
                <c:pt idx="302">
                  <c:v>125.66399999999999</c:v>
                </c:pt>
                <c:pt idx="303">
                  <c:v>125.15849999999999</c:v>
                </c:pt>
                <c:pt idx="304">
                  <c:v>125.44499999999999</c:v>
                </c:pt>
                <c:pt idx="305">
                  <c:v>124.92</c:v>
                </c:pt>
                <c:pt idx="306">
                  <c:v>125.04900000000001</c:v>
                </c:pt>
                <c:pt idx="307">
                  <c:v>124.60049999999998</c:v>
                </c:pt>
                <c:pt idx="308">
                  <c:v>124.3215</c:v>
                </c:pt>
                <c:pt idx="309">
                  <c:v>123.762</c:v>
                </c:pt>
                <c:pt idx="310">
                  <c:v>123.2055</c:v>
                </c:pt>
                <c:pt idx="311">
                  <c:v>122.97</c:v>
                </c:pt>
                <c:pt idx="312">
                  <c:v>123.27900000000001</c:v>
                </c:pt>
                <c:pt idx="313">
                  <c:v>122.86949999999999</c:v>
                </c:pt>
                <c:pt idx="314">
                  <c:v>122.184</c:v>
                </c:pt>
                <c:pt idx="315">
                  <c:v>121.7535</c:v>
                </c:pt>
                <c:pt idx="316">
                  <c:v>121.34550000000002</c:v>
                </c:pt>
                <c:pt idx="317">
                  <c:v>120.97199999999999</c:v>
                </c:pt>
                <c:pt idx="318">
                  <c:v>120.61350000000002</c:v>
                </c:pt>
                <c:pt idx="319">
                  <c:v>120.39450000000001</c:v>
                </c:pt>
                <c:pt idx="320">
                  <c:v>120</c:v>
                </c:pt>
                <c:pt idx="321">
                  <c:v>119.63849999999999</c:v>
                </c:pt>
                <c:pt idx="322">
                  <c:v>119.25</c:v>
                </c:pt>
                <c:pt idx="323">
                  <c:v>118.90049999999999</c:v>
                </c:pt>
                <c:pt idx="324">
                  <c:v>118.6455</c:v>
                </c:pt>
                <c:pt idx="325">
                  <c:v>118.27499999999999</c:v>
                </c:pt>
                <c:pt idx="326">
                  <c:v>118.13249999999999</c:v>
                </c:pt>
                <c:pt idx="327">
                  <c:v>117.99300000000001</c:v>
                </c:pt>
                <c:pt idx="328">
                  <c:v>117.76050000000001</c:v>
                </c:pt>
                <c:pt idx="329">
                  <c:v>117.102</c:v>
                </c:pt>
                <c:pt idx="330">
                  <c:v>116.50200000000001</c:v>
                </c:pt>
                <c:pt idx="331">
                  <c:v>115.941</c:v>
                </c:pt>
                <c:pt idx="332">
                  <c:v>115.419</c:v>
                </c:pt>
                <c:pt idx="333">
                  <c:v>115.185</c:v>
                </c:pt>
                <c:pt idx="334">
                  <c:v>114.61800000000001</c:v>
                </c:pt>
                <c:pt idx="335">
                  <c:v>114.71249999999999</c:v>
                </c:pt>
                <c:pt idx="336">
                  <c:v>114.05100000000002</c:v>
                </c:pt>
                <c:pt idx="337">
                  <c:v>113.21249999999999</c:v>
                </c:pt>
                <c:pt idx="338">
                  <c:v>113.53200000000001</c:v>
                </c:pt>
                <c:pt idx="339">
                  <c:v>113.26950000000001</c:v>
                </c:pt>
                <c:pt idx="340">
                  <c:v>113.685</c:v>
                </c:pt>
                <c:pt idx="341">
                  <c:v>113.367</c:v>
                </c:pt>
                <c:pt idx="342">
                  <c:v>113.00550000000001</c:v>
                </c:pt>
                <c:pt idx="343">
                  <c:v>112.84050000000001</c:v>
                </c:pt>
                <c:pt idx="344">
                  <c:v>112.983</c:v>
                </c:pt>
                <c:pt idx="345">
                  <c:v>112.53300000000002</c:v>
                </c:pt>
                <c:pt idx="346">
                  <c:v>112.40849999999999</c:v>
                </c:pt>
                <c:pt idx="347">
                  <c:v>112.04849999999999</c:v>
                </c:pt>
                <c:pt idx="348">
                  <c:v>111.54150000000001</c:v>
                </c:pt>
                <c:pt idx="349">
                  <c:v>111.07350000000001</c:v>
                </c:pt>
                <c:pt idx="350">
                  <c:v>110.32350000000001</c:v>
                </c:pt>
                <c:pt idx="351">
                  <c:v>110.29050000000001</c:v>
                </c:pt>
                <c:pt idx="352">
                  <c:v>109.71600000000001</c:v>
                </c:pt>
                <c:pt idx="353">
                  <c:v>109.56450000000001</c:v>
                </c:pt>
                <c:pt idx="354">
                  <c:v>109.04849999999999</c:v>
                </c:pt>
                <c:pt idx="355">
                  <c:v>108.99449999999999</c:v>
                </c:pt>
                <c:pt idx="356">
                  <c:v>108.67349999999999</c:v>
                </c:pt>
                <c:pt idx="357">
                  <c:v>108.45750000000001</c:v>
                </c:pt>
                <c:pt idx="358">
                  <c:v>108.3135</c:v>
                </c:pt>
                <c:pt idx="359">
                  <c:v>107.955</c:v>
                </c:pt>
                <c:pt idx="360">
                  <c:v>107.7765</c:v>
                </c:pt>
                <c:pt idx="361">
                  <c:v>107.5005</c:v>
                </c:pt>
                <c:pt idx="362">
                  <c:v>107.17649999999999</c:v>
                </c:pt>
                <c:pt idx="363">
                  <c:v>107.0745</c:v>
                </c:pt>
                <c:pt idx="364">
                  <c:v>106.89750000000001</c:v>
                </c:pt>
                <c:pt idx="365">
                  <c:v>106.70099999999999</c:v>
                </c:pt>
                <c:pt idx="366">
                  <c:v>105.98850000000002</c:v>
                </c:pt>
                <c:pt idx="367">
                  <c:v>105.76950000000001</c:v>
                </c:pt>
                <c:pt idx="368">
                  <c:v>105.501</c:v>
                </c:pt>
                <c:pt idx="369">
                  <c:v>105.339</c:v>
                </c:pt>
                <c:pt idx="370">
                  <c:v>105.23099999999999</c:v>
                </c:pt>
                <c:pt idx="371">
                  <c:v>105.0675</c:v>
                </c:pt>
                <c:pt idx="372">
                  <c:v>104.883</c:v>
                </c:pt>
                <c:pt idx="373">
                  <c:v>104.73599999999999</c:v>
                </c:pt>
                <c:pt idx="374">
                  <c:v>104.589</c:v>
                </c:pt>
                <c:pt idx="375">
                  <c:v>104.4195</c:v>
                </c:pt>
                <c:pt idx="376">
                  <c:v>104.24549999999999</c:v>
                </c:pt>
                <c:pt idx="377">
                  <c:v>104.0715</c:v>
                </c:pt>
                <c:pt idx="378">
                  <c:v>103.851</c:v>
                </c:pt>
                <c:pt idx="379">
                  <c:v>103.6965</c:v>
                </c:pt>
                <c:pt idx="380">
                  <c:v>103.40400000000001</c:v>
                </c:pt>
                <c:pt idx="381">
                  <c:v>103.224</c:v>
                </c:pt>
                <c:pt idx="382">
                  <c:v>102.97800000000001</c:v>
                </c:pt>
                <c:pt idx="383">
                  <c:v>102.828</c:v>
                </c:pt>
                <c:pt idx="384">
                  <c:v>102.65549999999999</c:v>
                </c:pt>
                <c:pt idx="385">
                  <c:v>102.41550000000001</c:v>
                </c:pt>
                <c:pt idx="386">
                  <c:v>102.13800000000001</c:v>
                </c:pt>
                <c:pt idx="387">
                  <c:v>101.99549999999999</c:v>
                </c:pt>
                <c:pt idx="388">
                  <c:v>101.7885</c:v>
                </c:pt>
                <c:pt idx="389">
                  <c:v>101.47649999999999</c:v>
                </c:pt>
                <c:pt idx="390">
                  <c:v>101.304</c:v>
                </c:pt>
                <c:pt idx="391">
                  <c:v>100.99799999999999</c:v>
                </c:pt>
                <c:pt idx="392">
                  <c:v>100.87200000000001</c:v>
                </c:pt>
                <c:pt idx="393">
                  <c:v>100.61399999999999</c:v>
                </c:pt>
                <c:pt idx="394">
                  <c:v>100.5</c:v>
                </c:pt>
                <c:pt idx="395">
                  <c:v>100.35300000000001</c:v>
                </c:pt>
                <c:pt idx="396">
                  <c:v>100.24349999999998</c:v>
                </c:pt>
                <c:pt idx="397">
                  <c:v>100.035</c:v>
                </c:pt>
                <c:pt idx="398">
                  <c:v>99.81</c:v>
                </c:pt>
                <c:pt idx="399">
                  <c:v>99.511499999999984</c:v>
                </c:pt>
                <c:pt idx="400">
                  <c:v>99.254999999999995</c:v>
                </c:pt>
                <c:pt idx="401">
                  <c:v>98.962499999999991</c:v>
                </c:pt>
                <c:pt idx="402">
                  <c:v>98.794499999999999</c:v>
                </c:pt>
                <c:pt idx="403">
                  <c:v>98.410499999999999</c:v>
                </c:pt>
                <c:pt idx="404">
                  <c:v>98.406000000000006</c:v>
                </c:pt>
                <c:pt idx="405">
                  <c:v>98.233500000000006</c:v>
                </c:pt>
                <c:pt idx="406">
                  <c:v>98.113500000000016</c:v>
                </c:pt>
                <c:pt idx="407">
                  <c:v>97.902000000000001</c:v>
                </c:pt>
                <c:pt idx="408">
                  <c:v>97.631999999999991</c:v>
                </c:pt>
                <c:pt idx="409">
                  <c:v>97.636499999999984</c:v>
                </c:pt>
                <c:pt idx="410">
                  <c:v>97.465500000000006</c:v>
                </c:pt>
                <c:pt idx="411">
                  <c:v>97.301999999999992</c:v>
                </c:pt>
                <c:pt idx="412">
                  <c:v>96.328979999999987</c:v>
                </c:pt>
                <c:pt idx="413">
                  <c:v>95.365690199999989</c:v>
                </c:pt>
                <c:pt idx="414">
                  <c:v>94.412033297999983</c:v>
                </c:pt>
                <c:pt idx="415">
                  <c:v>93.467912965019977</c:v>
                </c:pt>
                <c:pt idx="416">
                  <c:v>92.533233835369771</c:v>
                </c:pt>
                <c:pt idx="417">
                  <c:v>91.607901497016073</c:v>
                </c:pt>
                <c:pt idx="418">
                  <c:v>90.691822482045907</c:v>
                </c:pt>
                <c:pt idx="419">
                  <c:v>89.784904257225449</c:v>
                </c:pt>
                <c:pt idx="420">
                  <c:v>88.887055214653188</c:v>
                </c:pt>
                <c:pt idx="421">
                  <c:v>87.998184662506659</c:v>
                </c:pt>
                <c:pt idx="422">
                  <c:v>87.118202815881588</c:v>
                </c:pt>
                <c:pt idx="423">
                  <c:v>86.247020787722775</c:v>
                </c:pt>
                <c:pt idx="424">
                  <c:v>85.384550579845552</c:v>
                </c:pt>
                <c:pt idx="425">
                  <c:v>84.530705074047091</c:v>
                </c:pt>
                <c:pt idx="426">
                  <c:v>83.685398023306618</c:v>
                </c:pt>
                <c:pt idx="427">
                  <c:v>82.848544043073545</c:v>
                </c:pt>
                <c:pt idx="428">
                  <c:v>82.020058602642806</c:v>
                </c:pt>
                <c:pt idx="429">
                  <c:v>81.199858016616375</c:v>
                </c:pt>
                <c:pt idx="430">
                  <c:v>80.387859436450213</c:v>
                </c:pt>
                <c:pt idx="431">
                  <c:v>79.583980842085708</c:v>
                </c:pt>
                <c:pt idx="432">
                  <c:v>78.788141033664857</c:v>
                </c:pt>
                <c:pt idx="433">
                  <c:v>78.000259623328205</c:v>
                </c:pt>
                <c:pt idx="434">
                  <c:v>77.220257027094917</c:v>
                </c:pt>
                <c:pt idx="435">
                  <c:v>76.448054456823968</c:v>
                </c:pt>
                <c:pt idx="436">
                  <c:v>75.683573912255724</c:v>
                </c:pt>
                <c:pt idx="437">
                  <c:v>74.92673817313316</c:v>
                </c:pt>
                <c:pt idx="438">
                  <c:v>74.177470791401831</c:v>
                </c:pt>
                <c:pt idx="439">
                  <c:v>73.435696083487812</c:v>
                </c:pt>
                <c:pt idx="440">
                  <c:v>72.701339122652939</c:v>
                </c:pt>
                <c:pt idx="441">
                  <c:v>71.974325731426404</c:v>
                </c:pt>
                <c:pt idx="442">
                  <c:v>71.254582474112141</c:v>
                </c:pt>
                <c:pt idx="443">
                  <c:v>70.542036649371013</c:v>
                </c:pt>
                <c:pt idx="444">
                  <c:v>69.836616282877301</c:v>
                </c:pt>
                <c:pt idx="445">
                  <c:v>69.138250120048525</c:v>
                </c:pt>
                <c:pt idx="446">
                  <c:v>68.446867618848046</c:v>
                </c:pt>
                <c:pt idx="447">
                  <c:v>67.762398942659559</c:v>
                </c:pt>
                <c:pt idx="448">
                  <c:v>67.084774953232966</c:v>
                </c:pt>
                <c:pt idx="449">
                  <c:v>66.413927203700638</c:v>
                </c:pt>
                <c:pt idx="450">
                  <c:v>65.749787931663633</c:v>
                </c:pt>
                <c:pt idx="451">
                  <c:v>65.092290052346996</c:v>
                </c:pt>
                <c:pt idx="452">
                  <c:v>64.441367151823528</c:v>
                </c:pt>
                <c:pt idx="453">
                  <c:v>63.796953480305291</c:v>
                </c:pt>
                <c:pt idx="454">
                  <c:v>63.158983945502236</c:v>
                </c:pt>
                <c:pt idx="455">
                  <c:v>62.527394106047211</c:v>
                </c:pt>
                <c:pt idx="456">
                  <c:v>61.902120164986741</c:v>
                </c:pt>
                <c:pt idx="457">
                  <c:v>61.283098963336876</c:v>
                </c:pt>
                <c:pt idx="458">
                  <c:v>60.67026797370351</c:v>
                </c:pt>
                <c:pt idx="459">
                  <c:v>60.063565293966477</c:v>
                </c:pt>
                <c:pt idx="460">
                  <c:v>59.462929641026811</c:v>
                </c:pt>
                <c:pt idx="461">
                  <c:v>58.868300344616543</c:v>
                </c:pt>
                <c:pt idx="462">
                  <c:v>58.279617341170379</c:v>
                </c:pt>
                <c:pt idx="463">
                  <c:v>57.696821167758678</c:v>
                </c:pt>
                <c:pt idx="464">
                  <c:v>57.11985295608109</c:v>
                </c:pt>
                <c:pt idx="465">
                  <c:v>56.54865442652028</c:v>
                </c:pt>
                <c:pt idx="466">
                  <c:v>55.983167882255074</c:v>
                </c:pt>
                <c:pt idx="467">
                  <c:v>55.42333620343252</c:v>
                </c:pt>
                <c:pt idx="468">
                  <c:v>54.869102841398195</c:v>
                </c:pt>
                <c:pt idx="469">
                  <c:v>54.320411812984212</c:v>
                </c:pt>
                <c:pt idx="470">
                  <c:v>53.777207694854368</c:v>
                </c:pt>
                <c:pt idx="471">
                  <c:v>53.239435617905826</c:v>
                </c:pt>
                <c:pt idx="472">
                  <c:v>52.707041261726765</c:v>
                </c:pt>
                <c:pt idx="473">
                  <c:v>52.179970849109495</c:v>
                </c:pt>
                <c:pt idx="474">
                  <c:v>51.6581711406184</c:v>
                </c:pt>
                <c:pt idx="475">
                  <c:v>51.141589429212218</c:v>
                </c:pt>
                <c:pt idx="476">
                  <c:v>50.630173534920097</c:v>
                </c:pt>
                <c:pt idx="477">
                  <c:v>50.123871799570892</c:v>
                </c:pt>
                <c:pt idx="478">
                  <c:v>49.622633081575181</c:v>
                </c:pt>
                <c:pt idx="479">
                  <c:v>49.126406750759429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D5-4B7A-A185-BA3C3DDB3E54}"/>
            </c:ext>
          </c:extLst>
        </c:ser>
        <c:ser>
          <c:idx val="5"/>
          <c:order val="5"/>
          <c:tx>
            <c:strRef>
              <c:f>'FPSO1 Base'!$H$2</c:f>
              <c:strCache>
                <c:ptCount val="1"/>
                <c:pt idx="0">
                  <c:v>P6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Base'!$H$3:$H$730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901.48200000000008</c:v>
                </c:pt>
                <c:pt idx="39">
                  <c:v>882.16499999999996</c:v>
                </c:pt>
                <c:pt idx="40">
                  <c:v>874.57050000000004</c:v>
                </c:pt>
                <c:pt idx="41">
                  <c:v>868.04250000000002</c:v>
                </c:pt>
                <c:pt idx="42">
                  <c:v>861.8130000000001</c:v>
                </c:pt>
                <c:pt idx="43">
                  <c:v>884.12699999999995</c:v>
                </c:pt>
                <c:pt idx="44">
                  <c:v>877.98450000000003</c:v>
                </c:pt>
                <c:pt idx="45">
                  <c:v>872.05500000000006</c:v>
                </c:pt>
                <c:pt idx="46">
                  <c:v>866.34449999999993</c:v>
                </c:pt>
                <c:pt idx="47">
                  <c:v>860.65499999999997</c:v>
                </c:pt>
                <c:pt idx="48">
                  <c:v>855.31050000000005</c:v>
                </c:pt>
                <c:pt idx="49">
                  <c:v>849.88049999999998</c:v>
                </c:pt>
                <c:pt idx="50">
                  <c:v>844.54200000000003</c:v>
                </c:pt>
                <c:pt idx="51">
                  <c:v>839.50199999999995</c:v>
                </c:pt>
                <c:pt idx="52">
                  <c:v>834.54750000000001</c:v>
                </c:pt>
                <c:pt idx="53">
                  <c:v>831.79950000000008</c:v>
                </c:pt>
                <c:pt idx="54">
                  <c:v>826.72649999999999</c:v>
                </c:pt>
                <c:pt idx="55">
                  <c:v>806.32499999999993</c:v>
                </c:pt>
                <c:pt idx="56">
                  <c:v>802.96949999999993</c:v>
                </c:pt>
                <c:pt idx="57">
                  <c:v>799.73399999999992</c:v>
                </c:pt>
                <c:pt idx="58">
                  <c:v>796.6065000000001</c:v>
                </c:pt>
                <c:pt idx="59">
                  <c:v>793.44900000000007</c:v>
                </c:pt>
                <c:pt idx="60">
                  <c:v>790.69799999999987</c:v>
                </c:pt>
                <c:pt idx="61">
                  <c:v>788.0145</c:v>
                </c:pt>
                <c:pt idx="62">
                  <c:v>785.36849999999993</c:v>
                </c:pt>
                <c:pt idx="63">
                  <c:v>782.88599999999997</c:v>
                </c:pt>
                <c:pt idx="64">
                  <c:v>780.43050000000005</c:v>
                </c:pt>
                <c:pt idx="65">
                  <c:v>777.4665</c:v>
                </c:pt>
                <c:pt idx="66">
                  <c:v>775.12649999999996</c:v>
                </c:pt>
                <c:pt idx="67">
                  <c:v>773.44950000000006</c:v>
                </c:pt>
                <c:pt idx="68">
                  <c:v>771.39750000000004</c:v>
                </c:pt>
                <c:pt idx="69">
                  <c:v>769.18499999999995</c:v>
                </c:pt>
                <c:pt idx="70">
                  <c:v>767.07749999999999</c:v>
                </c:pt>
                <c:pt idx="71">
                  <c:v>764.94450000000006</c:v>
                </c:pt>
                <c:pt idx="72">
                  <c:v>762.90300000000002</c:v>
                </c:pt>
                <c:pt idx="73">
                  <c:v>760.85699999999997</c:v>
                </c:pt>
                <c:pt idx="74">
                  <c:v>758.8125</c:v>
                </c:pt>
                <c:pt idx="75">
                  <c:v>756.88499999999999</c:v>
                </c:pt>
                <c:pt idx="76">
                  <c:v>754.90199999999993</c:v>
                </c:pt>
                <c:pt idx="77">
                  <c:v>753.02699999999993</c:v>
                </c:pt>
                <c:pt idx="78">
                  <c:v>751.11</c:v>
                </c:pt>
                <c:pt idx="79">
                  <c:v>745.6875</c:v>
                </c:pt>
                <c:pt idx="80">
                  <c:v>744.07500000000005</c:v>
                </c:pt>
                <c:pt idx="81">
                  <c:v>742.29750000000001</c:v>
                </c:pt>
                <c:pt idx="82">
                  <c:v>740.56349999999998</c:v>
                </c:pt>
                <c:pt idx="83">
                  <c:v>738.80099999999993</c:v>
                </c:pt>
                <c:pt idx="84">
                  <c:v>737.56050000000005</c:v>
                </c:pt>
                <c:pt idx="85">
                  <c:v>736.21350000000007</c:v>
                </c:pt>
                <c:pt idx="86">
                  <c:v>734.71350000000007</c:v>
                </c:pt>
                <c:pt idx="87">
                  <c:v>733.15499999999997</c:v>
                </c:pt>
                <c:pt idx="88">
                  <c:v>731.47649999999999</c:v>
                </c:pt>
                <c:pt idx="89">
                  <c:v>729.846</c:v>
                </c:pt>
                <c:pt idx="90">
                  <c:v>728.21699999999998</c:v>
                </c:pt>
                <c:pt idx="91">
                  <c:v>723.70349999999996</c:v>
                </c:pt>
                <c:pt idx="92">
                  <c:v>722.25600000000009</c:v>
                </c:pt>
                <c:pt idx="93">
                  <c:v>720.69150000000002</c:v>
                </c:pt>
                <c:pt idx="94">
                  <c:v>719.15250000000003</c:v>
                </c:pt>
                <c:pt idx="95">
                  <c:v>717.58500000000004</c:v>
                </c:pt>
                <c:pt idx="96">
                  <c:v>716.06399999999996</c:v>
                </c:pt>
                <c:pt idx="97">
                  <c:v>714.51299999999992</c:v>
                </c:pt>
                <c:pt idx="98">
                  <c:v>712.97699999999998</c:v>
                </c:pt>
                <c:pt idx="99">
                  <c:v>711.48749999999995</c:v>
                </c:pt>
                <c:pt idx="100">
                  <c:v>709.96500000000003</c:v>
                </c:pt>
                <c:pt idx="101">
                  <c:v>708.49649999999997</c:v>
                </c:pt>
                <c:pt idx="102">
                  <c:v>707.01150000000007</c:v>
                </c:pt>
                <c:pt idx="103">
                  <c:v>697.596</c:v>
                </c:pt>
                <c:pt idx="104">
                  <c:v>696.4815000000001</c:v>
                </c:pt>
                <c:pt idx="105">
                  <c:v>695.12699999999995</c:v>
                </c:pt>
                <c:pt idx="106">
                  <c:v>693.83550000000002</c:v>
                </c:pt>
                <c:pt idx="107">
                  <c:v>692.45699999999999</c:v>
                </c:pt>
                <c:pt idx="108">
                  <c:v>691.16249999999991</c:v>
                </c:pt>
                <c:pt idx="109">
                  <c:v>689.81100000000004</c:v>
                </c:pt>
                <c:pt idx="110">
                  <c:v>688.476</c:v>
                </c:pt>
                <c:pt idx="111">
                  <c:v>687.18299999999999</c:v>
                </c:pt>
                <c:pt idx="112">
                  <c:v>685.86599999999999</c:v>
                </c:pt>
                <c:pt idx="113">
                  <c:v>684.59400000000005</c:v>
                </c:pt>
                <c:pt idx="114">
                  <c:v>683.27850000000001</c:v>
                </c:pt>
                <c:pt idx="115">
                  <c:v>679.19100000000003</c:v>
                </c:pt>
                <c:pt idx="116">
                  <c:v>678.0915</c:v>
                </c:pt>
                <c:pt idx="117">
                  <c:v>676.85249999999996</c:v>
                </c:pt>
                <c:pt idx="118">
                  <c:v>675.64649999999995</c:v>
                </c:pt>
                <c:pt idx="119">
                  <c:v>674.40750000000003</c:v>
                </c:pt>
                <c:pt idx="120">
                  <c:v>673.2059999999999</c:v>
                </c:pt>
                <c:pt idx="121">
                  <c:v>671.97300000000007</c:v>
                </c:pt>
                <c:pt idx="122">
                  <c:v>670.73249999999996</c:v>
                </c:pt>
                <c:pt idx="123">
                  <c:v>669.56850000000009</c:v>
                </c:pt>
                <c:pt idx="124">
                  <c:v>668.34749999999997</c:v>
                </c:pt>
                <c:pt idx="125">
                  <c:v>667.17599999999993</c:v>
                </c:pt>
                <c:pt idx="126">
                  <c:v>665.97300000000007</c:v>
                </c:pt>
                <c:pt idx="127">
                  <c:v>662.60550000000001</c:v>
                </c:pt>
                <c:pt idx="128">
                  <c:v>661.57349999999997</c:v>
                </c:pt>
                <c:pt idx="129">
                  <c:v>660.44399999999996</c:v>
                </c:pt>
                <c:pt idx="130">
                  <c:v>659.31449999999995</c:v>
                </c:pt>
                <c:pt idx="131">
                  <c:v>658.16399999999999</c:v>
                </c:pt>
                <c:pt idx="132">
                  <c:v>657.07950000000005</c:v>
                </c:pt>
                <c:pt idx="133">
                  <c:v>655.93049999999994</c:v>
                </c:pt>
                <c:pt idx="134">
                  <c:v>654.83249999999998</c:v>
                </c:pt>
                <c:pt idx="135">
                  <c:v>653.72249999999997</c:v>
                </c:pt>
                <c:pt idx="136">
                  <c:v>652.61099999999999</c:v>
                </c:pt>
                <c:pt idx="137">
                  <c:v>651.52649999999994</c:v>
                </c:pt>
                <c:pt idx="138">
                  <c:v>650.44949999999994</c:v>
                </c:pt>
                <c:pt idx="139">
                  <c:v>646.65750000000003</c:v>
                </c:pt>
                <c:pt idx="140">
                  <c:v>645.70500000000004</c:v>
                </c:pt>
                <c:pt idx="141">
                  <c:v>644.673</c:v>
                </c:pt>
                <c:pt idx="142">
                  <c:v>643.67700000000002</c:v>
                </c:pt>
                <c:pt idx="143">
                  <c:v>642.63</c:v>
                </c:pt>
                <c:pt idx="144">
                  <c:v>641.62649999999996</c:v>
                </c:pt>
                <c:pt idx="145">
                  <c:v>640.60950000000003</c:v>
                </c:pt>
                <c:pt idx="146">
                  <c:v>639.58199999999999</c:v>
                </c:pt>
                <c:pt idx="147">
                  <c:v>638.59800000000007</c:v>
                </c:pt>
                <c:pt idx="148">
                  <c:v>637.58550000000002</c:v>
                </c:pt>
                <c:pt idx="149">
                  <c:v>636.60900000000004</c:v>
                </c:pt>
                <c:pt idx="150">
                  <c:v>635.62350000000004</c:v>
                </c:pt>
                <c:pt idx="151">
                  <c:v>629.36249999999995</c:v>
                </c:pt>
                <c:pt idx="152">
                  <c:v>628.57500000000005</c:v>
                </c:pt>
                <c:pt idx="153">
                  <c:v>627.68550000000005</c:v>
                </c:pt>
                <c:pt idx="154">
                  <c:v>626.80649999999991</c:v>
                </c:pt>
                <c:pt idx="155">
                  <c:v>625.89</c:v>
                </c:pt>
                <c:pt idx="156">
                  <c:v>625.02449999999999</c:v>
                </c:pt>
                <c:pt idx="157">
                  <c:v>624.11850000000004</c:v>
                </c:pt>
                <c:pt idx="158">
                  <c:v>623.22</c:v>
                </c:pt>
                <c:pt idx="159">
                  <c:v>622.33949999999993</c:v>
                </c:pt>
                <c:pt idx="160">
                  <c:v>621.44849999999997</c:v>
                </c:pt>
                <c:pt idx="161">
                  <c:v>620.60550000000001</c:v>
                </c:pt>
                <c:pt idx="162">
                  <c:v>619.69949999999994</c:v>
                </c:pt>
                <c:pt idx="163">
                  <c:v>616.22699999999998</c:v>
                </c:pt>
                <c:pt idx="164">
                  <c:v>615.49649999999997</c:v>
                </c:pt>
                <c:pt idx="165">
                  <c:v>614.66700000000003</c:v>
                </c:pt>
                <c:pt idx="166">
                  <c:v>613.86750000000006</c:v>
                </c:pt>
                <c:pt idx="167">
                  <c:v>613.03649999999993</c:v>
                </c:pt>
                <c:pt idx="168">
                  <c:v>612.23099999999999</c:v>
                </c:pt>
                <c:pt idx="169">
                  <c:v>611.43000000000006</c:v>
                </c:pt>
                <c:pt idx="170">
                  <c:v>610.55700000000002</c:v>
                </c:pt>
                <c:pt idx="171">
                  <c:v>609.81449999999995</c:v>
                </c:pt>
                <c:pt idx="172">
                  <c:v>608.99699999999996</c:v>
                </c:pt>
                <c:pt idx="173">
                  <c:v>608.20349999999996</c:v>
                </c:pt>
                <c:pt idx="174">
                  <c:v>607.39049999999997</c:v>
                </c:pt>
                <c:pt idx="175">
                  <c:v>606.6105</c:v>
                </c:pt>
                <c:pt idx="176">
                  <c:v>605.89649999999995</c:v>
                </c:pt>
                <c:pt idx="177">
                  <c:v>605.09850000000006</c:v>
                </c:pt>
                <c:pt idx="178">
                  <c:v>604.34550000000002</c:v>
                </c:pt>
                <c:pt idx="179">
                  <c:v>603.5625</c:v>
                </c:pt>
                <c:pt idx="180">
                  <c:v>602.80799999999999</c:v>
                </c:pt>
                <c:pt idx="181">
                  <c:v>602.02649999999994</c:v>
                </c:pt>
                <c:pt idx="182">
                  <c:v>601.24800000000005</c:v>
                </c:pt>
                <c:pt idx="183">
                  <c:v>600.53700000000003</c:v>
                </c:pt>
                <c:pt idx="184">
                  <c:v>599.75850000000003</c:v>
                </c:pt>
                <c:pt idx="185">
                  <c:v>599.02350000000001</c:v>
                </c:pt>
                <c:pt idx="186">
                  <c:v>598.24649999999997</c:v>
                </c:pt>
                <c:pt idx="187">
                  <c:v>583.24350000000004</c:v>
                </c:pt>
                <c:pt idx="188">
                  <c:v>582.90750000000003</c:v>
                </c:pt>
                <c:pt idx="189">
                  <c:v>582.34649999999999</c:v>
                </c:pt>
                <c:pt idx="190">
                  <c:v>581.78700000000003</c:v>
                </c:pt>
                <c:pt idx="191">
                  <c:v>581.23649999999998</c:v>
                </c:pt>
                <c:pt idx="192">
                  <c:v>580.6155</c:v>
                </c:pt>
                <c:pt idx="193">
                  <c:v>580.07849999999996</c:v>
                </c:pt>
                <c:pt idx="194">
                  <c:v>579.41700000000003</c:v>
                </c:pt>
                <c:pt idx="195">
                  <c:v>578.88149999999996</c:v>
                </c:pt>
                <c:pt idx="196">
                  <c:v>578.28300000000002</c:v>
                </c:pt>
                <c:pt idx="197">
                  <c:v>577.68600000000004</c:v>
                </c:pt>
                <c:pt idx="198">
                  <c:v>577.101</c:v>
                </c:pt>
                <c:pt idx="199">
                  <c:v>576.51</c:v>
                </c:pt>
                <c:pt idx="200">
                  <c:v>575.97149999999999</c:v>
                </c:pt>
                <c:pt idx="201">
                  <c:v>575.37599999999998</c:v>
                </c:pt>
                <c:pt idx="202">
                  <c:v>574.80449999999996</c:v>
                </c:pt>
                <c:pt idx="203">
                  <c:v>574.21949999999993</c:v>
                </c:pt>
                <c:pt idx="204">
                  <c:v>573.68100000000004</c:v>
                </c:pt>
                <c:pt idx="205">
                  <c:v>573.06150000000002</c:v>
                </c:pt>
                <c:pt idx="206">
                  <c:v>572.51700000000005</c:v>
                </c:pt>
                <c:pt idx="207">
                  <c:v>571.94849999999997</c:v>
                </c:pt>
                <c:pt idx="208">
                  <c:v>571.38300000000004</c:v>
                </c:pt>
                <c:pt idx="209">
                  <c:v>570.82500000000005</c:v>
                </c:pt>
                <c:pt idx="210">
                  <c:v>570.27300000000002</c:v>
                </c:pt>
                <c:pt idx="211">
                  <c:v>569.7059999999999</c:v>
                </c:pt>
                <c:pt idx="212">
                  <c:v>569.19600000000003</c:v>
                </c:pt>
                <c:pt idx="213">
                  <c:v>568.66650000000004</c:v>
                </c:pt>
                <c:pt idx="214">
                  <c:v>568.09050000000002</c:v>
                </c:pt>
                <c:pt idx="215">
                  <c:v>567.57900000000006</c:v>
                </c:pt>
                <c:pt idx="216">
                  <c:v>567.04049999999995</c:v>
                </c:pt>
                <c:pt idx="217">
                  <c:v>566.51700000000005</c:v>
                </c:pt>
                <c:pt idx="218">
                  <c:v>565.95000000000005</c:v>
                </c:pt>
                <c:pt idx="219">
                  <c:v>565.42949999999996</c:v>
                </c:pt>
                <c:pt idx="220">
                  <c:v>564.91050000000007</c:v>
                </c:pt>
                <c:pt idx="221">
                  <c:v>564.40499999999997</c:v>
                </c:pt>
                <c:pt idx="222">
                  <c:v>563.8934999999999</c:v>
                </c:pt>
                <c:pt idx="223">
                  <c:v>563.35050000000001</c:v>
                </c:pt>
                <c:pt idx="224">
                  <c:v>562.89300000000003</c:v>
                </c:pt>
                <c:pt idx="225">
                  <c:v>562.38149999999996</c:v>
                </c:pt>
                <c:pt idx="226">
                  <c:v>561.8655</c:v>
                </c:pt>
                <c:pt idx="227">
                  <c:v>561.39</c:v>
                </c:pt>
                <c:pt idx="228">
                  <c:v>560.86500000000001</c:v>
                </c:pt>
                <c:pt idx="229">
                  <c:v>560.39700000000005</c:v>
                </c:pt>
                <c:pt idx="230">
                  <c:v>559.90049999999997</c:v>
                </c:pt>
                <c:pt idx="231">
                  <c:v>559.39949999999999</c:v>
                </c:pt>
                <c:pt idx="232">
                  <c:v>558.90899999999999</c:v>
                </c:pt>
                <c:pt idx="233">
                  <c:v>558.423</c:v>
                </c:pt>
                <c:pt idx="234">
                  <c:v>557.96399999999994</c:v>
                </c:pt>
                <c:pt idx="235">
                  <c:v>557.46749999999997</c:v>
                </c:pt>
                <c:pt idx="236">
                  <c:v>557.04449999999997</c:v>
                </c:pt>
                <c:pt idx="237">
                  <c:v>556.54650000000004</c:v>
                </c:pt>
                <c:pt idx="238">
                  <c:v>556.07849999999996</c:v>
                </c:pt>
                <c:pt idx="239">
                  <c:v>555.60149999999999</c:v>
                </c:pt>
                <c:pt idx="240">
                  <c:v>555.17550000000006</c:v>
                </c:pt>
                <c:pt idx="241">
                  <c:v>554.67899999999997</c:v>
                </c:pt>
                <c:pt idx="242">
                  <c:v>554.25450000000001</c:v>
                </c:pt>
                <c:pt idx="243">
                  <c:v>553.7595</c:v>
                </c:pt>
                <c:pt idx="244">
                  <c:v>553.33349999999996</c:v>
                </c:pt>
                <c:pt idx="245">
                  <c:v>552.90599999999995</c:v>
                </c:pt>
                <c:pt idx="246">
                  <c:v>552.43500000000006</c:v>
                </c:pt>
                <c:pt idx="247">
                  <c:v>552.01049999999998</c:v>
                </c:pt>
                <c:pt idx="248">
                  <c:v>551.59199999999998</c:v>
                </c:pt>
                <c:pt idx="249">
                  <c:v>551.16</c:v>
                </c:pt>
                <c:pt idx="250">
                  <c:v>550.70849999999996</c:v>
                </c:pt>
                <c:pt idx="251">
                  <c:v>550.28550000000007</c:v>
                </c:pt>
                <c:pt idx="252">
                  <c:v>549.85350000000005</c:v>
                </c:pt>
                <c:pt idx="253">
                  <c:v>549.43500000000006</c:v>
                </c:pt>
                <c:pt idx="254">
                  <c:v>549.00900000000001</c:v>
                </c:pt>
                <c:pt idx="255">
                  <c:v>548.58450000000005</c:v>
                </c:pt>
                <c:pt idx="256">
                  <c:v>548.1825</c:v>
                </c:pt>
                <c:pt idx="257">
                  <c:v>547.779</c:v>
                </c:pt>
                <c:pt idx="258">
                  <c:v>547.35599999999999</c:v>
                </c:pt>
                <c:pt idx="259">
                  <c:v>546.95400000000006</c:v>
                </c:pt>
                <c:pt idx="260">
                  <c:v>546.54300000000001</c:v>
                </c:pt>
                <c:pt idx="261">
                  <c:v>546.19799999999998</c:v>
                </c:pt>
                <c:pt idx="262">
                  <c:v>545.77649999999994</c:v>
                </c:pt>
                <c:pt idx="263">
                  <c:v>545.41800000000001</c:v>
                </c:pt>
                <c:pt idx="264">
                  <c:v>545.01900000000001</c:v>
                </c:pt>
                <c:pt idx="265">
                  <c:v>544.68600000000004</c:v>
                </c:pt>
                <c:pt idx="266">
                  <c:v>544.28399999999999</c:v>
                </c:pt>
                <c:pt idx="267">
                  <c:v>543.92099999999994</c:v>
                </c:pt>
                <c:pt idx="268">
                  <c:v>543.57449999999994</c:v>
                </c:pt>
                <c:pt idx="269">
                  <c:v>543.23700000000008</c:v>
                </c:pt>
                <c:pt idx="270">
                  <c:v>542.89049999999997</c:v>
                </c:pt>
                <c:pt idx="271">
                  <c:v>542.53499999999997</c:v>
                </c:pt>
                <c:pt idx="272">
                  <c:v>542.25450000000001</c:v>
                </c:pt>
                <c:pt idx="273">
                  <c:v>541.94550000000004</c:v>
                </c:pt>
                <c:pt idx="274">
                  <c:v>541.65000000000009</c:v>
                </c:pt>
                <c:pt idx="275">
                  <c:v>541.30649999999991</c:v>
                </c:pt>
                <c:pt idx="276">
                  <c:v>541.03949999999998</c:v>
                </c:pt>
                <c:pt idx="277">
                  <c:v>540.71699999999998</c:v>
                </c:pt>
                <c:pt idx="278">
                  <c:v>540.48</c:v>
                </c:pt>
                <c:pt idx="279">
                  <c:v>540.18600000000004</c:v>
                </c:pt>
                <c:pt idx="280">
                  <c:v>539.91300000000001</c:v>
                </c:pt>
                <c:pt idx="281">
                  <c:v>539.673</c:v>
                </c:pt>
                <c:pt idx="282">
                  <c:v>539.39400000000001</c:v>
                </c:pt>
                <c:pt idx="283">
                  <c:v>539.18100000000004</c:v>
                </c:pt>
                <c:pt idx="284">
                  <c:v>538.91100000000006</c:v>
                </c:pt>
                <c:pt idx="285">
                  <c:v>538.68449999999996</c:v>
                </c:pt>
                <c:pt idx="286">
                  <c:v>538.476</c:v>
                </c:pt>
                <c:pt idx="287">
                  <c:v>538.25850000000003</c:v>
                </c:pt>
                <c:pt idx="288">
                  <c:v>538.06200000000001</c:v>
                </c:pt>
                <c:pt idx="289">
                  <c:v>537.83399999999995</c:v>
                </c:pt>
                <c:pt idx="290">
                  <c:v>537.64499999999998</c:v>
                </c:pt>
                <c:pt idx="291">
                  <c:v>537.45150000000001</c:v>
                </c:pt>
                <c:pt idx="292">
                  <c:v>537.24299999999994</c:v>
                </c:pt>
                <c:pt idx="293">
                  <c:v>537.06000000000006</c:v>
                </c:pt>
                <c:pt idx="294">
                  <c:v>536.91300000000001</c:v>
                </c:pt>
                <c:pt idx="295">
                  <c:v>536.70000000000005</c:v>
                </c:pt>
                <c:pt idx="296">
                  <c:v>536.577</c:v>
                </c:pt>
                <c:pt idx="297">
                  <c:v>536.41650000000004</c:v>
                </c:pt>
                <c:pt idx="298">
                  <c:v>536.25450000000001</c:v>
                </c:pt>
                <c:pt idx="299">
                  <c:v>536.08500000000004</c:v>
                </c:pt>
                <c:pt idx="300">
                  <c:v>535.93799999999999</c:v>
                </c:pt>
                <c:pt idx="301">
                  <c:v>535.82549999999992</c:v>
                </c:pt>
                <c:pt idx="302">
                  <c:v>535.66050000000007</c:v>
                </c:pt>
                <c:pt idx="303">
                  <c:v>535.52250000000004</c:v>
                </c:pt>
                <c:pt idx="304">
                  <c:v>535.40100000000007</c:v>
                </c:pt>
                <c:pt idx="305">
                  <c:v>535.27800000000002</c:v>
                </c:pt>
                <c:pt idx="306">
                  <c:v>535.16399999999999</c:v>
                </c:pt>
                <c:pt idx="307">
                  <c:v>535.04549999999995</c:v>
                </c:pt>
                <c:pt idx="308">
                  <c:v>534.93000000000006</c:v>
                </c:pt>
                <c:pt idx="309">
                  <c:v>534.83399999999995</c:v>
                </c:pt>
                <c:pt idx="310">
                  <c:v>534.69299999999998</c:v>
                </c:pt>
                <c:pt idx="311">
                  <c:v>534.59699999999998</c:v>
                </c:pt>
                <c:pt idx="312">
                  <c:v>534.52200000000005</c:v>
                </c:pt>
                <c:pt idx="313">
                  <c:v>534.43200000000002</c:v>
                </c:pt>
                <c:pt idx="314">
                  <c:v>534.31349999999998</c:v>
                </c:pt>
                <c:pt idx="315">
                  <c:v>534.20400000000006</c:v>
                </c:pt>
                <c:pt idx="316">
                  <c:v>534.12450000000001</c:v>
                </c:pt>
                <c:pt idx="317">
                  <c:v>534.08249999999998</c:v>
                </c:pt>
                <c:pt idx="318">
                  <c:v>533.95950000000005</c:v>
                </c:pt>
                <c:pt idx="319">
                  <c:v>533.88900000000001</c:v>
                </c:pt>
                <c:pt idx="320">
                  <c:v>533.83050000000003</c:v>
                </c:pt>
                <c:pt idx="321">
                  <c:v>533.72249999999997</c:v>
                </c:pt>
                <c:pt idx="322">
                  <c:v>533.66700000000003</c:v>
                </c:pt>
                <c:pt idx="323">
                  <c:v>533.60550000000001</c:v>
                </c:pt>
                <c:pt idx="324">
                  <c:v>533.54549999999995</c:v>
                </c:pt>
                <c:pt idx="325">
                  <c:v>533.43899999999996</c:v>
                </c:pt>
                <c:pt idx="326">
                  <c:v>533.41650000000004</c:v>
                </c:pt>
                <c:pt idx="327">
                  <c:v>533.32500000000005</c:v>
                </c:pt>
                <c:pt idx="328">
                  <c:v>533.274</c:v>
                </c:pt>
                <c:pt idx="329">
                  <c:v>533.22749999999996</c:v>
                </c:pt>
                <c:pt idx="330">
                  <c:v>533.15550000000007</c:v>
                </c:pt>
                <c:pt idx="331">
                  <c:v>533.13149999999996</c:v>
                </c:pt>
                <c:pt idx="332">
                  <c:v>533.05200000000002</c:v>
                </c:pt>
                <c:pt idx="333">
                  <c:v>532.9905</c:v>
                </c:pt>
                <c:pt idx="334">
                  <c:v>532.95899999999995</c:v>
                </c:pt>
                <c:pt idx="335">
                  <c:v>532.91999999999996</c:v>
                </c:pt>
                <c:pt idx="336">
                  <c:v>532.86149999999998</c:v>
                </c:pt>
                <c:pt idx="337">
                  <c:v>532.82549999999992</c:v>
                </c:pt>
                <c:pt idx="338">
                  <c:v>532.75350000000003</c:v>
                </c:pt>
                <c:pt idx="339">
                  <c:v>532.74</c:v>
                </c:pt>
                <c:pt idx="340">
                  <c:v>532.68299999999999</c:v>
                </c:pt>
                <c:pt idx="341">
                  <c:v>532.64099999999996</c:v>
                </c:pt>
                <c:pt idx="342">
                  <c:v>532.63650000000007</c:v>
                </c:pt>
                <c:pt idx="343">
                  <c:v>532.56449999999995</c:v>
                </c:pt>
                <c:pt idx="344">
                  <c:v>532.52250000000004</c:v>
                </c:pt>
                <c:pt idx="345">
                  <c:v>532.51800000000003</c:v>
                </c:pt>
                <c:pt idx="346">
                  <c:v>532.47</c:v>
                </c:pt>
                <c:pt idx="347">
                  <c:v>532.44749999999999</c:v>
                </c:pt>
                <c:pt idx="348">
                  <c:v>532.39800000000002</c:v>
                </c:pt>
                <c:pt idx="349">
                  <c:v>532.37549999999999</c:v>
                </c:pt>
                <c:pt idx="350">
                  <c:v>532.35299999999995</c:v>
                </c:pt>
                <c:pt idx="351">
                  <c:v>532.32449999999994</c:v>
                </c:pt>
                <c:pt idx="352">
                  <c:v>532.30500000000006</c:v>
                </c:pt>
                <c:pt idx="353">
                  <c:v>532.27500000000009</c:v>
                </c:pt>
                <c:pt idx="354">
                  <c:v>532.23450000000003</c:v>
                </c:pt>
                <c:pt idx="355">
                  <c:v>532.23450000000003</c:v>
                </c:pt>
                <c:pt idx="356">
                  <c:v>532.18349999999998</c:v>
                </c:pt>
                <c:pt idx="357">
                  <c:v>532.18650000000002</c:v>
                </c:pt>
                <c:pt idx="358">
                  <c:v>532.17750000000001</c:v>
                </c:pt>
                <c:pt idx="359">
                  <c:v>532.14</c:v>
                </c:pt>
                <c:pt idx="360">
                  <c:v>532.12950000000001</c:v>
                </c:pt>
                <c:pt idx="361">
                  <c:v>532.09199999999998</c:v>
                </c:pt>
                <c:pt idx="362">
                  <c:v>532.09199999999998</c:v>
                </c:pt>
                <c:pt idx="363">
                  <c:v>532.10400000000004</c:v>
                </c:pt>
                <c:pt idx="364">
                  <c:v>532.06950000000006</c:v>
                </c:pt>
                <c:pt idx="365">
                  <c:v>532.05600000000004</c:v>
                </c:pt>
                <c:pt idx="366">
                  <c:v>532.02149999999995</c:v>
                </c:pt>
                <c:pt idx="367">
                  <c:v>532.04549999999995</c:v>
                </c:pt>
                <c:pt idx="368">
                  <c:v>532.02600000000007</c:v>
                </c:pt>
                <c:pt idx="369">
                  <c:v>532.02149999999995</c:v>
                </c:pt>
                <c:pt idx="370">
                  <c:v>532.00649999999996</c:v>
                </c:pt>
                <c:pt idx="371">
                  <c:v>531.99750000000006</c:v>
                </c:pt>
                <c:pt idx="372">
                  <c:v>532.00649999999996</c:v>
                </c:pt>
                <c:pt idx="373">
                  <c:v>531.99750000000006</c:v>
                </c:pt>
                <c:pt idx="374">
                  <c:v>531.97499999999991</c:v>
                </c:pt>
                <c:pt idx="375">
                  <c:v>532.00649999999996</c:v>
                </c:pt>
                <c:pt idx="376">
                  <c:v>531.99750000000006</c:v>
                </c:pt>
                <c:pt idx="377">
                  <c:v>531.98249999999996</c:v>
                </c:pt>
                <c:pt idx="378">
                  <c:v>531.99750000000006</c:v>
                </c:pt>
                <c:pt idx="379">
                  <c:v>531.99750000000006</c:v>
                </c:pt>
                <c:pt idx="380">
                  <c:v>531.99149999999997</c:v>
                </c:pt>
                <c:pt idx="381">
                  <c:v>531.97499999999991</c:v>
                </c:pt>
                <c:pt idx="382">
                  <c:v>532.00649999999996</c:v>
                </c:pt>
                <c:pt idx="383">
                  <c:v>532.02149999999995</c:v>
                </c:pt>
                <c:pt idx="384">
                  <c:v>532.00649999999996</c:v>
                </c:pt>
                <c:pt idx="385">
                  <c:v>531.99750000000006</c:v>
                </c:pt>
                <c:pt idx="386">
                  <c:v>532.04549999999995</c:v>
                </c:pt>
                <c:pt idx="387">
                  <c:v>532.03199999999993</c:v>
                </c:pt>
                <c:pt idx="388">
                  <c:v>532.04549999999995</c:v>
                </c:pt>
                <c:pt idx="389">
                  <c:v>532.03199999999993</c:v>
                </c:pt>
                <c:pt idx="390">
                  <c:v>532.04549999999995</c:v>
                </c:pt>
                <c:pt idx="391">
                  <c:v>532.06950000000006</c:v>
                </c:pt>
                <c:pt idx="392">
                  <c:v>532.07849999999996</c:v>
                </c:pt>
                <c:pt idx="393">
                  <c:v>532.09199999999998</c:v>
                </c:pt>
                <c:pt idx="394">
                  <c:v>532.05600000000004</c:v>
                </c:pt>
                <c:pt idx="395">
                  <c:v>532.09199999999998</c:v>
                </c:pt>
                <c:pt idx="396">
                  <c:v>532.12950000000001</c:v>
                </c:pt>
                <c:pt idx="397">
                  <c:v>532.11599999999999</c:v>
                </c:pt>
                <c:pt idx="398">
                  <c:v>532.14</c:v>
                </c:pt>
                <c:pt idx="399">
                  <c:v>532.12950000000001</c:v>
                </c:pt>
                <c:pt idx="400">
                  <c:v>532.16399999999999</c:v>
                </c:pt>
                <c:pt idx="401">
                  <c:v>532.15350000000001</c:v>
                </c:pt>
                <c:pt idx="402">
                  <c:v>532.18650000000002</c:v>
                </c:pt>
                <c:pt idx="403">
                  <c:v>532.21050000000002</c:v>
                </c:pt>
                <c:pt idx="404">
                  <c:v>532.20899999999995</c:v>
                </c:pt>
                <c:pt idx="405">
                  <c:v>532.23450000000003</c:v>
                </c:pt>
                <c:pt idx="406">
                  <c:v>532.22699999999998</c:v>
                </c:pt>
                <c:pt idx="407">
                  <c:v>532.28099999999995</c:v>
                </c:pt>
                <c:pt idx="408">
                  <c:v>532.27500000000009</c:v>
                </c:pt>
                <c:pt idx="409">
                  <c:v>532.30500000000006</c:v>
                </c:pt>
                <c:pt idx="410">
                  <c:v>532.30500000000006</c:v>
                </c:pt>
                <c:pt idx="411">
                  <c:v>532.32449999999994</c:v>
                </c:pt>
                <c:pt idx="412">
                  <c:v>532.35299999999995</c:v>
                </c:pt>
                <c:pt idx="413">
                  <c:v>532.37250000000006</c:v>
                </c:pt>
                <c:pt idx="414">
                  <c:v>532.39949999999999</c:v>
                </c:pt>
                <c:pt idx="415">
                  <c:v>532.44749999999999</c:v>
                </c:pt>
                <c:pt idx="416">
                  <c:v>532.4190000000001</c:v>
                </c:pt>
                <c:pt idx="417">
                  <c:v>532.47</c:v>
                </c:pt>
                <c:pt idx="418">
                  <c:v>532.47</c:v>
                </c:pt>
                <c:pt idx="419">
                  <c:v>532.49399999999991</c:v>
                </c:pt>
                <c:pt idx="420">
                  <c:v>532.54349999999999</c:v>
                </c:pt>
                <c:pt idx="421">
                  <c:v>532.54200000000003</c:v>
                </c:pt>
                <c:pt idx="422">
                  <c:v>532.56449999999995</c:v>
                </c:pt>
                <c:pt idx="423">
                  <c:v>532.59300000000007</c:v>
                </c:pt>
                <c:pt idx="424">
                  <c:v>532.63650000000007</c:v>
                </c:pt>
                <c:pt idx="425">
                  <c:v>532.64099999999996</c:v>
                </c:pt>
                <c:pt idx="426">
                  <c:v>532.70699999999999</c:v>
                </c:pt>
                <c:pt idx="427">
                  <c:v>532.68299999999999</c:v>
                </c:pt>
                <c:pt idx="428">
                  <c:v>532.72350000000006</c:v>
                </c:pt>
                <c:pt idx="429">
                  <c:v>532.77750000000003</c:v>
                </c:pt>
                <c:pt idx="430">
                  <c:v>532.76400000000001</c:v>
                </c:pt>
                <c:pt idx="431">
                  <c:v>532.82549999999992</c:v>
                </c:pt>
                <c:pt idx="432">
                  <c:v>532.83750000000009</c:v>
                </c:pt>
                <c:pt idx="433">
                  <c:v>532.87199999999996</c:v>
                </c:pt>
                <c:pt idx="434">
                  <c:v>532.91999999999996</c:v>
                </c:pt>
                <c:pt idx="435">
                  <c:v>532.90949999999998</c:v>
                </c:pt>
                <c:pt idx="436">
                  <c:v>532.9665</c:v>
                </c:pt>
                <c:pt idx="437">
                  <c:v>533.00850000000003</c:v>
                </c:pt>
                <c:pt idx="438">
                  <c:v>533.0145</c:v>
                </c:pt>
                <c:pt idx="439">
                  <c:v>533.06100000000004</c:v>
                </c:pt>
                <c:pt idx="440">
                  <c:v>533.09850000000006</c:v>
                </c:pt>
                <c:pt idx="441">
                  <c:v>533.13149999999996</c:v>
                </c:pt>
                <c:pt idx="442">
                  <c:v>533.178</c:v>
                </c:pt>
                <c:pt idx="443">
                  <c:v>533.17949999999996</c:v>
                </c:pt>
                <c:pt idx="444">
                  <c:v>533.20349999999996</c:v>
                </c:pt>
                <c:pt idx="445">
                  <c:v>533.274</c:v>
                </c:pt>
                <c:pt idx="446">
                  <c:v>533.298</c:v>
                </c:pt>
                <c:pt idx="447">
                  <c:v>533.32500000000005</c:v>
                </c:pt>
                <c:pt idx="448">
                  <c:v>533.39250000000004</c:v>
                </c:pt>
                <c:pt idx="449">
                  <c:v>533.39850000000001</c:v>
                </c:pt>
                <c:pt idx="450">
                  <c:v>533.43899999999996</c:v>
                </c:pt>
                <c:pt idx="451">
                  <c:v>533.46299999999997</c:v>
                </c:pt>
                <c:pt idx="452">
                  <c:v>533.51700000000005</c:v>
                </c:pt>
                <c:pt idx="453">
                  <c:v>533.5335</c:v>
                </c:pt>
                <c:pt idx="454">
                  <c:v>533.61750000000006</c:v>
                </c:pt>
                <c:pt idx="455">
                  <c:v>533.60550000000001</c:v>
                </c:pt>
                <c:pt idx="456">
                  <c:v>533.66700000000003</c:v>
                </c:pt>
                <c:pt idx="457">
                  <c:v>533.70000000000005</c:v>
                </c:pt>
                <c:pt idx="458">
                  <c:v>533.74649999999997</c:v>
                </c:pt>
                <c:pt idx="459">
                  <c:v>533.7885</c:v>
                </c:pt>
                <c:pt idx="460">
                  <c:v>533.79449999999997</c:v>
                </c:pt>
                <c:pt idx="461">
                  <c:v>533.88599999999997</c:v>
                </c:pt>
                <c:pt idx="462">
                  <c:v>533.88900000000001</c:v>
                </c:pt>
                <c:pt idx="463">
                  <c:v>533.93550000000005</c:v>
                </c:pt>
                <c:pt idx="464">
                  <c:v>533.96100000000001</c:v>
                </c:pt>
                <c:pt idx="465">
                  <c:v>534.03</c:v>
                </c:pt>
                <c:pt idx="466">
                  <c:v>534.08249999999998</c:v>
                </c:pt>
                <c:pt idx="467">
                  <c:v>534.10050000000001</c:v>
                </c:pt>
                <c:pt idx="468">
                  <c:v>534.13049999999998</c:v>
                </c:pt>
                <c:pt idx="469">
                  <c:v>534.17250000000001</c:v>
                </c:pt>
                <c:pt idx="470">
                  <c:v>534.24299999999994</c:v>
                </c:pt>
                <c:pt idx="471">
                  <c:v>534.27750000000003</c:v>
                </c:pt>
                <c:pt idx="472">
                  <c:v>534.31349999999998</c:v>
                </c:pt>
                <c:pt idx="473">
                  <c:v>534.375</c:v>
                </c:pt>
                <c:pt idx="474">
                  <c:v>534.40800000000002</c:v>
                </c:pt>
                <c:pt idx="475">
                  <c:v>534.4559999999999</c:v>
                </c:pt>
                <c:pt idx="476">
                  <c:v>534.51599999999996</c:v>
                </c:pt>
                <c:pt idx="477">
                  <c:v>534.52649999999994</c:v>
                </c:pt>
                <c:pt idx="478">
                  <c:v>534.56999999999994</c:v>
                </c:pt>
                <c:pt idx="479">
                  <c:v>534.59699999999998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ED5-4B7A-A185-BA3C3DDB3E54}"/>
            </c:ext>
          </c:extLst>
        </c:ser>
        <c:ser>
          <c:idx val="6"/>
          <c:order val="6"/>
          <c:tx>
            <c:strRef>
              <c:f>'FPSO1 Base'!$I$2</c:f>
              <c:strCache>
                <c:ptCount val="1"/>
                <c:pt idx="0">
                  <c:v>P7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Base'!$I$3:$I$730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14.125005</c:v>
                </c:pt>
                <c:pt idx="40">
                  <c:v>650.625</c:v>
                </c:pt>
                <c:pt idx="41">
                  <c:v>797.40000000000009</c:v>
                </c:pt>
                <c:pt idx="42">
                  <c:v>812.14049999999997</c:v>
                </c:pt>
                <c:pt idx="43">
                  <c:v>799.93499999999995</c:v>
                </c:pt>
                <c:pt idx="44">
                  <c:v>766.99199999999996</c:v>
                </c:pt>
                <c:pt idx="45">
                  <c:v>700.95899999999995</c:v>
                </c:pt>
                <c:pt idx="46">
                  <c:v>671.27549999999997</c:v>
                </c:pt>
                <c:pt idx="47">
                  <c:v>648.12149999999997</c:v>
                </c:pt>
                <c:pt idx="48">
                  <c:v>611.22450000000003</c:v>
                </c:pt>
                <c:pt idx="49">
                  <c:v>597.89549999999997</c:v>
                </c:pt>
                <c:pt idx="50">
                  <c:v>584.44350000000009</c:v>
                </c:pt>
                <c:pt idx="51">
                  <c:v>579.19949999999994</c:v>
                </c:pt>
                <c:pt idx="52">
                  <c:v>577.04100000000005</c:v>
                </c:pt>
                <c:pt idx="53">
                  <c:v>575.54999999999995</c:v>
                </c:pt>
                <c:pt idx="54">
                  <c:v>570</c:v>
                </c:pt>
                <c:pt idx="55">
                  <c:v>567.96749999999997</c:v>
                </c:pt>
                <c:pt idx="56">
                  <c:v>567.4559999999999</c:v>
                </c:pt>
                <c:pt idx="57">
                  <c:v>566.44350000000009</c:v>
                </c:pt>
                <c:pt idx="58">
                  <c:v>565.39949999999999</c:v>
                </c:pt>
                <c:pt idx="59">
                  <c:v>565.06499999999994</c:v>
                </c:pt>
                <c:pt idx="60">
                  <c:v>564.85050000000001</c:v>
                </c:pt>
                <c:pt idx="61">
                  <c:v>564.29100000000005</c:v>
                </c:pt>
                <c:pt idx="62">
                  <c:v>563.54100000000005</c:v>
                </c:pt>
                <c:pt idx="63">
                  <c:v>562.54950000000008</c:v>
                </c:pt>
                <c:pt idx="64">
                  <c:v>561.31499999999994</c:v>
                </c:pt>
                <c:pt idx="65">
                  <c:v>559.79999999999995</c:v>
                </c:pt>
                <c:pt idx="66">
                  <c:v>558.774</c:v>
                </c:pt>
                <c:pt idx="67">
                  <c:v>557.78250000000003</c:v>
                </c:pt>
                <c:pt idx="68">
                  <c:v>556.5809999999999</c:v>
                </c:pt>
                <c:pt idx="69">
                  <c:v>555.50850000000003</c:v>
                </c:pt>
                <c:pt idx="70">
                  <c:v>554.20049999999992</c:v>
                </c:pt>
                <c:pt idx="71">
                  <c:v>553.11300000000006</c:v>
                </c:pt>
                <c:pt idx="72">
                  <c:v>551.92499999999995</c:v>
                </c:pt>
                <c:pt idx="73">
                  <c:v>550.71749999999997</c:v>
                </c:pt>
                <c:pt idx="74">
                  <c:v>549.55649999999991</c:v>
                </c:pt>
                <c:pt idx="75">
                  <c:v>548.29950000000008</c:v>
                </c:pt>
                <c:pt idx="76">
                  <c:v>547.524</c:v>
                </c:pt>
                <c:pt idx="77">
                  <c:v>546.10050000000001</c:v>
                </c:pt>
                <c:pt idx="78">
                  <c:v>545.80649999999991</c:v>
                </c:pt>
                <c:pt idx="79">
                  <c:v>544.59749999999997</c:v>
                </c:pt>
                <c:pt idx="80">
                  <c:v>542.83949999999993</c:v>
                </c:pt>
                <c:pt idx="81">
                  <c:v>541.30649999999991</c:v>
                </c:pt>
                <c:pt idx="82">
                  <c:v>539.50049999999999</c:v>
                </c:pt>
                <c:pt idx="83">
                  <c:v>537.91949999999997</c:v>
                </c:pt>
                <c:pt idx="84">
                  <c:v>536.14949999999999</c:v>
                </c:pt>
                <c:pt idx="85">
                  <c:v>534.50850000000003</c:v>
                </c:pt>
                <c:pt idx="86">
                  <c:v>532.88699999999994</c:v>
                </c:pt>
                <c:pt idx="87">
                  <c:v>531.25049999999999</c:v>
                </c:pt>
                <c:pt idx="88">
                  <c:v>529.83899999999994</c:v>
                </c:pt>
                <c:pt idx="89">
                  <c:v>528.22499999999991</c:v>
                </c:pt>
                <c:pt idx="90">
                  <c:v>524.75850000000003</c:v>
                </c:pt>
                <c:pt idx="91">
                  <c:v>523.11300000000006</c:v>
                </c:pt>
                <c:pt idx="92">
                  <c:v>521.71500000000003</c:v>
                </c:pt>
                <c:pt idx="93">
                  <c:v>520.548</c:v>
                </c:pt>
                <c:pt idx="94">
                  <c:v>519.22499999999991</c:v>
                </c:pt>
                <c:pt idx="95">
                  <c:v>518.03250000000003</c:v>
                </c:pt>
                <c:pt idx="96">
                  <c:v>516.75</c:v>
                </c:pt>
                <c:pt idx="97">
                  <c:v>515.58899999999994</c:v>
                </c:pt>
                <c:pt idx="98">
                  <c:v>514.476</c:v>
                </c:pt>
                <c:pt idx="99">
                  <c:v>513.29999999999995</c:v>
                </c:pt>
                <c:pt idx="100">
                  <c:v>512.274</c:v>
                </c:pt>
                <c:pt idx="101">
                  <c:v>511.20000000000005</c:v>
                </c:pt>
                <c:pt idx="102">
                  <c:v>506.15250000000003</c:v>
                </c:pt>
                <c:pt idx="103">
                  <c:v>504.678</c:v>
                </c:pt>
                <c:pt idx="104">
                  <c:v>503.75850000000003</c:v>
                </c:pt>
                <c:pt idx="105">
                  <c:v>503.08050000000003</c:v>
                </c:pt>
                <c:pt idx="106">
                  <c:v>502.20000000000005</c:v>
                </c:pt>
                <c:pt idx="107">
                  <c:v>501.45899999999995</c:v>
                </c:pt>
                <c:pt idx="108">
                  <c:v>500.57549999999998</c:v>
                </c:pt>
                <c:pt idx="109">
                  <c:v>499.76550000000003</c:v>
                </c:pt>
                <c:pt idx="110">
                  <c:v>498.96749999999997</c:v>
                </c:pt>
                <c:pt idx="111">
                  <c:v>498.07500000000005</c:v>
                </c:pt>
                <c:pt idx="112">
                  <c:v>497.274</c:v>
                </c:pt>
                <c:pt idx="113">
                  <c:v>496.42499999999995</c:v>
                </c:pt>
                <c:pt idx="114">
                  <c:v>495.53250000000003</c:v>
                </c:pt>
                <c:pt idx="115">
                  <c:v>494.78250000000003</c:v>
                </c:pt>
                <c:pt idx="116">
                  <c:v>493.79400000000004</c:v>
                </c:pt>
                <c:pt idx="117">
                  <c:v>493.01550000000003</c:v>
                </c:pt>
                <c:pt idx="118">
                  <c:v>492.07500000000005</c:v>
                </c:pt>
                <c:pt idx="119">
                  <c:v>491.202</c:v>
                </c:pt>
                <c:pt idx="120">
                  <c:v>490.30050000000006</c:v>
                </c:pt>
                <c:pt idx="121">
                  <c:v>489.38699999999994</c:v>
                </c:pt>
                <c:pt idx="122">
                  <c:v>488.49149999999997</c:v>
                </c:pt>
                <c:pt idx="123">
                  <c:v>487.52549999999997</c:v>
                </c:pt>
                <c:pt idx="124">
                  <c:v>486.65250000000003</c:v>
                </c:pt>
                <c:pt idx="125">
                  <c:v>485.67450000000002</c:v>
                </c:pt>
                <c:pt idx="126">
                  <c:v>484.839</c:v>
                </c:pt>
                <c:pt idx="127">
                  <c:v>484.089</c:v>
                </c:pt>
                <c:pt idx="128">
                  <c:v>483.13350000000003</c:v>
                </c:pt>
                <c:pt idx="129">
                  <c:v>482.34749999999997</c:v>
                </c:pt>
                <c:pt idx="130">
                  <c:v>481.42499999999995</c:v>
                </c:pt>
                <c:pt idx="131">
                  <c:v>480.60450000000003</c:v>
                </c:pt>
                <c:pt idx="132">
                  <c:v>479.625</c:v>
                </c:pt>
                <c:pt idx="133">
                  <c:v>478.71749999999997</c:v>
                </c:pt>
                <c:pt idx="134">
                  <c:v>477.798</c:v>
                </c:pt>
                <c:pt idx="135">
                  <c:v>476.84999999999997</c:v>
                </c:pt>
                <c:pt idx="136">
                  <c:v>475.95899999999995</c:v>
                </c:pt>
                <c:pt idx="137">
                  <c:v>475.00049999999999</c:v>
                </c:pt>
                <c:pt idx="138">
                  <c:v>474.12150000000003</c:v>
                </c:pt>
                <c:pt idx="139">
                  <c:v>473.25</c:v>
                </c:pt>
                <c:pt idx="140">
                  <c:v>472.26750000000004</c:v>
                </c:pt>
                <c:pt idx="141">
                  <c:v>471.60450000000003</c:v>
                </c:pt>
                <c:pt idx="142">
                  <c:v>470.92499999999995</c:v>
                </c:pt>
                <c:pt idx="143">
                  <c:v>470.54100000000005</c:v>
                </c:pt>
                <c:pt idx="144">
                  <c:v>470.14949999999999</c:v>
                </c:pt>
                <c:pt idx="145">
                  <c:v>469.839</c:v>
                </c:pt>
                <c:pt idx="146">
                  <c:v>469.452</c:v>
                </c:pt>
                <c:pt idx="147">
                  <c:v>469.09950000000003</c:v>
                </c:pt>
                <c:pt idx="148">
                  <c:v>468.678</c:v>
                </c:pt>
                <c:pt idx="149">
                  <c:v>468.25049999999999</c:v>
                </c:pt>
                <c:pt idx="150">
                  <c:v>464.37150000000003</c:v>
                </c:pt>
                <c:pt idx="151">
                  <c:v>463.5</c:v>
                </c:pt>
                <c:pt idx="152">
                  <c:v>462.99149999999997</c:v>
                </c:pt>
                <c:pt idx="153">
                  <c:v>462.60450000000003</c:v>
                </c:pt>
                <c:pt idx="154">
                  <c:v>462.17550000000006</c:v>
                </c:pt>
                <c:pt idx="155">
                  <c:v>461.63699999999994</c:v>
                </c:pt>
                <c:pt idx="156">
                  <c:v>461.09999999999997</c:v>
                </c:pt>
                <c:pt idx="157">
                  <c:v>460.524</c:v>
                </c:pt>
                <c:pt idx="158">
                  <c:v>459.94350000000003</c:v>
                </c:pt>
                <c:pt idx="159">
                  <c:v>459.29999999999995</c:v>
                </c:pt>
                <c:pt idx="160">
                  <c:v>458.68500000000006</c:v>
                </c:pt>
                <c:pt idx="161">
                  <c:v>458.25</c:v>
                </c:pt>
                <c:pt idx="162">
                  <c:v>457.59749999999997</c:v>
                </c:pt>
                <c:pt idx="163">
                  <c:v>457.18500000000006</c:v>
                </c:pt>
                <c:pt idx="164">
                  <c:v>456.69600000000003</c:v>
                </c:pt>
                <c:pt idx="165">
                  <c:v>456.31499999999994</c:v>
                </c:pt>
                <c:pt idx="166">
                  <c:v>455.89949999999999</c:v>
                </c:pt>
                <c:pt idx="167">
                  <c:v>455.49149999999997</c:v>
                </c:pt>
                <c:pt idx="168">
                  <c:v>454.99950000000001</c:v>
                </c:pt>
                <c:pt idx="169">
                  <c:v>454.572</c:v>
                </c:pt>
                <c:pt idx="170">
                  <c:v>454.089</c:v>
                </c:pt>
                <c:pt idx="171">
                  <c:v>453.55050000000006</c:v>
                </c:pt>
                <c:pt idx="172">
                  <c:v>453</c:v>
                </c:pt>
                <c:pt idx="173">
                  <c:v>452.42550000000006</c:v>
                </c:pt>
                <c:pt idx="174">
                  <c:v>451.76550000000003</c:v>
                </c:pt>
                <c:pt idx="175">
                  <c:v>451.23449999999997</c:v>
                </c:pt>
                <c:pt idx="176">
                  <c:v>450.48150000000004</c:v>
                </c:pt>
                <c:pt idx="177">
                  <c:v>449.87849999999997</c:v>
                </c:pt>
                <c:pt idx="178">
                  <c:v>449.14949999999999</c:v>
                </c:pt>
                <c:pt idx="179">
                  <c:v>448.428</c:v>
                </c:pt>
                <c:pt idx="180">
                  <c:v>447.70049999999998</c:v>
                </c:pt>
                <c:pt idx="181">
                  <c:v>446.952</c:v>
                </c:pt>
                <c:pt idx="182">
                  <c:v>446.202</c:v>
                </c:pt>
                <c:pt idx="183">
                  <c:v>445.39949999999999</c:v>
                </c:pt>
                <c:pt idx="184">
                  <c:v>444.58050000000003</c:v>
                </c:pt>
                <c:pt idx="185">
                  <c:v>443.72550000000001</c:v>
                </c:pt>
                <c:pt idx="186">
                  <c:v>431.05649999999997</c:v>
                </c:pt>
                <c:pt idx="187">
                  <c:v>428.73449999999997</c:v>
                </c:pt>
                <c:pt idx="188">
                  <c:v>428.19900000000001</c:v>
                </c:pt>
                <c:pt idx="189">
                  <c:v>427.93500000000006</c:v>
                </c:pt>
                <c:pt idx="190">
                  <c:v>427.5</c:v>
                </c:pt>
                <c:pt idx="191">
                  <c:v>427.04100000000005</c:v>
                </c:pt>
                <c:pt idx="192">
                  <c:v>426.45000000000005</c:v>
                </c:pt>
                <c:pt idx="193">
                  <c:v>425.90250000000003</c:v>
                </c:pt>
                <c:pt idx="194">
                  <c:v>425.298</c:v>
                </c:pt>
                <c:pt idx="195">
                  <c:v>424.65000000000003</c:v>
                </c:pt>
                <c:pt idx="196">
                  <c:v>423.99149999999997</c:v>
                </c:pt>
                <c:pt idx="197">
                  <c:v>423.29999999999995</c:v>
                </c:pt>
                <c:pt idx="198">
                  <c:v>422.61300000000006</c:v>
                </c:pt>
                <c:pt idx="199">
                  <c:v>421.98449999999997</c:v>
                </c:pt>
                <c:pt idx="200">
                  <c:v>421.15199999999993</c:v>
                </c:pt>
                <c:pt idx="201">
                  <c:v>420.53250000000003</c:v>
                </c:pt>
                <c:pt idx="202">
                  <c:v>419.74950000000001</c:v>
                </c:pt>
                <c:pt idx="203">
                  <c:v>419.08050000000003</c:v>
                </c:pt>
                <c:pt idx="204">
                  <c:v>418.27500000000003</c:v>
                </c:pt>
                <c:pt idx="205">
                  <c:v>417.53250000000003</c:v>
                </c:pt>
                <c:pt idx="206">
                  <c:v>416.83050000000003</c:v>
                </c:pt>
                <c:pt idx="207">
                  <c:v>415.99950000000001</c:v>
                </c:pt>
                <c:pt idx="208">
                  <c:v>415.33050000000003</c:v>
                </c:pt>
                <c:pt idx="209">
                  <c:v>414.52500000000003</c:v>
                </c:pt>
                <c:pt idx="210">
                  <c:v>413.80649999999997</c:v>
                </c:pt>
                <c:pt idx="211">
                  <c:v>413.12849999999997</c:v>
                </c:pt>
                <c:pt idx="212">
                  <c:v>412.3125</c:v>
                </c:pt>
                <c:pt idx="213">
                  <c:v>411.65250000000003</c:v>
                </c:pt>
                <c:pt idx="214">
                  <c:v>410.92499999999995</c:v>
                </c:pt>
                <c:pt idx="215">
                  <c:v>410.202</c:v>
                </c:pt>
                <c:pt idx="216">
                  <c:v>409.42499999999995</c:v>
                </c:pt>
                <c:pt idx="217">
                  <c:v>408.75</c:v>
                </c:pt>
                <c:pt idx="218">
                  <c:v>408.048</c:v>
                </c:pt>
                <c:pt idx="219">
                  <c:v>407.29950000000002</c:v>
                </c:pt>
                <c:pt idx="220">
                  <c:v>406.62150000000003</c:v>
                </c:pt>
                <c:pt idx="221">
                  <c:v>405.87450000000001</c:v>
                </c:pt>
                <c:pt idx="222">
                  <c:v>405.19350000000003</c:v>
                </c:pt>
                <c:pt idx="223">
                  <c:v>404.56499999999994</c:v>
                </c:pt>
                <c:pt idx="224">
                  <c:v>403.79400000000004</c:v>
                </c:pt>
                <c:pt idx="225">
                  <c:v>403.20899999999995</c:v>
                </c:pt>
                <c:pt idx="226">
                  <c:v>402.47550000000001</c:v>
                </c:pt>
                <c:pt idx="227">
                  <c:v>401.85450000000003</c:v>
                </c:pt>
                <c:pt idx="228">
                  <c:v>401.14949999999999</c:v>
                </c:pt>
                <c:pt idx="229">
                  <c:v>400.452</c:v>
                </c:pt>
                <c:pt idx="230">
                  <c:v>399.84749999999997</c:v>
                </c:pt>
                <c:pt idx="231">
                  <c:v>399.15000000000003</c:v>
                </c:pt>
                <c:pt idx="232">
                  <c:v>398.51550000000003</c:v>
                </c:pt>
                <c:pt idx="233">
                  <c:v>397.84950000000003</c:v>
                </c:pt>
                <c:pt idx="234">
                  <c:v>397.18500000000006</c:v>
                </c:pt>
                <c:pt idx="235">
                  <c:v>396.58050000000003</c:v>
                </c:pt>
                <c:pt idx="236">
                  <c:v>395.89649999999995</c:v>
                </c:pt>
                <c:pt idx="237">
                  <c:v>395.298</c:v>
                </c:pt>
                <c:pt idx="238">
                  <c:v>394.65000000000003</c:v>
                </c:pt>
                <c:pt idx="239">
                  <c:v>394.01550000000003</c:v>
                </c:pt>
                <c:pt idx="240">
                  <c:v>393.42450000000002</c:v>
                </c:pt>
                <c:pt idx="241">
                  <c:v>392.75850000000003</c:v>
                </c:pt>
                <c:pt idx="242">
                  <c:v>392.202</c:v>
                </c:pt>
                <c:pt idx="243">
                  <c:v>391.57500000000005</c:v>
                </c:pt>
                <c:pt idx="244">
                  <c:v>390.99149999999997</c:v>
                </c:pt>
                <c:pt idx="245">
                  <c:v>390.375</c:v>
                </c:pt>
                <c:pt idx="246">
                  <c:v>389.78250000000003</c:v>
                </c:pt>
                <c:pt idx="247">
                  <c:v>389.298</c:v>
                </c:pt>
                <c:pt idx="248">
                  <c:v>388.63350000000003</c:v>
                </c:pt>
                <c:pt idx="249">
                  <c:v>388.13699999999994</c:v>
                </c:pt>
                <c:pt idx="250">
                  <c:v>387.55050000000006</c:v>
                </c:pt>
                <c:pt idx="251">
                  <c:v>387.024</c:v>
                </c:pt>
                <c:pt idx="252">
                  <c:v>386.42550000000006</c:v>
                </c:pt>
                <c:pt idx="253">
                  <c:v>385.88699999999994</c:v>
                </c:pt>
                <c:pt idx="254">
                  <c:v>385.35450000000003</c:v>
                </c:pt>
                <c:pt idx="255">
                  <c:v>384.77549999999997</c:v>
                </c:pt>
                <c:pt idx="256">
                  <c:v>384.24149999999997</c:v>
                </c:pt>
                <c:pt idx="257">
                  <c:v>383.72550000000001</c:v>
                </c:pt>
                <c:pt idx="258">
                  <c:v>383.202</c:v>
                </c:pt>
                <c:pt idx="259">
                  <c:v>382.74149999999997</c:v>
                </c:pt>
                <c:pt idx="260">
                  <c:v>382.15199999999999</c:v>
                </c:pt>
                <c:pt idx="261">
                  <c:v>381.726</c:v>
                </c:pt>
                <c:pt idx="262">
                  <c:v>381.1755</c:v>
                </c:pt>
                <c:pt idx="263">
                  <c:v>380.73450000000003</c:v>
                </c:pt>
                <c:pt idx="264">
                  <c:v>380.17499999999995</c:v>
                </c:pt>
                <c:pt idx="265">
                  <c:v>379.71750000000003</c:v>
                </c:pt>
                <c:pt idx="266">
                  <c:v>379.23450000000003</c:v>
                </c:pt>
                <c:pt idx="267">
                  <c:v>378.70050000000003</c:v>
                </c:pt>
                <c:pt idx="268">
                  <c:v>378.24149999999997</c:v>
                </c:pt>
                <c:pt idx="269">
                  <c:v>377.74950000000001</c:v>
                </c:pt>
                <c:pt idx="270">
                  <c:v>377.274</c:v>
                </c:pt>
                <c:pt idx="271">
                  <c:v>376.815</c:v>
                </c:pt>
                <c:pt idx="272">
                  <c:v>376.3125</c:v>
                </c:pt>
                <c:pt idx="273">
                  <c:v>375.87149999999997</c:v>
                </c:pt>
                <c:pt idx="274">
                  <c:v>375.375</c:v>
                </c:pt>
                <c:pt idx="275">
                  <c:v>374.928</c:v>
                </c:pt>
                <c:pt idx="276">
                  <c:v>374.47500000000002</c:v>
                </c:pt>
                <c:pt idx="277">
                  <c:v>374.03249999999997</c:v>
                </c:pt>
                <c:pt idx="278">
                  <c:v>373.59749999999997</c:v>
                </c:pt>
                <c:pt idx="279">
                  <c:v>373.15049999999997</c:v>
                </c:pt>
                <c:pt idx="280">
                  <c:v>372.87149999999997</c:v>
                </c:pt>
                <c:pt idx="281">
                  <c:v>372.42449999999997</c:v>
                </c:pt>
                <c:pt idx="282">
                  <c:v>371.85449999999997</c:v>
                </c:pt>
                <c:pt idx="283">
                  <c:v>371.41949999999997</c:v>
                </c:pt>
                <c:pt idx="284">
                  <c:v>370.96500000000003</c:v>
                </c:pt>
                <c:pt idx="285">
                  <c:v>370.572</c:v>
                </c:pt>
                <c:pt idx="286">
                  <c:v>370.15049999999997</c:v>
                </c:pt>
                <c:pt idx="287">
                  <c:v>369.75</c:v>
                </c:pt>
                <c:pt idx="288">
                  <c:v>369.29999999999995</c:v>
                </c:pt>
                <c:pt idx="289">
                  <c:v>369.09749999999997</c:v>
                </c:pt>
                <c:pt idx="290">
                  <c:v>369.048</c:v>
                </c:pt>
                <c:pt idx="291">
                  <c:v>369.22500000000002</c:v>
                </c:pt>
                <c:pt idx="292">
                  <c:v>369.50850000000003</c:v>
                </c:pt>
                <c:pt idx="293">
                  <c:v>369.67499999999995</c:v>
                </c:pt>
                <c:pt idx="294">
                  <c:v>369.89550000000003</c:v>
                </c:pt>
                <c:pt idx="295">
                  <c:v>370.113</c:v>
                </c:pt>
                <c:pt idx="296">
                  <c:v>370.28550000000001</c:v>
                </c:pt>
                <c:pt idx="297">
                  <c:v>370.37850000000003</c:v>
                </c:pt>
                <c:pt idx="298">
                  <c:v>370.5</c:v>
                </c:pt>
                <c:pt idx="299">
                  <c:v>370.5</c:v>
                </c:pt>
                <c:pt idx="300">
                  <c:v>370.5</c:v>
                </c:pt>
                <c:pt idx="301">
                  <c:v>370.452</c:v>
                </c:pt>
                <c:pt idx="302">
                  <c:v>370.37850000000003</c:v>
                </c:pt>
                <c:pt idx="303">
                  <c:v>370.22550000000001</c:v>
                </c:pt>
                <c:pt idx="304">
                  <c:v>370.863</c:v>
                </c:pt>
                <c:pt idx="305">
                  <c:v>371.57550000000003</c:v>
                </c:pt>
                <c:pt idx="306">
                  <c:v>372.53249999999997</c:v>
                </c:pt>
                <c:pt idx="307">
                  <c:v>373.524</c:v>
                </c:pt>
                <c:pt idx="308">
                  <c:v>374.08949999999999</c:v>
                </c:pt>
                <c:pt idx="309">
                  <c:v>374.37149999999997</c:v>
                </c:pt>
                <c:pt idx="310">
                  <c:v>374.67449999999997</c:v>
                </c:pt>
                <c:pt idx="311">
                  <c:v>374.87850000000003</c:v>
                </c:pt>
                <c:pt idx="312">
                  <c:v>375</c:v>
                </c:pt>
                <c:pt idx="313">
                  <c:v>374.952</c:v>
                </c:pt>
                <c:pt idx="314">
                  <c:v>374.928</c:v>
                </c:pt>
                <c:pt idx="315">
                  <c:v>374.87549999999999</c:v>
                </c:pt>
                <c:pt idx="316">
                  <c:v>374.78249999999997</c:v>
                </c:pt>
                <c:pt idx="317">
                  <c:v>374.65049999999997</c:v>
                </c:pt>
                <c:pt idx="318">
                  <c:v>374.49149999999997</c:v>
                </c:pt>
                <c:pt idx="319">
                  <c:v>374.298</c:v>
                </c:pt>
                <c:pt idx="320">
                  <c:v>374.03550000000001</c:v>
                </c:pt>
                <c:pt idx="321">
                  <c:v>373.863</c:v>
                </c:pt>
                <c:pt idx="322">
                  <c:v>373.60050000000001</c:v>
                </c:pt>
                <c:pt idx="323">
                  <c:v>373.37850000000003</c:v>
                </c:pt>
                <c:pt idx="324">
                  <c:v>373.22550000000001</c:v>
                </c:pt>
                <c:pt idx="325">
                  <c:v>372.87149999999997</c:v>
                </c:pt>
                <c:pt idx="326">
                  <c:v>372.55650000000003</c:v>
                </c:pt>
                <c:pt idx="327">
                  <c:v>372.25049999999999</c:v>
                </c:pt>
                <c:pt idx="328">
                  <c:v>371.928</c:v>
                </c:pt>
                <c:pt idx="329">
                  <c:v>371.65049999999997</c:v>
                </c:pt>
                <c:pt idx="330">
                  <c:v>371.274</c:v>
                </c:pt>
                <c:pt idx="331">
                  <c:v>370.935</c:v>
                </c:pt>
                <c:pt idx="332">
                  <c:v>370.6035</c:v>
                </c:pt>
                <c:pt idx="333">
                  <c:v>370.28249999999997</c:v>
                </c:pt>
                <c:pt idx="334">
                  <c:v>369.87450000000001</c:v>
                </c:pt>
                <c:pt idx="335">
                  <c:v>369.55650000000003</c:v>
                </c:pt>
                <c:pt idx="336">
                  <c:v>369.15</c:v>
                </c:pt>
                <c:pt idx="337">
                  <c:v>368.83050000000003</c:v>
                </c:pt>
                <c:pt idx="338">
                  <c:v>368.46750000000003</c:v>
                </c:pt>
                <c:pt idx="339">
                  <c:v>368.0745</c:v>
                </c:pt>
                <c:pt idx="340">
                  <c:v>367.71750000000003</c:v>
                </c:pt>
                <c:pt idx="341">
                  <c:v>367.3245</c:v>
                </c:pt>
                <c:pt idx="342">
                  <c:v>366.91949999999997</c:v>
                </c:pt>
                <c:pt idx="343">
                  <c:v>366.60449999999997</c:v>
                </c:pt>
                <c:pt idx="344">
                  <c:v>366.13350000000003</c:v>
                </c:pt>
                <c:pt idx="345">
                  <c:v>365.83050000000003</c:v>
                </c:pt>
                <c:pt idx="346">
                  <c:v>365.37450000000001</c:v>
                </c:pt>
                <c:pt idx="347">
                  <c:v>364.98450000000003</c:v>
                </c:pt>
                <c:pt idx="348">
                  <c:v>364.57500000000005</c:v>
                </c:pt>
                <c:pt idx="349">
                  <c:v>364.137</c:v>
                </c:pt>
                <c:pt idx="350">
                  <c:v>363.75</c:v>
                </c:pt>
                <c:pt idx="351">
                  <c:v>363.29999999999995</c:v>
                </c:pt>
                <c:pt idx="352">
                  <c:v>362.87850000000003</c:v>
                </c:pt>
                <c:pt idx="353">
                  <c:v>362.4495</c:v>
                </c:pt>
                <c:pt idx="354">
                  <c:v>362.05650000000003</c:v>
                </c:pt>
                <c:pt idx="355">
                  <c:v>361.66949999999997</c:v>
                </c:pt>
                <c:pt idx="356">
                  <c:v>361.17899999999997</c:v>
                </c:pt>
                <c:pt idx="357">
                  <c:v>360.822</c:v>
                </c:pt>
                <c:pt idx="358">
                  <c:v>360.40049999999997</c:v>
                </c:pt>
                <c:pt idx="359">
                  <c:v>360.048</c:v>
                </c:pt>
                <c:pt idx="360">
                  <c:v>359.65049999999997</c:v>
                </c:pt>
                <c:pt idx="361">
                  <c:v>359.298</c:v>
                </c:pt>
                <c:pt idx="362">
                  <c:v>358.887</c:v>
                </c:pt>
                <c:pt idx="363">
                  <c:v>358.5</c:v>
                </c:pt>
                <c:pt idx="364">
                  <c:v>358.137</c:v>
                </c:pt>
                <c:pt idx="365">
                  <c:v>357.70050000000003</c:v>
                </c:pt>
                <c:pt idx="366">
                  <c:v>357.315</c:v>
                </c:pt>
                <c:pt idx="367">
                  <c:v>356.952</c:v>
                </c:pt>
                <c:pt idx="368">
                  <c:v>356.51850000000002</c:v>
                </c:pt>
                <c:pt idx="369">
                  <c:v>356.12850000000003</c:v>
                </c:pt>
                <c:pt idx="370">
                  <c:v>355.6995</c:v>
                </c:pt>
                <c:pt idx="371">
                  <c:v>355.35449999999997</c:v>
                </c:pt>
                <c:pt idx="372">
                  <c:v>354.87450000000001</c:v>
                </c:pt>
                <c:pt idx="373">
                  <c:v>354.435</c:v>
                </c:pt>
                <c:pt idx="374">
                  <c:v>354.048</c:v>
                </c:pt>
                <c:pt idx="375">
                  <c:v>353.59950000000003</c:v>
                </c:pt>
                <c:pt idx="376">
                  <c:v>353.178</c:v>
                </c:pt>
                <c:pt idx="377">
                  <c:v>352.77449999999999</c:v>
                </c:pt>
                <c:pt idx="378">
                  <c:v>352.33050000000003</c:v>
                </c:pt>
                <c:pt idx="379">
                  <c:v>351.96750000000003</c:v>
                </c:pt>
                <c:pt idx="380">
                  <c:v>351.46500000000003</c:v>
                </c:pt>
                <c:pt idx="381">
                  <c:v>351.12149999999997</c:v>
                </c:pt>
                <c:pt idx="382">
                  <c:v>350.65049999999997</c:v>
                </c:pt>
                <c:pt idx="383">
                  <c:v>350.274</c:v>
                </c:pt>
                <c:pt idx="384">
                  <c:v>349.82550000000003</c:v>
                </c:pt>
                <c:pt idx="385">
                  <c:v>349.40250000000003</c:v>
                </c:pt>
                <c:pt idx="386">
                  <c:v>348.99149999999997</c:v>
                </c:pt>
                <c:pt idx="387">
                  <c:v>348.5745</c:v>
                </c:pt>
                <c:pt idx="388">
                  <c:v>348.19349999999997</c:v>
                </c:pt>
                <c:pt idx="389">
                  <c:v>347.70000000000005</c:v>
                </c:pt>
                <c:pt idx="390">
                  <c:v>347.34749999999997</c:v>
                </c:pt>
                <c:pt idx="391">
                  <c:v>346.959</c:v>
                </c:pt>
                <c:pt idx="392">
                  <c:v>346.52699999999999</c:v>
                </c:pt>
                <c:pt idx="393">
                  <c:v>346.137</c:v>
                </c:pt>
                <c:pt idx="394">
                  <c:v>345.72450000000003</c:v>
                </c:pt>
                <c:pt idx="395">
                  <c:v>345.339</c:v>
                </c:pt>
                <c:pt idx="396">
                  <c:v>344.89949999999999</c:v>
                </c:pt>
                <c:pt idx="397">
                  <c:v>344.46750000000003</c:v>
                </c:pt>
                <c:pt idx="398">
                  <c:v>344.10449999999997</c:v>
                </c:pt>
                <c:pt idx="399">
                  <c:v>343.65</c:v>
                </c:pt>
                <c:pt idx="400">
                  <c:v>343.25850000000003</c:v>
                </c:pt>
                <c:pt idx="401">
                  <c:v>342.79949999999997</c:v>
                </c:pt>
                <c:pt idx="402">
                  <c:v>342.411</c:v>
                </c:pt>
                <c:pt idx="403">
                  <c:v>342.048</c:v>
                </c:pt>
                <c:pt idx="404">
                  <c:v>341.57100000000003</c:v>
                </c:pt>
                <c:pt idx="405">
                  <c:v>341.178</c:v>
                </c:pt>
                <c:pt idx="406">
                  <c:v>340.75049999999999</c:v>
                </c:pt>
                <c:pt idx="407">
                  <c:v>340.35449999999997</c:v>
                </c:pt>
                <c:pt idx="408">
                  <c:v>339.9</c:v>
                </c:pt>
                <c:pt idx="409">
                  <c:v>339.48450000000003</c:v>
                </c:pt>
                <c:pt idx="410">
                  <c:v>339.072</c:v>
                </c:pt>
                <c:pt idx="411">
                  <c:v>338.625</c:v>
                </c:pt>
                <c:pt idx="412">
                  <c:v>338.178</c:v>
                </c:pt>
                <c:pt idx="413">
                  <c:v>337.75049999999999</c:v>
                </c:pt>
                <c:pt idx="414">
                  <c:v>337.30650000000003</c:v>
                </c:pt>
                <c:pt idx="415">
                  <c:v>336.89550000000003</c:v>
                </c:pt>
                <c:pt idx="416">
                  <c:v>336.40199999999999</c:v>
                </c:pt>
                <c:pt idx="417">
                  <c:v>335.976</c:v>
                </c:pt>
                <c:pt idx="418">
                  <c:v>335.50049999999999</c:v>
                </c:pt>
                <c:pt idx="419">
                  <c:v>335.08050000000003</c:v>
                </c:pt>
                <c:pt idx="420">
                  <c:v>334.54949999999997</c:v>
                </c:pt>
                <c:pt idx="421">
                  <c:v>334.113</c:v>
                </c:pt>
                <c:pt idx="422">
                  <c:v>333.60449999999997</c:v>
                </c:pt>
                <c:pt idx="423">
                  <c:v>333.15</c:v>
                </c:pt>
                <c:pt idx="424">
                  <c:v>332.661</c:v>
                </c:pt>
                <c:pt idx="425">
                  <c:v>332.14949999999999</c:v>
                </c:pt>
                <c:pt idx="426">
                  <c:v>331.69349999999997</c:v>
                </c:pt>
                <c:pt idx="427">
                  <c:v>331.209</c:v>
                </c:pt>
                <c:pt idx="428">
                  <c:v>330.67200000000003</c:v>
                </c:pt>
                <c:pt idx="429">
                  <c:v>330.411</c:v>
                </c:pt>
                <c:pt idx="430">
                  <c:v>329.67449999999997</c:v>
                </c:pt>
                <c:pt idx="431">
                  <c:v>329.202</c:v>
                </c:pt>
                <c:pt idx="432">
                  <c:v>328.65</c:v>
                </c:pt>
                <c:pt idx="433">
                  <c:v>328.137</c:v>
                </c:pt>
                <c:pt idx="434">
                  <c:v>327.60449999999997</c:v>
                </c:pt>
                <c:pt idx="435">
                  <c:v>327.12450000000001</c:v>
                </c:pt>
                <c:pt idx="436">
                  <c:v>326.589</c:v>
                </c:pt>
                <c:pt idx="437">
                  <c:v>326.0745</c:v>
                </c:pt>
                <c:pt idx="438">
                  <c:v>325.572</c:v>
                </c:pt>
                <c:pt idx="439">
                  <c:v>325.089</c:v>
                </c:pt>
                <c:pt idx="440">
                  <c:v>324.53550000000001</c:v>
                </c:pt>
                <c:pt idx="441">
                  <c:v>324.048</c:v>
                </c:pt>
                <c:pt idx="442">
                  <c:v>323.52449999999999</c:v>
                </c:pt>
                <c:pt idx="443">
                  <c:v>323.03249999999997</c:v>
                </c:pt>
                <c:pt idx="444">
                  <c:v>322.5</c:v>
                </c:pt>
                <c:pt idx="445">
                  <c:v>322.01549999999997</c:v>
                </c:pt>
                <c:pt idx="446">
                  <c:v>321.55650000000003</c:v>
                </c:pt>
                <c:pt idx="447">
                  <c:v>321</c:v>
                </c:pt>
                <c:pt idx="448">
                  <c:v>320.565</c:v>
                </c:pt>
                <c:pt idx="449">
                  <c:v>320.0505</c:v>
                </c:pt>
                <c:pt idx="450">
                  <c:v>319.572</c:v>
                </c:pt>
                <c:pt idx="451">
                  <c:v>319.161</c:v>
                </c:pt>
                <c:pt idx="452">
                  <c:v>318.64350000000002</c:v>
                </c:pt>
                <c:pt idx="453">
                  <c:v>318.24149999999997</c:v>
                </c:pt>
                <c:pt idx="454">
                  <c:v>317.65049999999997</c:v>
                </c:pt>
                <c:pt idx="455">
                  <c:v>317.178</c:v>
                </c:pt>
                <c:pt idx="456">
                  <c:v>316.64999999999998</c:v>
                </c:pt>
                <c:pt idx="457">
                  <c:v>316.113</c:v>
                </c:pt>
                <c:pt idx="458">
                  <c:v>315.60449999999997</c:v>
                </c:pt>
                <c:pt idx="459">
                  <c:v>315.07500000000005</c:v>
                </c:pt>
                <c:pt idx="460">
                  <c:v>314.565</c:v>
                </c:pt>
                <c:pt idx="461">
                  <c:v>314.0745</c:v>
                </c:pt>
                <c:pt idx="462">
                  <c:v>313.548</c:v>
                </c:pt>
                <c:pt idx="463">
                  <c:v>313.065</c:v>
                </c:pt>
                <c:pt idx="464">
                  <c:v>312.375</c:v>
                </c:pt>
                <c:pt idx="465">
                  <c:v>311.75850000000003</c:v>
                </c:pt>
                <c:pt idx="466">
                  <c:v>311.12549999999999</c:v>
                </c:pt>
                <c:pt idx="467">
                  <c:v>310.524</c:v>
                </c:pt>
                <c:pt idx="468">
                  <c:v>309.89999999999998</c:v>
                </c:pt>
                <c:pt idx="469">
                  <c:v>309.26549999999997</c:v>
                </c:pt>
                <c:pt idx="470">
                  <c:v>308.685</c:v>
                </c:pt>
                <c:pt idx="471">
                  <c:v>308.0745</c:v>
                </c:pt>
                <c:pt idx="472">
                  <c:v>307.5</c:v>
                </c:pt>
                <c:pt idx="473">
                  <c:v>307.75049999999999</c:v>
                </c:pt>
                <c:pt idx="474">
                  <c:v>308.08050000000003</c:v>
                </c:pt>
                <c:pt idx="475">
                  <c:v>308.202</c:v>
                </c:pt>
                <c:pt idx="476">
                  <c:v>308.04300000000001</c:v>
                </c:pt>
                <c:pt idx="477">
                  <c:v>307.66949999999997</c:v>
                </c:pt>
                <c:pt idx="478">
                  <c:v>307.09950000000003</c:v>
                </c:pt>
                <c:pt idx="479">
                  <c:v>306.459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ED5-4B7A-A185-BA3C3DDB3E54}"/>
            </c:ext>
          </c:extLst>
        </c:ser>
        <c:ser>
          <c:idx val="7"/>
          <c:order val="7"/>
          <c:tx>
            <c:strRef>
              <c:f>'FPSO1 Base'!$J$2</c:f>
              <c:strCache>
                <c:ptCount val="1"/>
                <c:pt idx="0">
                  <c:v>P8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Base'!$J$3:$J$730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368.03249999999997</c:v>
                </c:pt>
                <c:pt idx="41">
                  <c:v>356.59950000000003</c:v>
                </c:pt>
                <c:pt idx="42">
                  <c:v>348.87149999999997</c:v>
                </c:pt>
                <c:pt idx="43">
                  <c:v>346.863</c:v>
                </c:pt>
                <c:pt idx="44">
                  <c:v>335.84550000000002</c:v>
                </c:pt>
                <c:pt idx="45">
                  <c:v>319.25850000000003</c:v>
                </c:pt>
                <c:pt idx="46">
                  <c:v>319.54949999999997</c:v>
                </c:pt>
                <c:pt idx="47">
                  <c:v>318.96750000000003</c:v>
                </c:pt>
                <c:pt idx="48">
                  <c:v>318.14999999999998</c:v>
                </c:pt>
                <c:pt idx="49">
                  <c:v>316.476</c:v>
                </c:pt>
                <c:pt idx="50">
                  <c:v>319.66949999999997</c:v>
                </c:pt>
                <c:pt idx="51">
                  <c:v>330.67499999999995</c:v>
                </c:pt>
                <c:pt idx="52">
                  <c:v>338.78249999999997</c:v>
                </c:pt>
                <c:pt idx="53">
                  <c:v>345.52499999999998</c:v>
                </c:pt>
                <c:pt idx="54">
                  <c:v>349.524</c:v>
                </c:pt>
                <c:pt idx="55">
                  <c:v>353.75850000000003</c:v>
                </c:pt>
                <c:pt idx="56">
                  <c:v>357.99149999999997</c:v>
                </c:pt>
                <c:pt idx="57">
                  <c:v>359.637</c:v>
                </c:pt>
                <c:pt idx="58">
                  <c:v>361.20000000000005</c:v>
                </c:pt>
                <c:pt idx="59">
                  <c:v>362.709</c:v>
                </c:pt>
                <c:pt idx="60">
                  <c:v>364.20000000000005</c:v>
                </c:pt>
                <c:pt idx="61">
                  <c:v>365.322</c:v>
                </c:pt>
                <c:pt idx="62">
                  <c:v>366.26549999999997</c:v>
                </c:pt>
                <c:pt idx="63">
                  <c:v>367.07550000000003</c:v>
                </c:pt>
                <c:pt idx="64">
                  <c:v>367.66949999999997</c:v>
                </c:pt>
                <c:pt idx="65">
                  <c:v>367.875</c:v>
                </c:pt>
                <c:pt idx="66">
                  <c:v>368.41949999999997</c:v>
                </c:pt>
                <c:pt idx="67">
                  <c:v>368.685</c:v>
                </c:pt>
                <c:pt idx="68">
                  <c:v>368.83949999999999</c:v>
                </c:pt>
                <c:pt idx="69">
                  <c:v>368.87850000000003</c:v>
                </c:pt>
                <c:pt idx="70">
                  <c:v>368.87549999999999</c:v>
                </c:pt>
                <c:pt idx="71">
                  <c:v>368.73450000000003</c:v>
                </c:pt>
                <c:pt idx="72">
                  <c:v>368.47500000000002</c:v>
                </c:pt>
                <c:pt idx="73">
                  <c:v>368.178</c:v>
                </c:pt>
                <c:pt idx="74">
                  <c:v>367.69349999999997</c:v>
                </c:pt>
                <c:pt idx="75">
                  <c:v>367.15049999999997</c:v>
                </c:pt>
                <c:pt idx="76">
                  <c:v>366.89550000000003</c:v>
                </c:pt>
                <c:pt idx="77">
                  <c:v>366.10050000000001</c:v>
                </c:pt>
                <c:pt idx="78">
                  <c:v>365.78249999999997</c:v>
                </c:pt>
                <c:pt idx="79">
                  <c:v>364.791</c:v>
                </c:pt>
                <c:pt idx="80">
                  <c:v>363.40199999999999</c:v>
                </c:pt>
                <c:pt idx="81">
                  <c:v>362.322</c:v>
                </c:pt>
                <c:pt idx="82">
                  <c:v>361.00049999999999</c:v>
                </c:pt>
                <c:pt idx="83">
                  <c:v>359.85449999999997</c:v>
                </c:pt>
                <c:pt idx="84">
                  <c:v>358.54949999999997</c:v>
                </c:pt>
                <c:pt idx="85">
                  <c:v>357.315</c:v>
                </c:pt>
                <c:pt idx="86">
                  <c:v>356.12850000000003</c:v>
                </c:pt>
                <c:pt idx="87">
                  <c:v>354.79949999999997</c:v>
                </c:pt>
                <c:pt idx="88">
                  <c:v>353.589</c:v>
                </c:pt>
                <c:pt idx="89">
                  <c:v>352.27499999999998</c:v>
                </c:pt>
                <c:pt idx="90">
                  <c:v>349.452</c:v>
                </c:pt>
                <c:pt idx="91">
                  <c:v>348.072</c:v>
                </c:pt>
                <c:pt idx="92">
                  <c:v>346.73250000000002</c:v>
                </c:pt>
                <c:pt idx="93">
                  <c:v>345.58050000000003</c:v>
                </c:pt>
                <c:pt idx="94">
                  <c:v>344.27549999999997</c:v>
                </c:pt>
                <c:pt idx="95">
                  <c:v>343.089</c:v>
                </c:pt>
                <c:pt idx="96">
                  <c:v>341.8245</c:v>
                </c:pt>
                <c:pt idx="97">
                  <c:v>340.572</c:v>
                </c:pt>
                <c:pt idx="98">
                  <c:v>339.363</c:v>
                </c:pt>
                <c:pt idx="99">
                  <c:v>338.0745</c:v>
                </c:pt>
                <c:pt idx="100">
                  <c:v>336.91949999999997</c:v>
                </c:pt>
                <c:pt idx="101">
                  <c:v>335.625</c:v>
                </c:pt>
                <c:pt idx="102">
                  <c:v>331.428</c:v>
                </c:pt>
                <c:pt idx="103">
                  <c:v>330.024</c:v>
                </c:pt>
                <c:pt idx="104">
                  <c:v>328.79399999999998</c:v>
                </c:pt>
                <c:pt idx="105">
                  <c:v>327.87149999999997</c:v>
                </c:pt>
                <c:pt idx="106">
                  <c:v>326.8005</c:v>
                </c:pt>
                <c:pt idx="107">
                  <c:v>325.791</c:v>
                </c:pt>
                <c:pt idx="108">
                  <c:v>324.75</c:v>
                </c:pt>
                <c:pt idx="109">
                  <c:v>323.78249999999997</c:v>
                </c:pt>
                <c:pt idx="110">
                  <c:v>322.791</c:v>
                </c:pt>
                <c:pt idx="111">
                  <c:v>321.77549999999997</c:v>
                </c:pt>
                <c:pt idx="112">
                  <c:v>320.87850000000003</c:v>
                </c:pt>
                <c:pt idx="113">
                  <c:v>319.90049999999997</c:v>
                </c:pt>
                <c:pt idx="114">
                  <c:v>318.99149999999997</c:v>
                </c:pt>
                <c:pt idx="115">
                  <c:v>318.14550000000003</c:v>
                </c:pt>
                <c:pt idx="116">
                  <c:v>317.16899999999998</c:v>
                </c:pt>
                <c:pt idx="117">
                  <c:v>316.40250000000003</c:v>
                </c:pt>
                <c:pt idx="118">
                  <c:v>315.47550000000001</c:v>
                </c:pt>
                <c:pt idx="119">
                  <c:v>314.685</c:v>
                </c:pt>
                <c:pt idx="120">
                  <c:v>313.79999999999995</c:v>
                </c:pt>
                <c:pt idx="121">
                  <c:v>312.96750000000003</c:v>
                </c:pt>
                <c:pt idx="122">
                  <c:v>312.14550000000003</c:v>
                </c:pt>
                <c:pt idx="123">
                  <c:v>311.29949999999997</c:v>
                </c:pt>
                <c:pt idx="124">
                  <c:v>310.5</c:v>
                </c:pt>
                <c:pt idx="125">
                  <c:v>309.67499999999995</c:v>
                </c:pt>
                <c:pt idx="126">
                  <c:v>308.90250000000003</c:v>
                </c:pt>
                <c:pt idx="127">
                  <c:v>308.178</c:v>
                </c:pt>
                <c:pt idx="128">
                  <c:v>307.28550000000001</c:v>
                </c:pt>
                <c:pt idx="129">
                  <c:v>306.62850000000003</c:v>
                </c:pt>
                <c:pt idx="130">
                  <c:v>305.8245</c:v>
                </c:pt>
                <c:pt idx="131">
                  <c:v>305.12850000000003</c:v>
                </c:pt>
                <c:pt idx="132">
                  <c:v>304.35000000000002</c:v>
                </c:pt>
                <c:pt idx="133">
                  <c:v>303.62850000000003</c:v>
                </c:pt>
                <c:pt idx="134">
                  <c:v>302.90250000000003</c:v>
                </c:pt>
                <c:pt idx="135">
                  <c:v>302.17499999999995</c:v>
                </c:pt>
                <c:pt idx="136">
                  <c:v>301.524</c:v>
                </c:pt>
                <c:pt idx="137">
                  <c:v>300.79949999999997</c:v>
                </c:pt>
                <c:pt idx="138">
                  <c:v>300.12149999999997</c:v>
                </c:pt>
                <c:pt idx="139">
                  <c:v>299.51549999999997</c:v>
                </c:pt>
                <c:pt idx="140">
                  <c:v>298.78499999999997</c:v>
                </c:pt>
                <c:pt idx="141">
                  <c:v>298.23450000000003</c:v>
                </c:pt>
                <c:pt idx="142">
                  <c:v>297.5505</c:v>
                </c:pt>
                <c:pt idx="143">
                  <c:v>296.928</c:v>
                </c:pt>
                <c:pt idx="144">
                  <c:v>296.25</c:v>
                </c:pt>
                <c:pt idx="145">
                  <c:v>295.64550000000003</c:v>
                </c:pt>
                <c:pt idx="146">
                  <c:v>294.96750000000003</c:v>
                </c:pt>
                <c:pt idx="147">
                  <c:v>294.32550000000003</c:v>
                </c:pt>
                <c:pt idx="148">
                  <c:v>293.709</c:v>
                </c:pt>
                <c:pt idx="149">
                  <c:v>293.10000000000002</c:v>
                </c:pt>
                <c:pt idx="150">
                  <c:v>290.03249999999997</c:v>
                </c:pt>
                <c:pt idx="151">
                  <c:v>289.23450000000003</c:v>
                </c:pt>
                <c:pt idx="152">
                  <c:v>288.64350000000002</c:v>
                </c:pt>
                <c:pt idx="153">
                  <c:v>288.21750000000003</c:v>
                </c:pt>
                <c:pt idx="154">
                  <c:v>287.67449999999997</c:v>
                </c:pt>
                <c:pt idx="155">
                  <c:v>287.274</c:v>
                </c:pt>
                <c:pt idx="156">
                  <c:v>286.77449999999999</c:v>
                </c:pt>
                <c:pt idx="157">
                  <c:v>286.33050000000003</c:v>
                </c:pt>
                <c:pt idx="158">
                  <c:v>285.774</c:v>
                </c:pt>
                <c:pt idx="159">
                  <c:v>285.1755</c:v>
                </c:pt>
                <c:pt idx="160">
                  <c:v>284.613</c:v>
                </c:pt>
                <c:pt idx="161">
                  <c:v>284.12549999999999</c:v>
                </c:pt>
                <c:pt idx="162">
                  <c:v>283.5</c:v>
                </c:pt>
                <c:pt idx="163">
                  <c:v>282.94349999999997</c:v>
                </c:pt>
                <c:pt idx="164">
                  <c:v>282.375</c:v>
                </c:pt>
                <c:pt idx="165">
                  <c:v>281.87850000000003</c:v>
                </c:pt>
                <c:pt idx="166">
                  <c:v>281.32500000000005</c:v>
                </c:pt>
                <c:pt idx="167">
                  <c:v>280.839</c:v>
                </c:pt>
                <c:pt idx="168">
                  <c:v>280.3005</c:v>
                </c:pt>
                <c:pt idx="169">
                  <c:v>279.798</c:v>
                </c:pt>
                <c:pt idx="170">
                  <c:v>279.339</c:v>
                </c:pt>
                <c:pt idx="171">
                  <c:v>278.8245</c:v>
                </c:pt>
                <c:pt idx="172">
                  <c:v>278.34749999999997</c:v>
                </c:pt>
                <c:pt idx="173">
                  <c:v>277.84950000000003</c:v>
                </c:pt>
                <c:pt idx="174">
                  <c:v>277.25850000000003</c:v>
                </c:pt>
                <c:pt idx="175">
                  <c:v>276.678</c:v>
                </c:pt>
                <c:pt idx="176">
                  <c:v>275.97300000000001</c:v>
                </c:pt>
                <c:pt idx="177">
                  <c:v>275.41949999999997</c:v>
                </c:pt>
                <c:pt idx="178">
                  <c:v>274.79999999999995</c:v>
                </c:pt>
                <c:pt idx="179">
                  <c:v>274.23450000000003</c:v>
                </c:pt>
                <c:pt idx="180">
                  <c:v>273.64949999999999</c:v>
                </c:pt>
                <c:pt idx="181">
                  <c:v>273.14550000000003</c:v>
                </c:pt>
                <c:pt idx="182">
                  <c:v>272.589</c:v>
                </c:pt>
                <c:pt idx="183">
                  <c:v>272.0505</c:v>
                </c:pt>
                <c:pt idx="184">
                  <c:v>271.548</c:v>
                </c:pt>
                <c:pt idx="185">
                  <c:v>271.02449999999999</c:v>
                </c:pt>
                <c:pt idx="186">
                  <c:v>262.089</c:v>
                </c:pt>
                <c:pt idx="187">
                  <c:v>260.51549999999997</c:v>
                </c:pt>
                <c:pt idx="188">
                  <c:v>260.04300000000001</c:v>
                </c:pt>
                <c:pt idx="189">
                  <c:v>259.64550000000003</c:v>
                </c:pt>
                <c:pt idx="190">
                  <c:v>259.22550000000001</c:v>
                </c:pt>
                <c:pt idx="191">
                  <c:v>258.87149999999997</c:v>
                </c:pt>
                <c:pt idx="192">
                  <c:v>258.45000000000005</c:v>
                </c:pt>
                <c:pt idx="193">
                  <c:v>258.048</c:v>
                </c:pt>
                <c:pt idx="194">
                  <c:v>257.613</c:v>
                </c:pt>
                <c:pt idx="195">
                  <c:v>257.17499999999995</c:v>
                </c:pt>
                <c:pt idx="196">
                  <c:v>256.74149999999997</c:v>
                </c:pt>
                <c:pt idx="197">
                  <c:v>256.27499999999998</c:v>
                </c:pt>
                <c:pt idx="198">
                  <c:v>255.798</c:v>
                </c:pt>
                <c:pt idx="199">
                  <c:v>255.363</c:v>
                </c:pt>
                <c:pt idx="200">
                  <c:v>254.8125</c:v>
                </c:pt>
                <c:pt idx="201">
                  <c:v>254.39550000000003</c:v>
                </c:pt>
                <c:pt idx="202">
                  <c:v>253.875</c:v>
                </c:pt>
                <c:pt idx="203">
                  <c:v>253.4025</c:v>
                </c:pt>
                <c:pt idx="204">
                  <c:v>252.9255</c:v>
                </c:pt>
                <c:pt idx="205">
                  <c:v>252.459</c:v>
                </c:pt>
                <c:pt idx="206">
                  <c:v>252</c:v>
                </c:pt>
                <c:pt idx="207">
                  <c:v>251.52449999999999</c:v>
                </c:pt>
                <c:pt idx="208">
                  <c:v>251.10449999999997</c:v>
                </c:pt>
                <c:pt idx="209">
                  <c:v>250.62450000000001</c:v>
                </c:pt>
                <c:pt idx="210">
                  <c:v>250.161</c:v>
                </c:pt>
                <c:pt idx="211">
                  <c:v>249.822</c:v>
                </c:pt>
                <c:pt idx="212">
                  <c:v>249.321</c:v>
                </c:pt>
                <c:pt idx="213">
                  <c:v>248.952</c:v>
                </c:pt>
                <c:pt idx="214">
                  <c:v>248.54999999999998</c:v>
                </c:pt>
                <c:pt idx="215">
                  <c:v>248.12850000000003</c:v>
                </c:pt>
                <c:pt idx="216">
                  <c:v>247.72500000000002</c:v>
                </c:pt>
                <c:pt idx="217">
                  <c:v>247.35449999999997</c:v>
                </c:pt>
                <c:pt idx="218">
                  <c:v>246.94349999999997</c:v>
                </c:pt>
                <c:pt idx="219">
                  <c:v>246.52499999999998</c:v>
                </c:pt>
                <c:pt idx="220">
                  <c:v>246.1695</c:v>
                </c:pt>
                <c:pt idx="221">
                  <c:v>245.72550000000001</c:v>
                </c:pt>
                <c:pt idx="222">
                  <c:v>245.37149999999997</c:v>
                </c:pt>
                <c:pt idx="223">
                  <c:v>244.98450000000003</c:v>
                </c:pt>
                <c:pt idx="224">
                  <c:v>244.554</c:v>
                </c:pt>
                <c:pt idx="225">
                  <c:v>244.209</c:v>
                </c:pt>
                <c:pt idx="226">
                  <c:v>243.79949999999997</c:v>
                </c:pt>
                <c:pt idx="227">
                  <c:v>243.411</c:v>
                </c:pt>
                <c:pt idx="228">
                  <c:v>243</c:v>
                </c:pt>
                <c:pt idx="229">
                  <c:v>242.637</c:v>
                </c:pt>
                <c:pt idx="230">
                  <c:v>242.202</c:v>
                </c:pt>
                <c:pt idx="231">
                  <c:v>241.79999999999998</c:v>
                </c:pt>
                <c:pt idx="232">
                  <c:v>241.4025</c:v>
                </c:pt>
                <c:pt idx="233">
                  <c:v>241.00049999999999</c:v>
                </c:pt>
                <c:pt idx="234">
                  <c:v>240.60449999999997</c:v>
                </c:pt>
                <c:pt idx="235">
                  <c:v>240.21750000000003</c:v>
                </c:pt>
                <c:pt idx="236">
                  <c:v>239.79300000000001</c:v>
                </c:pt>
                <c:pt idx="237">
                  <c:v>239.4195</c:v>
                </c:pt>
                <c:pt idx="238">
                  <c:v>238.97550000000001</c:v>
                </c:pt>
                <c:pt idx="239">
                  <c:v>238.62149999999997</c:v>
                </c:pt>
                <c:pt idx="240">
                  <c:v>238.17449999999997</c:v>
                </c:pt>
                <c:pt idx="241">
                  <c:v>237.798</c:v>
                </c:pt>
                <c:pt idx="242">
                  <c:v>237.387</c:v>
                </c:pt>
                <c:pt idx="243">
                  <c:v>236.97450000000001</c:v>
                </c:pt>
                <c:pt idx="244">
                  <c:v>236.613</c:v>
                </c:pt>
                <c:pt idx="245">
                  <c:v>236.17499999999998</c:v>
                </c:pt>
                <c:pt idx="246">
                  <c:v>235.815</c:v>
                </c:pt>
                <c:pt idx="247">
                  <c:v>235.428</c:v>
                </c:pt>
                <c:pt idx="248">
                  <c:v>234.9915</c:v>
                </c:pt>
                <c:pt idx="249">
                  <c:v>234.62850000000003</c:v>
                </c:pt>
                <c:pt idx="250">
                  <c:v>234.25049999999999</c:v>
                </c:pt>
                <c:pt idx="251">
                  <c:v>233.85449999999997</c:v>
                </c:pt>
                <c:pt idx="252">
                  <c:v>233.4495</c:v>
                </c:pt>
                <c:pt idx="253">
                  <c:v>233.05650000000003</c:v>
                </c:pt>
                <c:pt idx="254">
                  <c:v>232.6695</c:v>
                </c:pt>
                <c:pt idx="255">
                  <c:v>232.24950000000001</c:v>
                </c:pt>
                <c:pt idx="256">
                  <c:v>231.9195</c:v>
                </c:pt>
                <c:pt idx="257">
                  <c:v>231.52499999999998</c:v>
                </c:pt>
                <c:pt idx="258">
                  <c:v>231.2415</c:v>
                </c:pt>
                <c:pt idx="259">
                  <c:v>230.976</c:v>
                </c:pt>
                <c:pt idx="260">
                  <c:v>230.65199999999999</c:v>
                </c:pt>
                <c:pt idx="261">
                  <c:v>230.39550000000003</c:v>
                </c:pt>
                <c:pt idx="262">
                  <c:v>229.99950000000001</c:v>
                </c:pt>
                <c:pt idx="263">
                  <c:v>229.69349999999997</c:v>
                </c:pt>
                <c:pt idx="264">
                  <c:v>229.24950000000001</c:v>
                </c:pt>
                <c:pt idx="265">
                  <c:v>228.87149999999997</c:v>
                </c:pt>
                <c:pt idx="266">
                  <c:v>228.435</c:v>
                </c:pt>
                <c:pt idx="267">
                  <c:v>228</c:v>
                </c:pt>
                <c:pt idx="268">
                  <c:v>227.589</c:v>
                </c:pt>
                <c:pt idx="269">
                  <c:v>227.12549999999999</c:v>
                </c:pt>
                <c:pt idx="270">
                  <c:v>226.69349999999997</c:v>
                </c:pt>
                <c:pt idx="271">
                  <c:v>226.30650000000003</c:v>
                </c:pt>
                <c:pt idx="272">
                  <c:v>225.85649999999998</c:v>
                </c:pt>
                <c:pt idx="273">
                  <c:v>225.459</c:v>
                </c:pt>
                <c:pt idx="274">
                  <c:v>225.02549999999999</c:v>
                </c:pt>
                <c:pt idx="275">
                  <c:v>224.637</c:v>
                </c:pt>
                <c:pt idx="276">
                  <c:v>224.25</c:v>
                </c:pt>
                <c:pt idx="277">
                  <c:v>223.863</c:v>
                </c:pt>
                <c:pt idx="278">
                  <c:v>223.452</c:v>
                </c:pt>
                <c:pt idx="279">
                  <c:v>223.09950000000001</c:v>
                </c:pt>
                <c:pt idx="280">
                  <c:v>222.822</c:v>
                </c:pt>
                <c:pt idx="281">
                  <c:v>222.47550000000001</c:v>
                </c:pt>
                <c:pt idx="282">
                  <c:v>222.0975</c:v>
                </c:pt>
                <c:pt idx="283">
                  <c:v>221.7585</c:v>
                </c:pt>
                <c:pt idx="284">
                  <c:v>221.45699999999999</c:v>
                </c:pt>
                <c:pt idx="285">
                  <c:v>221.1525</c:v>
                </c:pt>
                <c:pt idx="286">
                  <c:v>220.84950000000001</c:v>
                </c:pt>
                <c:pt idx="287">
                  <c:v>220.476</c:v>
                </c:pt>
                <c:pt idx="288">
                  <c:v>220.15049999999999</c:v>
                </c:pt>
                <c:pt idx="289">
                  <c:v>219.702</c:v>
                </c:pt>
                <c:pt idx="290">
                  <c:v>219.26549999999997</c:v>
                </c:pt>
                <c:pt idx="291">
                  <c:v>218.8005</c:v>
                </c:pt>
                <c:pt idx="292">
                  <c:v>218.322</c:v>
                </c:pt>
                <c:pt idx="293">
                  <c:v>217.79999999999998</c:v>
                </c:pt>
                <c:pt idx="294">
                  <c:v>217.35449999999997</c:v>
                </c:pt>
                <c:pt idx="295">
                  <c:v>216.89550000000003</c:v>
                </c:pt>
                <c:pt idx="296">
                  <c:v>216.375</c:v>
                </c:pt>
                <c:pt idx="297">
                  <c:v>215.976</c:v>
                </c:pt>
                <c:pt idx="298">
                  <c:v>215.52449999999999</c:v>
                </c:pt>
                <c:pt idx="299">
                  <c:v>215.10449999999997</c:v>
                </c:pt>
                <c:pt idx="300">
                  <c:v>214.64999999999998</c:v>
                </c:pt>
                <c:pt idx="301">
                  <c:v>214.28249999999997</c:v>
                </c:pt>
                <c:pt idx="302">
                  <c:v>213.87149999999997</c:v>
                </c:pt>
                <c:pt idx="303">
                  <c:v>213.47550000000001</c:v>
                </c:pt>
                <c:pt idx="304">
                  <c:v>213.12149999999997</c:v>
                </c:pt>
                <c:pt idx="305">
                  <c:v>212.52449999999999</c:v>
                </c:pt>
                <c:pt idx="306">
                  <c:v>211.839</c:v>
                </c:pt>
                <c:pt idx="307">
                  <c:v>211.185</c:v>
                </c:pt>
                <c:pt idx="308">
                  <c:v>210.6165</c:v>
                </c:pt>
                <c:pt idx="309">
                  <c:v>210.0975</c:v>
                </c:pt>
                <c:pt idx="310">
                  <c:v>209.57550000000003</c:v>
                </c:pt>
                <c:pt idx="311">
                  <c:v>209.05650000000003</c:v>
                </c:pt>
                <c:pt idx="312">
                  <c:v>208.47450000000001</c:v>
                </c:pt>
                <c:pt idx="313">
                  <c:v>207.96750000000003</c:v>
                </c:pt>
                <c:pt idx="314">
                  <c:v>207.459</c:v>
                </c:pt>
                <c:pt idx="315">
                  <c:v>206.89949999999999</c:v>
                </c:pt>
                <c:pt idx="316">
                  <c:v>206.46750000000003</c:v>
                </c:pt>
                <c:pt idx="317">
                  <c:v>205.90049999999999</c:v>
                </c:pt>
                <c:pt idx="318">
                  <c:v>205.452</c:v>
                </c:pt>
                <c:pt idx="319">
                  <c:v>205.01549999999997</c:v>
                </c:pt>
                <c:pt idx="320">
                  <c:v>204.5625</c:v>
                </c:pt>
                <c:pt idx="321">
                  <c:v>204.19349999999997</c:v>
                </c:pt>
                <c:pt idx="322">
                  <c:v>203.74950000000001</c:v>
                </c:pt>
                <c:pt idx="323">
                  <c:v>203.46750000000003</c:v>
                </c:pt>
                <c:pt idx="324">
                  <c:v>203.12549999999999</c:v>
                </c:pt>
                <c:pt idx="325">
                  <c:v>202.863</c:v>
                </c:pt>
                <c:pt idx="326">
                  <c:v>202.548</c:v>
                </c:pt>
                <c:pt idx="327">
                  <c:v>202.24950000000001</c:v>
                </c:pt>
                <c:pt idx="328">
                  <c:v>201.96750000000003</c:v>
                </c:pt>
                <c:pt idx="329">
                  <c:v>201.64949999999999</c:v>
                </c:pt>
                <c:pt idx="330">
                  <c:v>201.315</c:v>
                </c:pt>
                <c:pt idx="331">
                  <c:v>200.952</c:v>
                </c:pt>
                <c:pt idx="332">
                  <c:v>200.58599999999998</c:v>
                </c:pt>
                <c:pt idx="333">
                  <c:v>200.226</c:v>
                </c:pt>
                <c:pt idx="334">
                  <c:v>199.90049999999999</c:v>
                </c:pt>
                <c:pt idx="335">
                  <c:v>199.524</c:v>
                </c:pt>
                <c:pt idx="336">
                  <c:v>199.15049999999999</c:v>
                </c:pt>
                <c:pt idx="337">
                  <c:v>198.8475</c:v>
                </c:pt>
                <c:pt idx="338">
                  <c:v>198.53249999999997</c:v>
                </c:pt>
                <c:pt idx="339">
                  <c:v>198.1755</c:v>
                </c:pt>
                <c:pt idx="340">
                  <c:v>197.9025</c:v>
                </c:pt>
                <c:pt idx="341">
                  <c:v>197.59950000000001</c:v>
                </c:pt>
                <c:pt idx="342">
                  <c:v>197.298</c:v>
                </c:pt>
                <c:pt idx="343">
                  <c:v>197.05650000000003</c:v>
                </c:pt>
                <c:pt idx="344">
                  <c:v>196.7415</c:v>
                </c:pt>
                <c:pt idx="345">
                  <c:v>196.524</c:v>
                </c:pt>
                <c:pt idx="346">
                  <c:v>196.22550000000001</c:v>
                </c:pt>
                <c:pt idx="347">
                  <c:v>195.9915</c:v>
                </c:pt>
                <c:pt idx="348">
                  <c:v>195.72450000000001</c:v>
                </c:pt>
                <c:pt idx="349">
                  <c:v>195.459</c:v>
                </c:pt>
                <c:pt idx="350">
                  <c:v>195.21750000000003</c:v>
                </c:pt>
                <c:pt idx="351">
                  <c:v>194.92499999999998</c:v>
                </c:pt>
                <c:pt idx="352">
                  <c:v>194.709</c:v>
                </c:pt>
                <c:pt idx="353">
                  <c:v>194.39999999999998</c:v>
                </c:pt>
                <c:pt idx="354">
                  <c:v>194.1525</c:v>
                </c:pt>
                <c:pt idx="355">
                  <c:v>193.935</c:v>
                </c:pt>
                <c:pt idx="356">
                  <c:v>193.6335</c:v>
                </c:pt>
                <c:pt idx="357">
                  <c:v>193.35449999999997</c:v>
                </c:pt>
                <c:pt idx="358">
                  <c:v>193.09950000000001</c:v>
                </c:pt>
                <c:pt idx="359">
                  <c:v>192.822</c:v>
                </c:pt>
                <c:pt idx="360">
                  <c:v>192.52499999999998</c:v>
                </c:pt>
                <c:pt idx="361">
                  <c:v>192.2415</c:v>
                </c:pt>
                <c:pt idx="362">
                  <c:v>191.976</c:v>
                </c:pt>
                <c:pt idx="363">
                  <c:v>191.67449999999999</c:v>
                </c:pt>
                <c:pt idx="364">
                  <c:v>191.4195</c:v>
                </c:pt>
                <c:pt idx="365">
                  <c:v>191.12549999999999</c:v>
                </c:pt>
                <c:pt idx="366">
                  <c:v>190.815</c:v>
                </c:pt>
                <c:pt idx="367">
                  <c:v>190.572</c:v>
                </c:pt>
                <c:pt idx="368">
                  <c:v>190.2585</c:v>
                </c:pt>
                <c:pt idx="369">
                  <c:v>189.9675</c:v>
                </c:pt>
                <c:pt idx="370">
                  <c:v>189.70050000000001</c:v>
                </c:pt>
                <c:pt idx="371">
                  <c:v>189.411</c:v>
                </c:pt>
                <c:pt idx="372">
                  <c:v>189.10049999999998</c:v>
                </c:pt>
                <c:pt idx="373">
                  <c:v>188.7825</c:v>
                </c:pt>
                <c:pt idx="374">
                  <c:v>188.4915</c:v>
                </c:pt>
                <c:pt idx="375">
                  <c:v>188.14950000000002</c:v>
                </c:pt>
                <c:pt idx="376">
                  <c:v>187.887</c:v>
                </c:pt>
                <c:pt idx="377">
                  <c:v>187.54949999999999</c:v>
                </c:pt>
                <c:pt idx="378">
                  <c:v>187.2345</c:v>
                </c:pt>
                <c:pt idx="379">
                  <c:v>186.9435</c:v>
                </c:pt>
                <c:pt idx="380">
                  <c:v>186.59550000000002</c:v>
                </c:pt>
                <c:pt idx="381">
                  <c:v>186.291</c:v>
                </c:pt>
                <c:pt idx="382">
                  <c:v>185.97450000000001</c:v>
                </c:pt>
                <c:pt idx="383">
                  <c:v>185.661</c:v>
                </c:pt>
                <c:pt idx="384">
                  <c:v>185.32499999999999</c:v>
                </c:pt>
                <c:pt idx="385">
                  <c:v>185.0325</c:v>
                </c:pt>
                <c:pt idx="386">
                  <c:v>184.7655</c:v>
                </c:pt>
                <c:pt idx="387">
                  <c:v>184.52549999999999</c:v>
                </c:pt>
                <c:pt idx="388">
                  <c:v>184.3065</c:v>
                </c:pt>
                <c:pt idx="389">
                  <c:v>184.00049999999999</c:v>
                </c:pt>
                <c:pt idx="390">
                  <c:v>183.75</c:v>
                </c:pt>
                <c:pt idx="391">
                  <c:v>183.4845</c:v>
                </c:pt>
                <c:pt idx="392">
                  <c:v>183.1335</c:v>
                </c:pt>
                <c:pt idx="393">
                  <c:v>182.8305</c:v>
                </c:pt>
                <c:pt idx="394">
                  <c:v>182.4495</c:v>
                </c:pt>
                <c:pt idx="395">
                  <c:v>182.1045</c:v>
                </c:pt>
                <c:pt idx="396">
                  <c:v>181.72500000000002</c:v>
                </c:pt>
                <c:pt idx="397">
                  <c:v>181.3545</c:v>
                </c:pt>
                <c:pt idx="398">
                  <c:v>180.9915</c:v>
                </c:pt>
                <c:pt idx="399">
                  <c:v>180.62549999999999</c:v>
                </c:pt>
                <c:pt idx="400">
                  <c:v>180.291</c:v>
                </c:pt>
                <c:pt idx="401">
                  <c:v>180.07499999999999</c:v>
                </c:pt>
                <c:pt idx="402">
                  <c:v>179.8305</c:v>
                </c:pt>
                <c:pt idx="403">
                  <c:v>179.589</c:v>
                </c:pt>
                <c:pt idx="404">
                  <c:v>179.27699999999999</c:v>
                </c:pt>
                <c:pt idx="405">
                  <c:v>179.0085</c:v>
                </c:pt>
                <c:pt idx="406">
                  <c:v>178.62450000000001</c:v>
                </c:pt>
                <c:pt idx="407">
                  <c:v>178.2825</c:v>
                </c:pt>
                <c:pt idx="408">
                  <c:v>177.89999999999998</c:v>
                </c:pt>
                <c:pt idx="409">
                  <c:v>177.5085</c:v>
                </c:pt>
                <c:pt idx="410">
                  <c:v>177.1455</c:v>
                </c:pt>
                <c:pt idx="411">
                  <c:v>176.72549999999998</c:v>
                </c:pt>
                <c:pt idx="412">
                  <c:v>176.4195</c:v>
                </c:pt>
                <c:pt idx="413">
                  <c:v>176.0505</c:v>
                </c:pt>
                <c:pt idx="414">
                  <c:v>175.6935</c:v>
                </c:pt>
                <c:pt idx="415">
                  <c:v>175.4025</c:v>
                </c:pt>
                <c:pt idx="416">
                  <c:v>175.09800000000001</c:v>
                </c:pt>
                <c:pt idx="417">
                  <c:v>174.8475</c:v>
                </c:pt>
                <c:pt idx="418">
                  <c:v>174.52499999999998</c:v>
                </c:pt>
                <c:pt idx="419">
                  <c:v>174.2415</c:v>
                </c:pt>
                <c:pt idx="420">
                  <c:v>173.95050000000001</c:v>
                </c:pt>
                <c:pt idx="421">
                  <c:v>173.661</c:v>
                </c:pt>
                <c:pt idx="422">
                  <c:v>173.298</c:v>
                </c:pt>
                <c:pt idx="423">
                  <c:v>172.99950000000001</c:v>
                </c:pt>
                <c:pt idx="424">
                  <c:v>172.6935</c:v>
                </c:pt>
                <c:pt idx="425">
                  <c:v>172.35000000000002</c:v>
                </c:pt>
                <c:pt idx="426">
                  <c:v>172.065</c:v>
                </c:pt>
                <c:pt idx="427">
                  <c:v>171.75</c:v>
                </c:pt>
                <c:pt idx="428">
                  <c:v>171.465</c:v>
                </c:pt>
                <c:pt idx="429">
                  <c:v>171.291</c:v>
                </c:pt>
                <c:pt idx="430">
                  <c:v>170.95050000000001</c:v>
                </c:pt>
                <c:pt idx="431">
                  <c:v>170.709</c:v>
                </c:pt>
                <c:pt idx="432">
                  <c:v>170.4255</c:v>
                </c:pt>
                <c:pt idx="433">
                  <c:v>170.1525</c:v>
                </c:pt>
                <c:pt idx="434">
                  <c:v>169.911</c:v>
                </c:pt>
                <c:pt idx="435">
                  <c:v>169.62450000000001</c:v>
                </c:pt>
                <c:pt idx="436">
                  <c:v>169.3305</c:v>
                </c:pt>
                <c:pt idx="437">
                  <c:v>169.07550000000001</c:v>
                </c:pt>
                <c:pt idx="438">
                  <c:v>168.8475</c:v>
                </c:pt>
                <c:pt idx="439">
                  <c:v>168.6525</c:v>
                </c:pt>
                <c:pt idx="440">
                  <c:v>168.45600000000002</c:v>
                </c:pt>
                <c:pt idx="441">
                  <c:v>168.2655</c:v>
                </c:pt>
                <c:pt idx="442">
                  <c:v>168.02549999999999</c:v>
                </c:pt>
                <c:pt idx="443">
                  <c:v>167.7825</c:v>
                </c:pt>
                <c:pt idx="444">
                  <c:v>167.4495</c:v>
                </c:pt>
                <c:pt idx="445">
                  <c:v>167.178</c:v>
                </c:pt>
                <c:pt idx="446">
                  <c:v>166.863</c:v>
                </c:pt>
                <c:pt idx="447">
                  <c:v>166.52549999999999</c:v>
                </c:pt>
                <c:pt idx="448">
                  <c:v>166.209</c:v>
                </c:pt>
                <c:pt idx="449">
                  <c:v>165.89999999999998</c:v>
                </c:pt>
                <c:pt idx="450">
                  <c:v>165.6045</c:v>
                </c:pt>
                <c:pt idx="451">
                  <c:v>165.339</c:v>
                </c:pt>
                <c:pt idx="452">
                  <c:v>164.946</c:v>
                </c:pt>
                <c:pt idx="453">
                  <c:v>164.613</c:v>
                </c:pt>
                <c:pt idx="454">
                  <c:v>164.25</c:v>
                </c:pt>
                <c:pt idx="455">
                  <c:v>163.935</c:v>
                </c:pt>
                <c:pt idx="456">
                  <c:v>163.62450000000001</c:v>
                </c:pt>
                <c:pt idx="457">
                  <c:v>163.3545</c:v>
                </c:pt>
                <c:pt idx="458">
                  <c:v>163.113</c:v>
                </c:pt>
                <c:pt idx="459">
                  <c:v>162.89999999999998</c:v>
                </c:pt>
                <c:pt idx="460">
                  <c:v>162.678</c:v>
                </c:pt>
                <c:pt idx="461">
                  <c:v>162.49950000000001</c:v>
                </c:pt>
                <c:pt idx="462">
                  <c:v>162.291</c:v>
                </c:pt>
                <c:pt idx="463">
                  <c:v>162.072</c:v>
                </c:pt>
                <c:pt idx="464">
                  <c:v>161.7585</c:v>
                </c:pt>
                <c:pt idx="465">
                  <c:v>161.4675</c:v>
                </c:pt>
                <c:pt idx="466">
                  <c:v>161.14950000000002</c:v>
                </c:pt>
                <c:pt idx="467">
                  <c:v>160.887</c:v>
                </c:pt>
                <c:pt idx="468">
                  <c:v>160.57499999999999</c:v>
                </c:pt>
                <c:pt idx="469">
                  <c:v>160.2585</c:v>
                </c:pt>
                <c:pt idx="470">
                  <c:v>159.9675</c:v>
                </c:pt>
                <c:pt idx="471">
                  <c:v>159.67500000000001</c:v>
                </c:pt>
                <c:pt idx="472">
                  <c:v>159.387</c:v>
                </c:pt>
                <c:pt idx="473">
                  <c:v>159.07499999999999</c:v>
                </c:pt>
                <c:pt idx="474">
                  <c:v>158.661</c:v>
                </c:pt>
                <c:pt idx="475">
                  <c:v>158.202</c:v>
                </c:pt>
                <c:pt idx="476">
                  <c:v>157.81049999999999</c:v>
                </c:pt>
                <c:pt idx="477">
                  <c:v>157.548</c:v>
                </c:pt>
                <c:pt idx="478">
                  <c:v>157.3245</c:v>
                </c:pt>
                <c:pt idx="479">
                  <c:v>157.161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ED5-4B7A-A185-BA3C3DDB3E54}"/>
            </c:ext>
          </c:extLst>
        </c:ser>
        <c:ser>
          <c:idx val="8"/>
          <c:order val="8"/>
          <c:tx>
            <c:strRef>
              <c:f>'FPSO1 Base'!$K$2</c:f>
              <c:strCache>
                <c:ptCount val="1"/>
                <c:pt idx="0">
                  <c:v>P9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Base'!$K$3:$K$730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302.26800000000003</c:v>
                </c:pt>
                <c:pt idx="41">
                  <c:v>1672.9649999999999</c:v>
                </c:pt>
                <c:pt idx="42">
                  <c:v>1414.0454999999999</c:v>
                </c:pt>
                <c:pt idx="43">
                  <c:v>1319.7345</c:v>
                </c:pt>
                <c:pt idx="44">
                  <c:v>1258.1775</c:v>
                </c:pt>
                <c:pt idx="45">
                  <c:v>1202.0145</c:v>
                </c:pt>
                <c:pt idx="46">
                  <c:v>1148.43</c:v>
                </c:pt>
                <c:pt idx="47">
                  <c:v>1097.1179999999999</c:v>
                </c:pt>
                <c:pt idx="48">
                  <c:v>1048.3154999999999</c:v>
                </c:pt>
                <c:pt idx="49">
                  <c:v>1010.9415</c:v>
                </c:pt>
                <c:pt idx="50">
                  <c:v>983.24099999999999</c:v>
                </c:pt>
                <c:pt idx="51">
                  <c:v>963.51299999999992</c:v>
                </c:pt>
                <c:pt idx="52">
                  <c:v>951.11099999999988</c:v>
                </c:pt>
                <c:pt idx="53">
                  <c:v>935.40300000000002</c:v>
                </c:pt>
                <c:pt idx="54">
                  <c:v>900.15300000000002</c:v>
                </c:pt>
                <c:pt idx="55">
                  <c:v>880.54200000000003</c:v>
                </c:pt>
                <c:pt idx="56">
                  <c:v>857.22</c:v>
                </c:pt>
                <c:pt idx="57">
                  <c:v>842.74500000000012</c:v>
                </c:pt>
                <c:pt idx="58">
                  <c:v>826.50900000000001</c:v>
                </c:pt>
                <c:pt idx="59">
                  <c:v>812.80200000000013</c:v>
                </c:pt>
                <c:pt idx="60">
                  <c:v>799.17599999999993</c:v>
                </c:pt>
                <c:pt idx="61">
                  <c:v>787.53449999999998</c:v>
                </c:pt>
                <c:pt idx="62">
                  <c:v>775.9815000000001</c:v>
                </c:pt>
                <c:pt idx="63">
                  <c:v>764.80500000000006</c:v>
                </c:pt>
                <c:pt idx="64">
                  <c:v>755.33699999999999</c:v>
                </c:pt>
                <c:pt idx="65">
                  <c:v>745.67700000000002</c:v>
                </c:pt>
                <c:pt idx="66">
                  <c:v>737.89649999999995</c:v>
                </c:pt>
                <c:pt idx="67">
                  <c:v>730.524</c:v>
                </c:pt>
                <c:pt idx="68">
                  <c:v>722.27699999999993</c:v>
                </c:pt>
                <c:pt idx="69">
                  <c:v>716.06850000000009</c:v>
                </c:pt>
                <c:pt idx="70">
                  <c:v>709.15049999999997</c:v>
                </c:pt>
                <c:pt idx="71">
                  <c:v>703.14300000000003</c:v>
                </c:pt>
                <c:pt idx="72">
                  <c:v>696.91800000000001</c:v>
                </c:pt>
                <c:pt idx="73">
                  <c:v>691.34249999999997</c:v>
                </c:pt>
                <c:pt idx="74">
                  <c:v>686.08349999999996</c:v>
                </c:pt>
                <c:pt idx="75">
                  <c:v>680.91300000000001</c:v>
                </c:pt>
                <c:pt idx="76">
                  <c:v>677.96100000000001</c:v>
                </c:pt>
                <c:pt idx="77">
                  <c:v>672.75300000000004</c:v>
                </c:pt>
                <c:pt idx="78">
                  <c:v>669.78600000000006</c:v>
                </c:pt>
                <c:pt idx="79">
                  <c:v>666.29100000000005</c:v>
                </c:pt>
                <c:pt idx="80">
                  <c:v>662.00549999999998</c:v>
                </c:pt>
                <c:pt idx="81">
                  <c:v>658.42499999999995</c:v>
                </c:pt>
                <c:pt idx="82">
                  <c:v>654.59699999999998</c:v>
                </c:pt>
                <c:pt idx="83">
                  <c:v>651.28199999999993</c:v>
                </c:pt>
                <c:pt idx="84">
                  <c:v>647.8125</c:v>
                </c:pt>
                <c:pt idx="85">
                  <c:v>644.64300000000003</c:v>
                </c:pt>
                <c:pt idx="86">
                  <c:v>641.56200000000001</c:v>
                </c:pt>
                <c:pt idx="87">
                  <c:v>638.41800000000001</c:v>
                </c:pt>
                <c:pt idx="88">
                  <c:v>635.65800000000002</c:v>
                </c:pt>
                <c:pt idx="89">
                  <c:v>632.74950000000001</c:v>
                </c:pt>
                <c:pt idx="90">
                  <c:v>626.94299999999998</c:v>
                </c:pt>
                <c:pt idx="91">
                  <c:v>624.2115</c:v>
                </c:pt>
                <c:pt idx="92">
                  <c:v>621.56850000000009</c:v>
                </c:pt>
                <c:pt idx="93">
                  <c:v>619.30949999999996</c:v>
                </c:pt>
                <c:pt idx="94">
                  <c:v>616.803</c:v>
                </c:pt>
                <c:pt idx="95">
                  <c:v>614.55600000000004</c:v>
                </c:pt>
                <c:pt idx="96">
                  <c:v>612.15300000000002</c:v>
                </c:pt>
                <c:pt idx="97">
                  <c:v>609.9375</c:v>
                </c:pt>
                <c:pt idx="98">
                  <c:v>607.76250000000005</c:v>
                </c:pt>
                <c:pt idx="99">
                  <c:v>605.50350000000003</c:v>
                </c:pt>
                <c:pt idx="100">
                  <c:v>603.4559999999999</c:v>
                </c:pt>
                <c:pt idx="101">
                  <c:v>601.2405</c:v>
                </c:pt>
                <c:pt idx="102">
                  <c:v>593.16</c:v>
                </c:pt>
                <c:pt idx="103">
                  <c:v>590.70899999999995</c:v>
                </c:pt>
                <c:pt idx="104">
                  <c:v>588.55200000000002</c:v>
                </c:pt>
                <c:pt idx="105">
                  <c:v>586.75649999999996</c:v>
                </c:pt>
                <c:pt idx="106">
                  <c:v>584.61899999999991</c:v>
                </c:pt>
                <c:pt idx="107">
                  <c:v>582.62850000000003</c:v>
                </c:pt>
                <c:pt idx="108">
                  <c:v>580.48800000000006</c:v>
                </c:pt>
                <c:pt idx="109">
                  <c:v>578.47950000000003</c:v>
                </c:pt>
                <c:pt idx="110">
                  <c:v>576.47249999999997</c:v>
                </c:pt>
                <c:pt idx="111">
                  <c:v>574.35599999999999</c:v>
                </c:pt>
                <c:pt idx="112">
                  <c:v>572.4135</c:v>
                </c:pt>
                <c:pt idx="113">
                  <c:v>570.30600000000004</c:v>
                </c:pt>
                <c:pt idx="114">
                  <c:v>568.31850000000009</c:v>
                </c:pt>
                <c:pt idx="115">
                  <c:v>566.43149999999991</c:v>
                </c:pt>
                <c:pt idx="116">
                  <c:v>564.17399999999998</c:v>
                </c:pt>
                <c:pt idx="117">
                  <c:v>562.36649999999997</c:v>
                </c:pt>
                <c:pt idx="118">
                  <c:v>560.23050000000001</c:v>
                </c:pt>
                <c:pt idx="119">
                  <c:v>558.32100000000003</c:v>
                </c:pt>
                <c:pt idx="120">
                  <c:v>556.13699999999994</c:v>
                </c:pt>
                <c:pt idx="121">
                  <c:v>554.1105</c:v>
                </c:pt>
                <c:pt idx="122">
                  <c:v>552.07799999999997</c:v>
                </c:pt>
                <c:pt idx="123">
                  <c:v>549.92550000000006</c:v>
                </c:pt>
                <c:pt idx="124">
                  <c:v>547.947</c:v>
                </c:pt>
                <c:pt idx="125">
                  <c:v>545.77500000000009</c:v>
                </c:pt>
                <c:pt idx="126">
                  <c:v>543.72</c:v>
                </c:pt>
                <c:pt idx="127">
                  <c:v>541.77149999999995</c:v>
                </c:pt>
                <c:pt idx="128">
                  <c:v>539.48400000000004</c:v>
                </c:pt>
                <c:pt idx="129">
                  <c:v>537.62850000000003</c:v>
                </c:pt>
                <c:pt idx="130">
                  <c:v>535.46849999999995</c:v>
                </c:pt>
                <c:pt idx="131">
                  <c:v>533.47350000000006</c:v>
                </c:pt>
                <c:pt idx="132">
                  <c:v>531.29999999999995</c:v>
                </c:pt>
                <c:pt idx="133">
                  <c:v>529.2405</c:v>
                </c:pt>
                <c:pt idx="134">
                  <c:v>527.18999999999994</c:v>
                </c:pt>
                <c:pt idx="135">
                  <c:v>525</c:v>
                </c:pt>
                <c:pt idx="136">
                  <c:v>522.9855</c:v>
                </c:pt>
                <c:pt idx="137">
                  <c:v>520.7940000000001</c:v>
                </c:pt>
                <c:pt idx="138">
                  <c:v>518.7405</c:v>
                </c:pt>
                <c:pt idx="139">
                  <c:v>516.74399999999991</c:v>
                </c:pt>
                <c:pt idx="140">
                  <c:v>514.53899999999999</c:v>
                </c:pt>
                <c:pt idx="141">
                  <c:v>512.61899999999991</c:v>
                </c:pt>
                <c:pt idx="142">
                  <c:v>510.46199999999999</c:v>
                </c:pt>
                <c:pt idx="143">
                  <c:v>508.48199999999997</c:v>
                </c:pt>
                <c:pt idx="144">
                  <c:v>506.35050000000001</c:v>
                </c:pt>
                <c:pt idx="145">
                  <c:v>504.33299999999997</c:v>
                </c:pt>
                <c:pt idx="146">
                  <c:v>502.33050000000003</c:v>
                </c:pt>
                <c:pt idx="147">
                  <c:v>500.23050000000001</c:v>
                </c:pt>
                <c:pt idx="148">
                  <c:v>498.32100000000003</c:v>
                </c:pt>
                <c:pt idx="149">
                  <c:v>496.22550000000001</c:v>
                </c:pt>
                <c:pt idx="150">
                  <c:v>489.786</c:v>
                </c:pt>
                <c:pt idx="151">
                  <c:v>487.57800000000003</c:v>
                </c:pt>
                <c:pt idx="152">
                  <c:v>485.51099999999997</c:v>
                </c:pt>
                <c:pt idx="153">
                  <c:v>483.85949999999997</c:v>
                </c:pt>
                <c:pt idx="154">
                  <c:v>481.88699999999994</c:v>
                </c:pt>
                <c:pt idx="155">
                  <c:v>480.08399999999995</c:v>
                </c:pt>
                <c:pt idx="156">
                  <c:v>478.11899999999997</c:v>
                </c:pt>
                <c:pt idx="157">
                  <c:v>476.29200000000003</c:v>
                </c:pt>
                <c:pt idx="158">
                  <c:v>474.47249999999997</c:v>
                </c:pt>
                <c:pt idx="159">
                  <c:v>472.54950000000002</c:v>
                </c:pt>
                <c:pt idx="160">
                  <c:v>470.8125</c:v>
                </c:pt>
                <c:pt idx="161">
                  <c:v>469.34400000000005</c:v>
                </c:pt>
                <c:pt idx="162">
                  <c:v>467.17199999999997</c:v>
                </c:pt>
                <c:pt idx="163">
                  <c:v>465.46500000000003</c:v>
                </c:pt>
                <c:pt idx="164">
                  <c:v>463.48050000000001</c:v>
                </c:pt>
                <c:pt idx="165">
                  <c:v>461.90999999999997</c:v>
                </c:pt>
                <c:pt idx="166">
                  <c:v>460.08750000000003</c:v>
                </c:pt>
                <c:pt idx="167">
                  <c:v>458.4135</c:v>
                </c:pt>
                <c:pt idx="168">
                  <c:v>456.61950000000002</c:v>
                </c:pt>
                <c:pt idx="169">
                  <c:v>454.92899999999997</c:v>
                </c:pt>
                <c:pt idx="170">
                  <c:v>453.26550000000003</c:v>
                </c:pt>
                <c:pt idx="171">
                  <c:v>451.51949999999999</c:v>
                </c:pt>
                <c:pt idx="172">
                  <c:v>449.928</c:v>
                </c:pt>
                <c:pt idx="173">
                  <c:v>448.21199999999999</c:v>
                </c:pt>
                <c:pt idx="174">
                  <c:v>446.61300000000006</c:v>
                </c:pt>
                <c:pt idx="175">
                  <c:v>445.11899999999997</c:v>
                </c:pt>
                <c:pt idx="176">
                  <c:v>443.35650000000004</c:v>
                </c:pt>
                <c:pt idx="177">
                  <c:v>441.9615</c:v>
                </c:pt>
                <c:pt idx="178">
                  <c:v>440.32500000000005</c:v>
                </c:pt>
                <c:pt idx="179">
                  <c:v>438.84000000000003</c:v>
                </c:pt>
                <c:pt idx="180">
                  <c:v>437.23050000000001</c:v>
                </c:pt>
                <c:pt idx="181">
                  <c:v>435.73199999999997</c:v>
                </c:pt>
                <c:pt idx="182">
                  <c:v>434.23800000000006</c:v>
                </c:pt>
                <c:pt idx="183">
                  <c:v>432.66900000000004</c:v>
                </c:pt>
                <c:pt idx="184">
                  <c:v>431.25</c:v>
                </c:pt>
                <c:pt idx="185">
                  <c:v>429.71849999999995</c:v>
                </c:pt>
                <c:pt idx="186">
                  <c:v>413.18999999999994</c:v>
                </c:pt>
                <c:pt idx="187">
                  <c:v>410.322</c:v>
                </c:pt>
                <c:pt idx="188">
                  <c:v>408.40800000000002</c:v>
                </c:pt>
                <c:pt idx="189">
                  <c:v>406.84500000000003</c:v>
                </c:pt>
                <c:pt idx="190">
                  <c:v>402.67499999999995</c:v>
                </c:pt>
                <c:pt idx="191">
                  <c:v>398.7645</c:v>
                </c:pt>
                <c:pt idx="192">
                  <c:v>394.46250000000003</c:v>
                </c:pt>
                <c:pt idx="193">
                  <c:v>390.65999999999997</c:v>
                </c:pt>
                <c:pt idx="194">
                  <c:v>386.93999999999994</c:v>
                </c:pt>
                <c:pt idx="195">
                  <c:v>383.50649999999996</c:v>
                </c:pt>
                <c:pt idx="196">
                  <c:v>380.226</c:v>
                </c:pt>
                <c:pt idx="197">
                  <c:v>377.03700000000003</c:v>
                </c:pt>
                <c:pt idx="198">
                  <c:v>374.3775</c:v>
                </c:pt>
                <c:pt idx="199">
                  <c:v>372.2475</c:v>
                </c:pt>
                <c:pt idx="200">
                  <c:v>369.42899999999997</c:v>
                </c:pt>
                <c:pt idx="201">
                  <c:v>367.209</c:v>
                </c:pt>
                <c:pt idx="202">
                  <c:v>364.63800000000003</c:v>
                </c:pt>
                <c:pt idx="203">
                  <c:v>362.51549999999997</c:v>
                </c:pt>
                <c:pt idx="204">
                  <c:v>360.26250000000005</c:v>
                </c:pt>
                <c:pt idx="205">
                  <c:v>358.30650000000003</c:v>
                </c:pt>
                <c:pt idx="206">
                  <c:v>356.39550000000003</c:v>
                </c:pt>
                <c:pt idx="207">
                  <c:v>354.53100000000001</c:v>
                </c:pt>
                <c:pt idx="208">
                  <c:v>352.70550000000003</c:v>
                </c:pt>
                <c:pt idx="209">
                  <c:v>350.71800000000002</c:v>
                </c:pt>
                <c:pt idx="210">
                  <c:v>348.84000000000003</c:v>
                </c:pt>
                <c:pt idx="211">
                  <c:v>347.21999999999997</c:v>
                </c:pt>
                <c:pt idx="212">
                  <c:v>345.15449999999998</c:v>
                </c:pt>
                <c:pt idx="213">
                  <c:v>343.488</c:v>
                </c:pt>
                <c:pt idx="214">
                  <c:v>341.55600000000004</c:v>
                </c:pt>
                <c:pt idx="215">
                  <c:v>339.8895</c:v>
                </c:pt>
                <c:pt idx="216">
                  <c:v>337.96199999999999</c:v>
                </c:pt>
                <c:pt idx="217">
                  <c:v>336.1275</c:v>
                </c:pt>
                <c:pt idx="218">
                  <c:v>334.2885</c:v>
                </c:pt>
                <c:pt idx="219">
                  <c:v>332.46299999999997</c:v>
                </c:pt>
                <c:pt idx="220">
                  <c:v>330.726</c:v>
                </c:pt>
                <c:pt idx="221">
                  <c:v>328.81200000000001</c:v>
                </c:pt>
                <c:pt idx="222">
                  <c:v>327.024</c:v>
                </c:pt>
                <c:pt idx="223">
                  <c:v>325.464</c:v>
                </c:pt>
                <c:pt idx="224">
                  <c:v>323.47799999999995</c:v>
                </c:pt>
                <c:pt idx="225">
                  <c:v>321.90749999999997</c:v>
                </c:pt>
                <c:pt idx="226">
                  <c:v>320.0625</c:v>
                </c:pt>
                <c:pt idx="227">
                  <c:v>318.447</c:v>
                </c:pt>
                <c:pt idx="228">
                  <c:v>316.61249999999995</c:v>
                </c:pt>
                <c:pt idx="229">
                  <c:v>314.87850000000003</c:v>
                </c:pt>
                <c:pt idx="230">
                  <c:v>313.149</c:v>
                </c:pt>
                <c:pt idx="231">
                  <c:v>311.39999999999998</c:v>
                </c:pt>
                <c:pt idx="232">
                  <c:v>309.762</c:v>
                </c:pt>
                <c:pt idx="233">
                  <c:v>307.96199999999999</c:v>
                </c:pt>
                <c:pt idx="234">
                  <c:v>306.291</c:v>
                </c:pt>
                <c:pt idx="235">
                  <c:v>304.74149999999997</c:v>
                </c:pt>
                <c:pt idx="236">
                  <c:v>302.94900000000001</c:v>
                </c:pt>
                <c:pt idx="237">
                  <c:v>301.44</c:v>
                </c:pt>
                <c:pt idx="238">
                  <c:v>299.88750000000005</c:v>
                </c:pt>
                <c:pt idx="239">
                  <c:v>298.548</c:v>
                </c:pt>
                <c:pt idx="240">
                  <c:v>297.03750000000002</c:v>
                </c:pt>
                <c:pt idx="241">
                  <c:v>295.584</c:v>
                </c:pt>
                <c:pt idx="242">
                  <c:v>294.16949999999997</c:v>
                </c:pt>
                <c:pt idx="243">
                  <c:v>292.72500000000002</c:v>
                </c:pt>
                <c:pt idx="244">
                  <c:v>291.363</c:v>
                </c:pt>
                <c:pt idx="245">
                  <c:v>289.863</c:v>
                </c:pt>
                <c:pt idx="246">
                  <c:v>288.459</c:v>
                </c:pt>
                <c:pt idx="247">
                  <c:v>287.202</c:v>
                </c:pt>
                <c:pt idx="248">
                  <c:v>285.66899999999998</c:v>
                </c:pt>
                <c:pt idx="249">
                  <c:v>284.40749999999997</c:v>
                </c:pt>
                <c:pt idx="250">
                  <c:v>282.97500000000002</c:v>
                </c:pt>
                <c:pt idx="251">
                  <c:v>281.697</c:v>
                </c:pt>
                <c:pt idx="252">
                  <c:v>280.28700000000003</c:v>
                </c:pt>
                <c:pt idx="253">
                  <c:v>278.916</c:v>
                </c:pt>
                <c:pt idx="254">
                  <c:v>277.584</c:v>
                </c:pt>
                <c:pt idx="255">
                  <c:v>276.22500000000002</c:v>
                </c:pt>
                <c:pt idx="256">
                  <c:v>274.923</c:v>
                </c:pt>
                <c:pt idx="257">
                  <c:v>273.34950000000003</c:v>
                </c:pt>
                <c:pt idx="258">
                  <c:v>271.803</c:v>
                </c:pt>
                <c:pt idx="259">
                  <c:v>270.459</c:v>
                </c:pt>
                <c:pt idx="260">
                  <c:v>268.79399999999998</c:v>
                </c:pt>
                <c:pt idx="261">
                  <c:v>267.58050000000003</c:v>
                </c:pt>
                <c:pt idx="262">
                  <c:v>265.93799999999999</c:v>
                </c:pt>
                <c:pt idx="263">
                  <c:v>264.64049999999997</c:v>
                </c:pt>
                <c:pt idx="264">
                  <c:v>263.14949999999999</c:v>
                </c:pt>
                <c:pt idx="265">
                  <c:v>261.762</c:v>
                </c:pt>
                <c:pt idx="266">
                  <c:v>260.40749999999997</c:v>
                </c:pt>
                <c:pt idx="267">
                  <c:v>259.04999999999995</c:v>
                </c:pt>
                <c:pt idx="268">
                  <c:v>257.80650000000003</c:v>
                </c:pt>
                <c:pt idx="269">
                  <c:v>256.42499999999995</c:v>
                </c:pt>
                <c:pt idx="270">
                  <c:v>255.15749999999997</c:v>
                </c:pt>
                <c:pt idx="271">
                  <c:v>253.99649999999997</c:v>
                </c:pt>
                <c:pt idx="272">
                  <c:v>252.60299999999998</c:v>
                </c:pt>
                <c:pt idx="273">
                  <c:v>251.47949999999997</c:v>
                </c:pt>
                <c:pt idx="274">
                  <c:v>250.17449999999997</c:v>
                </c:pt>
                <c:pt idx="275">
                  <c:v>249.024</c:v>
                </c:pt>
                <c:pt idx="276">
                  <c:v>247.72500000000002</c:v>
                </c:pt>
                <c:pt idx="277">
                  <c:v>246.5085</c:v>
                </c:pt>
                <c:pt idx="278">
                  <c:v>245.298</c:v>
                </c:pt>
                <c:pt idx="279">
                  <c:v>244.06200000000001</c:v>
                </c:pt>
                <c:pt idx="280">
                  <c:v>243.15749999999997</c:v>
                </c:pt>
                <c:pt idx="281">
                  <c:v>241.887</c:v>
                </c:pt>
                <c:pt idx="282">
                  <c:v>240.339</c:v>
                </c:pt>
                <c:pt idx="283">
                  <c:v>239.14049999999997</c:v>
                </c:pt>
                <c:pt idx="284">
                  <c:v>237.77549999999999</c:v>
                </c:pt>
                <c:pt idx="285">
                  <c:v>236.613</c:v>
                </c:pt>
                <c:pt idx="286">
                  <c:v>235.3005</c:v>
                </c:pt>
                <c:pt idx="287">
                  <c:v>234.2055</c:v>
                </c:pt>
                <c:pt idx="288">
                  <c:v>232.92449999999997</c:v>
                </c:pt>
                <c:pt idx="289">
                  <c:v>291.072</c:v>
                </c:pt>
                <c:pt idx="290">
                  <c:v>294.786</c:v>
                </c:pt>
                <c:pt idx="291">
                  <c:v>288.5505</c:v>
                </c:pt>
                <c:pt idx="292">
                  <c:v>284.90250000000003</c:v>
                </c:pt>
                <c:pt idx="293">
                  <c:v>282.21299999999997</c:v>
                </c:pt>
                <c:pt idx="294">
                  <c:v>280.089</c:v>
                </c:pt>
                <c:pt idx="295">
                  <c:v>278.50350000000003</c:v>
                </c:pt>
                <c:pt idx="296">
                  <c:v>276.40199999999999</c:v>
                </c:pt>
                <c:pt idx="297">
                  <c:v>274.71750000000003</c:v>
                </c:pt>
                <c:pt idx="298">
                  <c:v>272.76300000000003</c:v>
                </c:pt>
                <c:pt idx="299">
                  <c:v>271.089</c:v>
                </c:pt>
                <c:pt idx="300">
                  <c:v>269.18700000000001</c:v>
                </c:pt>
                <c:pt idx="301">
                  <c:v>267.375</c:v>
                </c:pt>
                <c:pt idx="302">
                  <c:v>265.59749999999997</c:v>
                </c:pt>
                <c:pt idx="303">
                  <c:v>263.85000000000002</c:v>
                </c:pt>
                <c:pt idx="304">
                  <c:v>276.666</c:v>
                </c:pt>
                <c:pt idx="305">
                  <c:v>277.03800000000001</c:v>
                </c:pt>
                <c:pt idx="306">
                  <c:v>275.553</c:v>
                </c:pt>
                <c:pt idx="307">
                  <c:v>273.798</c:v>
                </c:pt>
                <c:pt idx="308">
                  <c:v>272.11649999999997</c:v>
                </c:pt>
                <c:pt idx="309">
                  <c:v>270.822</c:v>
                </c:pt>
                <c:pt idx="310">
                  <c:v>269.29949999999997</c:v>
                </c:pt>
                <c:pt idx="311">
                  <c:v>267.94349999999997</c:v>
                </c:pt>
                <c:pt idx="312">
                  <c:v>266.46299999999997</c:v>
                </c:pt>
                <c:pt idx="313">
                  <c:v>265.101</c:v>
                </c:pt>
                <c:pt idx="314">
                  <c:v>263.77050000000003</c:v>
                </c:pt>
                <c:pt idx="315">
                  <c:v>262.36199999999997</c:v>
                </c:pt>
                <c:pt idx="316">
                  <c:v>261.10950000000003</c:v>
                </c:pt>
                <c:pt idx="317">
                  <c:v>259.77449999999999</c:v>
                </c:pt>
                <c:pt idx="318">
                  <c:v>258.55650000000003</c:v>
                </c:pt>
                <c:pt idx="319">
                  <c:v>257.39550000000003</c:v>
                </c:pt>
                <c:pt idx="320">
                  <c:v>256.07100000000003</c:v>
                </c:pt>
                <c:pt idx="321">
                  <c:v>255.024</c:v>
                </c:pt>
                <c:pt idx="322">
                  <c:v>253.81200000000001</c:v>
                </c:pt>
                <c:pt idx="323">
                  <c:v>252.52050000000003</c:v>
                </c:pt>
                <c:pt idx="324">
                  <c:v>251.38800000000003</c:v>
                </c:pt>
                <c:pt idx="325">
                  <c:v>249.6165</c:v>
                </c:pt>
                <c:pt idx="326">
                  <c:v>248.5275</c:v>
                </c:pt>
                <c:pt idx="327">
                  <c:v>246.97500000000002</c:v>
                </c:pt>
                <c:pt idx="328">
                  <c:v>245.94</c:v>
                </c:pt>
                <c:pt idx="329">
                  <c:v>244.52549999999999</c:v>
                </c:pt>
                <c:pt idx="330">
                  <c:v>243.339</c:v>
                </c:pt>
                <c:pt idx="331">
                  <c:v>242.31</c:v>
                </c:pt>
                <c:pt idx="332">
                  <c:v>241.06049999999999</c:v>
                </c:pt>
                <c:pt idx="333">
                  <c:v>240.036</c:v>
                </c:pt>
                <c:pt idx="334">
                  <c:v>238.93799999999999</c:v>
                </c:pt>
                <c:pt idx="335">
                  <c:v>237.96750000000003</c:v>
                </c:pt>
                <c:pt idx="336">
                  <c:v>236.95050000000003</c:v>
                </c:pt>
                <c:pt idx="337">
                  <c:v>236.0085</c:v>
                </c:pt>
                <c:pt idx="338">
                  <c:v>235.089</c:v>
                </c:pt>
                <c:pt idx="339">
                  <c:v>234.12450000000001</c:v>
                </c:pt>
                <c:pt idx="340">
                  <c:v>233.25</c:v>
                </c:pt>
                <c:pt idx="341">
                  <c:v>232.35000000000002</c:v>
                </c:pt>
                <c:pt idx="342">
                  <c:v>231.48450000000003</c:v>
                </c:pt>
                <c:pt idx="343">
                  <c:v>230.673</c:v>
                </c:pt>
                <c:pt idx="344">
                  <c:v>229.7415</c:v>
                </c:pt>
                <c:pt idx="345">
                  <c:v>229.00350000000003</c:v>
                </c:pt>
                <c:pt idx="346">
                  <c:v>228.12450000000001</c:v>
                </c:pt>
                <c:pt idx="347">
                  <c:v>227.334</c:v>
                </c:pt>
                <c:pt idx="348">
                  <c:v>226.488</c:v>
                </c:pt>
                <c:pt idx="349">
                  <c:v>225.678</c:v>
                </c:pt>
                <c:pt idx="350">
                  <c:v>224.89049999999997</c:v>
                </c:pt>
                <c:pt idx="351">
                  <c:v>224.0625</c:v>
                </c:pt>
                <c:pt idx="352">
                  <c:v>223.2945</c:v>
                </c:pt>
                <c:pt idx="353">
                  <c:v>222.47550000000001</c:v>
                </c:pt>
                <c:pt idx="354">
                  <c:v>221.685</c:v>
                </c:pt>
                <c:pt idx="355">
                  <c:v>220.9725</c:v>
                </c:pt>
                <c:pt idx="356">
                  <c:v>220.125</c:v>
                </c:pt>
                <c:pt idx="357">
                  <c:v>219.435</c:v>
                </c:pt>
                <c:pt idx="358">
                  <c:v>218.637</c:v>
                </c:pt>
                <c:pt idx="359">
                  <c:v>217.911</c:v>
                </c:pt>
                <c:pt idx="360">
                  <c:v>217.125</c:v>
                </c:pt>
                <c:pt idx="361">
                  <c:v>216.387</c:v>
                </c:pt>
                <c:pt idx="362">
                  <c:v>215.673</c:v>
                </c:pt>
                <c:pt idx="363">
                  <c:v>214.887</c:v>
                </c:pt>
                <c:pt idx="364">
                  <c:v>214.197</c:v>
                </c:pt>
                <c:pt idx="365">
                  <c:v>213.45000000000002</c:v>
                </c:pt>
                <c:pt idx="366">
                  <c:v>212.73450000000003</c:v>
                </c:pt>
                <c:pt idx="367">
                  <c:v>212.06849999999997</c:v>
                </c:pt>
                <c:pt idx="368">
                  <c:v>211.29900000000004</c:v>
                </c:pt>
                <c:pt idx="369">
                  <c:v>210.678</c:v>
                </c:pt>
                <c:pt idx="370">
                  <c:v>209.93700000000001</c:v>
                </c:pt>
                <c:pt idx="371">
                  <c:v>209.274</c:v>
                </c:pt>
                <c:pt idx="372">
                  <c:v>208.56299999999999</c:v>
                </c:pt>
                <c:pt idx="373">
                  <c:v>207.8835</c:v>
                </c:pt>
                <c:pt idx="374">
                  <c:v>207.19349999999997</c:v>
                </c:pt>
                <c:pt idx="375">
                  <c:v>206.48699999999997</c:v>
                </c:pt>
                <c:pt idx="376">
                  <c:v>205.851</c:v>
                </c:pt>
                <c:pt idx="377">
                  <c:v>205.113</c:v>
                </c:pt>
                <c:pt idx="378">
                  <c:v>204.459</c:v>
                </c:pt>
                <c:pt idx="379">
                  <c:v>203.80650000000003</c:v>
                </c:pt>
                <c:pt idx="380">
                  <c:v>203.08199999999999</c:v>
                </c:pt>
                <c:pt idx="381">
                  <c:v>202.476</c:v>
                </c:pt>
                <c:pt idx="382">
                  <c:v>201.75</c:v>
                </c:pt>
                <c:pt idx="383">
                  <c:v>201.12149999999997</c:v>
                </c:pt>
                <c:pt idx="384">
                  <c:v>200.39999999999998</c:v>
                </c:pt>
                <c:pt idx="385">
                  <c:v>199.71750000000003</c:v>
                </c:pt>
                <c:pt idx="386">
                  <c:v>199.00350000000003</c:v>
                </c:pt>
                <c:pt idx="387">
                  <c:v>198.22500000000002</c:v>
                </c:pt>
                <c:pt idx="388">
                  <c:v>197.4915</c:v>
                </c:pt>
                <c:pt idx="389">
                  <c:v>196.79999999999998</c:v>
                </c:pt>
                <c:pt idx="390">
                  <c:v>195.96750000000003</c:v>
                </c:pt>
                <c:pt idx="391">
                  <c:v>195.2775</c:v>
                </c:pt>
                <c:pt idx="392">
                  <c:v>194.39700000000002</c:v>
                </c:pt>
                <c:pt idx="393">
                  <c:v>193.7055</c:v>
                </c:pt>
                <c:pt idx="394">
                  <c:v>192.88800000000003</c:v>
                </c:pt>
                <c:pt idx="395">
                  <c:v>192.15749999999997</c:v>
                </c:pt>
                <c:pt idx="396">
                  <c:v>191.33700000000002</c:v>
                </c:pt>
                <c:pt idx="397">
                  <c:v>190.56</c:v>
                </c:pt>
                <c:pt idx="398">
                  <c:v>189.786</c:v>
                </c:pt>
                <c:pt idx="399">
                  <c:v>188.97450000000001</c:v>
                </c:pt>
                <c:pt idx="400">
                  <c:v>188.19</c:v>
                </c:pt>
                <c:pt idx="401">
                  <c:v>187.3245</c:v>
                </c:pt>
                <c:pt idx="402">
                  <c:v>186.5685</c:v>
                </c:pt>
                <c:pt idx="403">
                  <c:v>185.8545</c:v>
                </c:pt>
                <c:pt idx="404">
                  <c:v>184.98149999999998</c:v>
                </c:pt>
                <c:pt idx="405">
                  <c:v>184.2705</c:v>
                </c:pt>
                <c:pt idx="406">
                  <c:v>183.42449999999999</c:v>
                </c:pt>
                <c:pt idx="407">
                  <c:v>182.637</c:v>
                </c:pt>
                <c:pt idx="408">
                  <c:v>181.77450000000002</c:v>
                </c:pt>
                <c:pt idx="409">
                  <c:v>180.9675</c:v>
                </c:pt>
                <c:pt idx="410">
                  <c:v>180.1695</c:v>
                </c:pt>
                <c:pt idx="411">
                  <c:v>179.37450000000001</c:v>
                </c:pt>
                <c:pt idx="412">
                  <c:v>178.6215</c:v>
                </c:pt>
                <c:pt idx="413">
                  <c:v>177.82499999999999</c:v>
                </c:pt>
                <c:pt idx="414">
                  <c:v>177.06</c:v>
                </c:pt>
                <c:pt idx="415">
                  <c:v>176.3475</c:v>
                </c:pt>
                <c:pt idx="416">
                  <c:v>175.48650000000001</c:v>
                </c:pt>
                <c:pt idx="417">
                  <c:v>174.786</c:v>
                </c:pt>
                <c:pt idx="418">
                  <c:v>173.988</c:v>
                </c:pt>
                <c:pt idx="419">
                  <c:v>173.274</c:v>
                </c:pt>
                <c:pt idx="420">
                  <c:v>172.488</c:v>
                </c:pt>
                <c:pt idx="421">
                  <c:v>171.726</c:v>
                </c:pt>
                <c:pt idx="422">
                  <c:v>170.988</c:v>
                </c:pt>
                <c:pt idx="423">
                  <c:v>170.22450000000001</c:v>
                </c:pt>
                <c:pt idx="424">
                  <c:v>169.512</c:v>
                </c:pt>
                <c:pt idx="425">
                  <c:v>168.75</c:v>
                </c:pt>
                <c:pt idx="426">
                  <c:v>168.036</c:v>
                </c:pt>
                <c:pt idx="427">
                  <c:v>167.3475</c:v>
                </c:pt>
                <c:pt idx="428">
                  <c:v>166.46100000000001</c:v>
                </c:pt>
                <c:pt idx="429">
                  <c:v>166.2225</c:v>
                </c:pt>
                <c:pt idx="430">
                  <c:v>165.5745</c:v>
                </c:pt>
                <c:pt idx="431">
                  <c:v>165.1095</c:v>
                </c:pt>
                <c:pt idx="432">
                  <c:v>164.59950000000001</c:v>
                </c:pt>
                <c:pt idx="433">
                  <c:v>164.1165</c:v>
                </c:pt>
                <c:pt idx="434">
                  <c:v>163.6335</c:v>
                </c:pt>
                <c:pt idx="435">
                  <c:v>163.08749999999998</c:v>
                </c:pt>
                <c:pt idx="436">
                  <c:v>162.6285</c:v>
                </c:pt>
                <c:pt idx="437">
                  <c:v>162.10049999999998</c:v>
                </c:pt>
                <c:pt idx="438">
                  <c:v>161.541</c:v>
                </c:pt>
                <c:pt idx="439">
                  <c:v>161.166</c:v>
                </c:pt>
                <c:pt idx="440">
                  <c:v>160.6875</c:v>
                </c:pt>
                <c:pt idx="441">
                  <c:v>160.3665</c:v>
                </c:pt>
                <c:pt idx="442">
                  <c:v>159.9495</c:v>
                </c:pt>
                <c:pt idx="443">
                  <c:v>159.5445</c:v>
                </c:pt>
                <c:pt idx="444">
                  <c:v>159.11250000000001</c:v>
                </c:pt>
                <c:pt idx="445">
                  <c:v>158.685</c:v>
                </c:pt>
                <c:pt idx="446">
                  <c:v>158.202</c:v>
                </c:pt>
                <c:pt idx="447">
                  <c:v>157.512</c:v>
                </c:pt>
                <c:pt idx="448">
                  <c:v>156.8475</c:v>
                </c:pt>
                <c:pt idx="449">
                  <c:v>156.12450000000001</c:v>
                </c:pt>
                <c:pt idx="450">
                  <c:v>155.4075</c:v>
                </c:pt>
                <c:pt idx="451">
                  <c:v>153.85342499999999</c:v>
                </c:pt>
                <c:pt idx="452">
                  <c:v>152.31489074999999</c:v>
                </c:pt>
                <c:pt idx="453">
                  <c:v>150.79174184249999</c:v>
                </c:pt>
                <c:pt idx="454">
                  <c:v>149.28382442407499</c:v>
                </c:pt>
                <c:pt idx="455">
                  <c:v>147.79098617983425</c:v>
                </c:pt>
                <c:pt idx="456">
                  <c:v>146.31307631803591</c:v>
                </c:pt>
                <c:pt idx="457">
                  <c:v>144.84994555485554</c:v>
                </c:pt>
                <c:pt idx="458">
                  <c:v>143.40144609930698</c:v>
                </c:pt>
                <c:pt idx="459">
                  <c:v>141.96743163831391</c:v>
                </c:pt>
                <c:pt idx="460">
                  <c:v>140.54775732193076</c:v>
                </c:pt>
                <c:pt idx="461">
                  <c:v>139.14227974871145</c:v>
                </c:pt>
                <c:pt idx="462">
                  <c:v>137.75085695122434</c:v>
                </c:pt>
                <c:pt idx="463">
                  <c:v>136.37334838171208</c:v>
                </c:pt>
                <c:pt idx="464">
                  <c:v>135.00961489789495</c:v>
                </c:pt>
                <c:pt idx="465">
                  <c:v>133.65951874891599</c:v>
                </c:pt>
                <c:pt idx="466">
                  <c:v>132.32292356142682</c:v>
                </c:pt>
                <c:pt idx="467">
                  <c:v>130.99969432581256</c:v>
                </c:pt>
                <c:pt idx="468">
                  <c:v>129.68969738255444</c:v>
                </c:pt>
                <c:pt idx="469">
                  <c:v>128.3928004087289</c:v>
                </c:pt>
                <c:pt idx="470">
                  <c:v>127.10887240464162</c:v>
                </c:pt>
                <c:pt idx="471">
                  <c:v>125.83778368059519</c:v>
                </c:pt>
                <c:pt idx="472">
                  <c:v>124.57940584378925</c:v>
                </c:pt>
                <c:pt idx="473">
                  <c:v>123.33361178535135</c:v>
                </c:pt>
                <c:pt idx="474">
                  <c:v>122.10027566749784</c:v>
                </c:pt>
                <c:pt idx="475">
                  <c:v>120.87927291082286</c:v>
                </c:pt>
                <c:pt idx="476">
                  <c:v>119.67048018171464</c:v>
                </c:pt>
                <c:pt idx="477">
                  <c:v>118.47377537989749</c:v>
                </c:pt>
                <c:pt idx="478">
                  <c:v>117.28903762609852</c:v>
                </c:pt>
                <c:pt idx="479">
                  <c:v>116.11614724983754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ED5-4B7A-A185-BA3C3DDB3E54}"/>
            </c:ext>
          </c:extLst>
        </c:ser>
        <c:ser>
          <c:idx val="9"/>
          <c:order val="9"/>
          <c:tx>
            <c:strRef>
              <c:f>'FPSO1 Base'!$L$2</c:f>
              <c:strCache>
                <c:ptCount val="1"/>
                <c:pt idx="0">
                  <c:v>P10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Base'!$L$3:$L$730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1757.2350000000001</c:v>
                </c:pt>
                <c:pt idx="41">
                  <c:v>2105.52</c:v>
                </c:pt>
                <c:pt idx="42">
                  <c:v>2066.4750000000004</c:v>
                </c:pt>
                <c:pt idx="43">
                  <c:v>2049.96</c:v>
                </c:pt>
                <c:pt idx="44">
                  <c:v>1964.97</c:v>
                </c:pt>
                <c:pt idx="45">
                  <c:v>1831.56</c:v>
                </c:pt>
                <c:pt idx="46">
                  <c:v>1776.345</c:v>
                </c:pt>
                <c:pt idx="47">
                  <c:v>1724.625</c:v>
                </c:pt>
                <c:pt idx="48">
                  <c:v>1677.5549999999998</c:v>
                </c:pt>
                <c:pt idx="49">
                  <c:v>1649.2649999999999</c:v>
                </c:pt>
                <c:pt idx="50">
                  <c:v>1656.6150000000002</c:v>
                </c:pt>
                <c:pt idx="51">
                  <c:v>1658.8500000000001</c:v>
                </c:pt>
                <c:pt idx="52">
                  <c:v>1645.7250000000001</c:v>
                </c:pt>
                <c:pt idx="53">
                  <c:v>1628.0249999999999</c:v>
                </c:pt>
                <c:pt idx="54">
                  <c:v>1610.5500000000002</c:v>
                </c:pt>
                <c:pt idx="55">
                  <c:v>1612.6799999999998</c:v>
                </c:pt>
                <c:pt idx="56">
                  <c:v>1614.03</c:v>
                </c:pt>
                <c:pt idx="57">
                  <c:v>1606.125</c:v>
                </c:pt>
                <c:pt idx="58">
                  <c:v>1586.1750000000002</c:v>
                </c:pt>
                <c:pt idx="59">
                  <c:v>1569.8849999999998</c:v>
                </c:pt>
                <c:pt idx="60">
                  <c:v>1554.33</c:v>
                </c:pt>
                <c:pt idx="61">
                  <c:v>1539.585</c:v>
                </c:pt>
                <c:pt idx="62">
                  <c:v>1524.345</c:v>
                </c:pt>
                <c:pt idx="63">
                  <c:v>1507.635</c:v>
                </c:pt>
                <c:pt idx="64">
                  <c:v>1491.6134999999999</c:v>
                </c:pt>
                <c:pt idx="65">
                  <c:v>1473.8910000000001</c:v>
                </c:pt>
                <c:pt idx="66">
                  <c:v>1456.0830000000001</c:v>
                </c:pt>
                <c:pt idx="67">
                  <c:v>1437.1605</c:v>
                </c:pt>
                <c:pt idx="68">
                  <c:v>1413.0674999999999</c:v>
                </c:pt>
                <c:pt idx="69">
                  <c:v>1392.798</c:v>
                </c:pt>
                <c:pt idx="70">
                  <c:v>1368.6089999999999</c:v>
                </c:pt>
                <c:pt idx="71">
                  <c:v>1346.289</c:v>
                </c:pt>
                <c:pt idx="72">
                  <c:v>1322.3879999999999</c:v>
                </c:pt>
                <c:pt idx="73">
                  <c:v>1300.4159999999999</c:v>
                </c:pt>
                <c:pt idx="74">
                  <c:v>1279.2705000000001</c:v>
                </c:pt>
                <c:pt idx="75">
                  <c:v>1257.3195000000001</c:v>
                </c:pt>
                <c:pt idx="76">
                  <c:v>1244.1224999999999</c:v>
                </c:pt>
                <c:pt idx="77">
                  <c:v>1220.9069999999999</c:v>
                </c:pt>
                <c:pt idx="78">
                  <c:v>1202.643</c:v>
                </c:pt>
                <c:pt idx="79">
                  <c:v>1186.1849999999999</c:v>
                </c:pt>
                <c:pt idx="80">
                  <c:v>1167.6569999999999</c:v>
                </c:pt>
                <c:pt idx="81">
                  <c:v>1153.3485000000001</c:v>
                </c:pt>
                <c:pt idx="82">
                  <c:v>1137.144</c:v>
                </c:pt>
                <c:pt idx="83">
                  <c:v>1122.828</c:v>
                </c:pt>
                <c:pt idx="84">
                  <c:v>1107.7620000000002</c:v>
                </c:pt>
                <c:pt idx="85">
                  <c:v>1093.9965</c:v>
                </c:pt>
                <c:pt idx="86">
                  <c:v>1080.672</c:v>
                </c:pt>
                <c:pt idx="87">
                  <c:v>1067.0564999999999</c:v>
                </c:pt>
                <c:pt idx="88">
                  <c:v>1054.8689999999999</c:v>
                </c:pt>
                <c:pt idx="89">
                  <c:v>1041.9870000000001</c:v>
                </c:pt>
                <c:pt idx="90">
                  <c:v>1025.3475000000001</c:v>
                </c:pt>
                <c:pt idx="91">
                  <c:v>1013.673</c:v>
                </c:pt>
                <c:pt idx="92">
                  <c:v>1001.4765</c:v>
                </c:pt>
                <c:pt idx="93">
                  <c:v>991.22849999999994</c:v>
                </c:pt>
                <c:pt idx="94">
                  <c:v>979.93050000000005</c:v>
                </c:pt>
                <c:pt idx="95">
                  <c:v>969.73799999999994</c:v>
                </c:pt>
                <c:pt idx="96">
                  <c:v>958.86299999999994</c:v>
                </c:pt>
                <c:pt idx="97">
                  <c:v>948.70799999999997</c:v>
                </c:pt>
                <c:pt idx="98">
                  <c:v>938.75850000000014</c:v>
                </c:pt>
                <c:pt idx="99">
                  <c:v>928.53749999999991</c:v>
                </c:pt>
                <c:pt idx="100">
                  <c:v>919.39049999999997</c:v>
                </c:pt>
                <c:pt idx="101">
                  <c:v>909.64949999999999</c:v>
                </c:pt>
                <c:pt idx="102">
                  <c:v>892.04700000000003</c:v>
                </c:pt>
                <c:pt idx="103">
                  <c:v>882.9375</c:v>
                </c:pt>
                <c:pt idx="104">
                  <c:v>873.32850000000008</c:v>
                </c:pt>
                <c:pt idx="105">
                  <c:v>865.70549999999992</c:v>
                </c:pt>
                <c:pt idx="106">
                  <c:v>856.875</c:v>
                </c:pt>
                <c:pt idx="107">
                  <c:v>848.8605</c:v>
                </c:pt>
                <c:pt idx="108">
                  <c:v>840.27449999999999</c:v>
                </c:pt>
                <c:pt idx="109">
                  <c:v>832.36649999999986</c:v>
                </c:pt>
                <c:pt idx="110">
                  <c:v>824.67899999999986</c:v>
                </c:pt>
                <c:pt idx="111">
                  <c:v>816.66300000000001</c:v>
                </c:pt>
                <c:pt idx="112">
                  <c:v>809.34750000000008</c:v>
                </c:pt>
                <c:pt idx="113">
                  <c:v>801.55049999999994</c:v>
                </c:pt>
                <c:pt idx="114">
                  <c:v>794.26200000000006</c:v>
                </c:pt>
                <c:pt idx="115">
                  <c:v>787.24649999999997</c:v>
                </c:pt>
                <c:pt idx="116">
                  <c:v>779.25</c:v>
                </c:pt>
                <c:pt idx="117">
                  <c:v>773.14650000000006</c:v>
                </c:pt>
                <c:pt idx="118">
                  <c:v>766.19399999999996</c:v>
                </c:pt>
                <c:pt idx="119">
                  <c:v>759.81600000000003</c:v>
                </c:pt>
                <c:pt idx="120">
                  <c:v>753.06299999999999</c:v>
                </c:pt>
                <c:pt idx="121">
                  <c:v>747.048</c:v>
                </c:pt>
                <c:pt idx="122">
                  <c:v>741.09749999999997</c:v>
                </c:pt>
                <c:pt idx="123">
                  <c:v>734.8934999999999</c:v>
                </c:pt>
                <c:pt idx="124">
                  <c:v>729.35699999999997</c:v>
                </c:pt>
                <c:pt idx="125">
                  <c:v>723.42450000000008</c:v>
                </c:pt>
                <c:pt idx="126">
                  <c:v>717.65250000000003</c:v>
                </c:pt>
                <c:pt idx="127">
                  <c:v>712.11300000000006</c:v>
                </c:pt>
                <c:pt idx="128">
                  <c:v>705.8309999999999</c:v>
                </c:pt>
                <c:pt idx="129">
                  <c:v>701.03250000000003</c:v>
                </c:pt>
                <c:pt idx="130">
                  <c:v>695.42550000000006</c:v>
                </c:pt>
                <c:pt idx="131">
                  <c:v>690.49649999999997</c:v>
                </c:pt>
                <c:pt idx="132">
                  <c:v>685.46250000000009</c:v>
                </c:pt>
                <c:pt idx="133">
                  <c:v>680.91600000000005</c:v>
                </c:pt>
                <c:pt idx="134">
                  <c:v>676.28250000000003</c:v>
                </c:pt>
                <c:pt idx="135">
                  <c:v>670.63799999999992</c:v>
                </c:pt>
                <c:pt idx="136">
                  <c:v>665.93999999999994</c:v>
                </c:pt>
                <c:pt idx="137">
                  <c:v>660.86249999999995</c:v>
                </c:pt>
                <c:pt idx="138">
                  <c:v>655.923</c:v>
                </c:pt>
                <c:pt idx="139">
                  <c:v>650.86649999999997</c:v>
                </c:pt>
                <c:pt idx="140">
                  <c:v>645.29700000000003</c:v>
                </c:pt>
                <c:pt idx="141">
                  <c:v>640.68149999999991</c:v>
                </c:pt>
                <c:pt idx="142">
                  <c:v>635.54999999999995</c:v>
                </c:pt>
                <c:pt idx="143">
                  <c:v>630.822</c:v>
                </c:pt>
                <c:pt idx="144">
                  <c:v>625.79999999999995</c:v>
                </c:pt>
                <c:pt idx="145">
                  <c:v>621.16949999999997</c:v>
                </c:pt>
                <c:pt idx="146">
                  <c:v>616.62149999999997</c:v>
                </c:pt>
                <c:pt idx="147">
                  <c:v>611.86200000000008</c:v>
                </c:pt>
                <c:pt idx="148">
                  <c:v>607.59749999999997</c:v>
                </c:pt>
                <c:pt idx="149">
                  <c:v>602.96250000000009</c:v>
                </c:pt>
                <c:pt idx="150">
                  <c:v>593.12850000000003</c:v>
                </c:pt>
                <c:pt idx="151">
                  <c:v>588.61649999999997</c:v>
                </c:pt>
                <c:pt idx="152">
                  <c:v>583.9815000000001</c:v>
                </c:pt>
                <c:pt idx="153">
                  <c:v>580.29449999999997</c:v>
                </c:pt>
                <c:pt idx="154">
                  <c:v>576.02549999999997</c:v>
                </c:pt>
                <c:pt idx="155">
                  <c:v>572.14049999999997</c:v>
                </c:pt>
                <c:pt idx="156">
                  <c:v>567.9375</c:v>
                </c:pt>
                <c:pt idx="157">
                  <c:v>564.06000000000006</c:v>
                </c:pt>
                <c:pt idx="158">
                  <c:v>560.178</c:v>
                </c:pt>
                <c:pt idx="159">
                  <c:v>556.13699999999994</c:v>
                </c:pt>
                <c:pt idx="160">
                  <c:v>552.47249999999997</c:v>
                </c:pt>
                <c:pt idx="161">
                  <c:v>549.38699999999994</c:v>
                </c:pt>
                <c:pt idx="162">
                  <c:v>544.93500000000006</c:v>
                </c:pt>
                <c:pt idx="163">
                  <c:v>541.524</c:v>
                </c:pt>
                <c:pt idx="164">
                  <c:v>537.4815000000001</c:v>
                </c:pt>
                <c:pt idx="165">
                  <c:v>534.25350000000003</c:v>
                </c:pt>
                <c:pt idx="166">
                  <c:v>530.67450000000008</c:v>
                </c:pt>
                <c:pt idx="167">
                  <c:v>527.23800000000006</c:v>
                </c:pt>
                <c:pt idx="168">
                  <c:v>523.67550000000006</c:v>
                </c:pt>
                <c:pt idx="169">
                  <c:v>520.27049999999997</c:v>
                </c:pt>
                <c:pt idx="170">
                  <c:v>516.89549999999997</c:v>
                </c:pt>
                <c:pt idx="171">
                  <c:v>513.45000000000005</c:v>
                </c:pt>
                <c:pt idx="172">
                  <c:v>510.351</c:v>
                </c:pt>
                <c:pt idx="173">
                  <c:v>507.02549999999997</c:v>
                </c:pt>
                <c:pt idx="174">
                  <c:v>503.964</c:v>
                </c:pt>
                <c:pt idx="175">
                  <c:v>501.13350000000003</c:v>
                </c:pt>
                <c:pt idx="176">
                  <c:v>497.8125</c:v>
                </c:pt>
                <c:pt idx="177">
                  <c:v>495.19350000000003</c:v>
                </c:pt>
                <c:pt idx="178">
                  <c:v>492.11249999999995</c:v>
                </c:pt>
                <c:pt idx="179">
                  <c:v>489.339</c:v>
                </c:pt>
                <c:pt idx="180">
                  <c:v>486.32549999999998</c:v>
                </c:pt>
                <c:pt idx="181">
                  <c:v>483.52049999999997</c:v>
                </c:pt>
                <c:pt idx="182">
                  <c:v>480.726</c:v>
                </c:pt>
                <c:pt idx="183">
                  <c:v>477.77549999999997</c:v>
                </c:pt>
                <c:pt idx="184">
                  <c:v>475.11300000000006</c:v>
                </c:pt>
                <c:pt idx="185">
                  <c:v>472.24950000000001</c:v>
                </c:pt>
                <c:pt idx="186">
                  <c:v>453.339</c:v>
                </c:pt>
                <c:pt idx="187">
                  <c:v>449.52750000000003</c:v>
                </c:pt>
                <c:pt idx="188">
                  <c:v>447.24599999999998</c:v>
                </c:pt>
                <c:pt idx="189">
                  <c:v>445.34249999999997</c:v>
                </c:pt>
                <c:pt idx="190">
                  <c:v>443.20049999999998</c:v>
                </c:pt>
                <c:pt idx="191">
                  <c:v>441.21749999999997</c:v>
                </c:pt>
                <c:pt idx="192">
                  <c:v>439.07549999999998</c:v>
                </c:pt>
                <c:pt idx="193">
                  <c:v>437.05649999999997</c:v>
                </c:pt>
                <c:pt idx="194">
                  <c:v>435.048</c:v>
                </c:pt>
                <c:pt idx="195">
                  <c:v>432.91200000000003</c:v>
                </c:pt>
                <c:pt idx="196">
                  <c:v>430.99650000000003</c:v>
                </c:pt>
                <c:pt idx="197">
                  <c:v>428.91300000000001</c:v>
                </c:pt>
                <c:pt idx="198">
                  <c:v>426.96749999999997</c:v>
                </c:pt>
                <c:pt idx="199">
                  <c:v>425.14050000000003</c:v>
                </c:pt>
                <c:pt idx="200">
                  <c:v>422.97300000000007</c:v>
                </c:pt>
                <c:pt idx="201">
                  <c:v>421.24650000000003</c:v>
                </c:pt>
                <c:pt idx="202">
                  <c:v>419.25</c:v>
                </c:pt>
                <c:pt idx="203">
                  <c:v>417.411</c:v>
                </c:pt>
                <c:pt idx="204">
                  <c:v>415.42499999999995</c:v>
                </c:pt>
                <c:pt idx="205">
                  <c:v>413.56499999999994</c:v>
                </c:pt>
                <c:pt idx="206">
                  <c:v>411.726</c:v>
                </c:pt>
                <c:pt idx="207">
                  <c:v>409.79999999999995</c:v>
                </c:pt>
                <c:pt idx="208">
                  <c:v>408.036</c:v>
                </c:pt>
                <c:pt idx="209">
                  <c:v>406.15049999999997</c:v>
                </c:pt>
                <c:pt idx="210">
                  <c:v>404.37150000000003</c:v>
                </c:pt>
                <c:pt idx="211">
                  <c:v>402.714</c:v>
                </c:pt>
                <c:pt idx="212">
                  <c:v>400.78199999999998</c:v>
                </c:pt>
                <c:pt idx="213">
                  <c:v>399.22950000000003</c:v>
                </c:pt>
                <c:pt idx="214">
                  <c:v>397.42499999999995</c:v>
                </c:pt>
                <c:pt idx="215">
                  <c:v>395.80649999999997</c:v>
                </c:pt>
                <c:pt idx="216">
                  <c:v>394.04999999999995</c:v>
                </c:pt>
                <c:pt idx="217">
                  <c:v>392.40750000000003</c:v>
                </c:pt>
                <c:pt idx="218">
                  <c:v>390.786</c:v>
                </c:pt>
                <c:pt idx="219">
                  <c:v>389.08799999999997</c:v>
                </c:pt>
                <c:pt idx="220">
                  <c:v>387.54449999999997</c:v>
                </c:pt>
                <c:pt idx="221">
                  <c:v>385.875</c:v>
                </c:pt>
                <c:pt idx="222">
                  <c:v>384.327</c:v>
                </c:pt>
                <c:pt idx="223">
                  <c:v>382.875</c:v>
                </c:pt>
                <c:pt idx="224">
                  <c:v>381.17400000000004</c:v>
                </c:pt>
                <c:pt idx="225">
                  <c:v>379.803</c:v>
                </c:pt>
                <c:pt idx="226">
                  <c:v>378.22500000000002</c:v>
                </c:pt>
                <c:pt idx="227">
                  <c:v>376.791</c:v>
                </c:pt>
                <c:pt idx="228">
                  <c:v>375.22500000000002</c:v>
                </c:pt>
                <c:pt idx="229">
                  <c:v>373.77750000000003</c:v>
                </c:pt>
                <c:pt idx="230">
                  <c:v>372.315</c:v>
                </c:pt>
                <c:pt idx="231">
                  <c:v>370.78800000000001</c:v>
                </c:pt>
                <c:pt idx="232">
                  <c:v>369.399</c:v>
                </c:pt>
                <c:pt idx="233">
                  <c:v>367.90049999999997</c:v>
                </c:pt>
                <c:pt idx="234">
                  <c:v>366.47249999999997</c:v>
                </c:pt>
                <c:pt idx="235">
                  <c:v>365.10449999999997</c:v>
                </c:pt>
                <c:pt idx="236">
                  <c:v>363.59550000000002</c:v>
                </c:pt>
                <c:pt idx="237">
                  <c:v>362.274</c:v>
                </c:pt>
                <c:pt idx="238">
                  <c:v>360.81299999999999</c:v>
                </c:pt>
                <c:pt idx="239">
                  <c:v>359.47949999999997</c:v>
                </c:pt>
                <c:pt idx="240">
                  <c:v>358.03800000000001</c:v>
                </c:pt>
                <c:pt idx="241">
                  <c:v>356.661</c:v>
                </c:pt>
                <c:pt idx="242">
                  <c:v>355.29449999999997</c:v>
                </c:pt>
                <c:pt idx="243">
                  <c:v>353.87549999999999</c:v>
                </c:pt>
                <c:pt idx="244">
                  <c:v>352.56</c:v>
                </c:pt>
                <c:pt idx="245">
                  <c:v>351.15</c:v>
                </c:pt>
                <c:pt idx="246">
                  <c:v>349.815</c:v>
                </c:pt>
                <c:pt idx="247">
                  <c:v>348.55650000000003</c:v>
                </c:pt>
                <c:pt idx="248">
                  <c:v>347.07599999999996</c:v>
                </c:pt>
                <c:pt idx="249">
                  <c:v>345.89550000000003</c:v>
                </c:pt>
                <c:pt idx="250">
                  <c:v>344.51250000000005</c:v>
                </c:pt>
                <c:pt idx="251">
                  <c:v>343.22249999999997</c:v>
                </c:pt>
                <c:pt idx="252">
                  <c:v>341.86199999999997</c:v>
                </c:pt>
                <c:pt idx="253">
                  <c:v>340.56</c:v>
                </c:pt>
                <c:pt idx="254">
                  <c:v>339.24149999999997</c:v>
                </c:pt>
                <c:pt idx="255">
                  <c:v>337.90049999999997</c:v>
                </c:pt>
                <c:pt idx="256">
                  <c:v>336.62850000000003</c:v>
                </c:pt>
                <c:pt idx="257">
                  <c:v>335.27549999999997</c:v>
                </c:pt>
                <c:pt idx="258">
                  <c:v>334.00350000000003</c:v>
                </c:pt>
                <c:pt idx="259">
                  <c:v>332.78249999999997</c:v>
                </c:pt>
                <c:pt idx="260">
                  <c:v>331.38</c:v>
                </c:pt>
                <c:pt idx="261">
                  <c:v>330.24149999999997</c:v>
                </c:pt>
                <c:pt idx="262">
                  <c:v>328.91250000000002</c:v>
                </c:pt>
                <c:pt idx="263">
                  <c:v>327.738</c:v>
                </c:pt>
                <c:pt idx="264">
                  <c:v>326.4255</c:v>
                </c:pt>
                <c:pt idx="265">
                  <c:v>325.209</c:v>
                </c:pt>
                <c:pt idx="266">
                  <c:v>324.012</c:v>
                </c:pt>
                <c:pt idx="267">
                  <c:v>322.72500000000002</c:v>
                </c:pt>
                <c:pt idx="268">
                  <c:v>321.55650000000003</c:v>
                </c:pt>
                <c:pt idx="269">
                  <c:v>320.262</c:v>
                </c:pt>
                <c:pt idx="270">
                  <c:v>319.077</c:v>
                </c:pt>
                <c:pt idx="271">
                  <c:v>317.94</c:v>
                </c:pt>
                <c:pt idx="272">
                  <c:v>316.59300000000002</c:v>
                </c:pt>
                <c:pt idx="273">
                  <c:v>315.50850000000003</c:v>
                </c:pt>
                <c:pt idx="274">
                  <c:v>314.238</c:v>
                </c:pt>
                <c:pt idx="275">
                  <c:v>313.065</c:v>
                </c:pt>
                <c:pt idx="276">
                  <c:v>311.78700000000003</c:v>
                </c:pt>
                <c:pt idx="277">
                  <c:v>310.584</c:v>
                </c:pt>
                <c:pt idx="278">
                  <c:v>309.399</c:v>
                </c:pt>
                <c:pt idx="279">
                  <c:v>308.12549999999999</c:v>
                </c:pt>
                <c:pt idx="280">
                  <c:v>307.22249999999997</c:v>
                </c:pt>
                <c:pt idx="281">
                  <c:v>306.012</c:v>
                </c:pt>
                <c:pt idx="282">
                  <c:v>304.536</c:v>
                </c:pt>
                <c:pt idx="283">
                  <c:v>303.363</c:v>
                </c:pt>
                <c:pt idx="284">
                  <c:v>302.09550000000002</c:v>
                </c:pt>
                <c:pt idx="285">
                  <c:v>300.99149999999997</c:v>
                </c:pt>
                <c:pt idx="286">
                  <c:v>299.76300000000003</c:v>
                </c:pt>
                <c:pt idx="287">
                  <c:v>298.64550000000003</c:v>
                </c:pt>
                <c:pt idx="288">
                  <c:v>297.41250000000002</c:v>
                </c:pt>
                <c:pt idx="289">
                  <c:v>296.31</c:v>
                </c:pt>
                <c:pt idx="290">
                  <c:v>294.99149999999997</c:v>
                </c:pt>
                <c:pt idx="291">
                  <c:v>293.625</c:v>
                </c:pt>
                <c:pt idx="292">
                  <c:v>292.428</c:v>
                </c:pt>
                <c:pt idx="293">
                  <c:v>291.1755</c:v>
                </c:pt>
                <c:pt idx="294">
                  <c:v>289.959</c:v>
                </c:pt>
                <c:pt idx="295">
                  <c:v>288.87149999999997</c:v>
                </c:pt>
                <c:pt idx="296">
                  <c:v>287.57100000000003</c:v>
                </c:pt>
                <c:pt idx="297">
                  <c:v>286.56</c:v>
                </c:pt>
                <c:pt idx="298">
                  <c:v>285.34950000000003</c:v>
                </c:pt>
                <c:pt idx="299">
                  <c:v>284.262</c:v>
                </c:pt>
                <c:pt idx="300">
                  <c:v>283.04999999999995</c:v>
                </c:pt>
                <c:pt idx="301">
                  <c:v>281.94</c:v>
                </c:pt>
                <c:pt idx="302">
                  <c:v>280.839</c:v>
                </c:pt>
                <c:pt idx="303">
                  <c:v>279.66300000000001</c:v>
                </c:pt>
                <c:pt idx="304">
                  <c:v>278.589</c:v>
                </c:pt>
                <c:pt idx="305">
                  <c:v>277.93799999999999</c:v>
                </c:pt>
                <c:pt idx="306">
                  <c:v>277.149</c:v>
                </c:pt>
                <c:pt idx="307">
                  <c:v>276.15749999999997</c:v>
                </c:pt>
                <c:pt idx="308">
                  <c:v>275.16899999999998</c:v>
                </c:pt>
                <c:pt idx="309">
                  <c:v>274.37850000000003</c:v>
                </c:pt>
                <c:pt idx="310">
                  <c:v>273.49950000000001</c:v>
                </c:pt>
                <c:pt idx="311">
                  <c:v>272.709</c:v>
                </c:pt>
                <c:pt idx="312">
                  <c:v>271.875</c:v>
                </c:pt>
                <c:pt idx="313">
                  <c:v>271.101</c:v>
                </c:pt>
                <c:pt idx="314">
                  <c:v>270.303</c:v>
                </c:pt>
                <c:pt idx="315">
                  <c:v>269.48699999999997</c:v>
                </c:pt>
                <c:pt idx="316">
                  <c:v>268.71750000000003</c:v>
                </c:pt>
                <c:pt idx="317">
                  <c:v>267.9255</c:v>
                </c:pt>
                <c:pt idx="318">
                  <c:v>267.14550000000003</c:v>
                </c:pt>
                <c:pt idx="319">
                  <c:v>266.44349999999997</c:v>
                </c:pt>
                <c:pt idx="320">
                  <c:v>265.55399999999997</c:v>
                </c:pt>
                <c:pt idx="321">
                  <c:v>264.85950000000003</c:v>
                </c:pt>
                <c:pt idx="322">
                  <c:v>264.03750000000002</c:v>
                </c:pt>
                <c:pt idx="323">
                  <c:v>263.274</c:v>
                </c:pt>
                <c:pt idx="324">
                  <c:v>262.64999999999998</c:v>
                </c:pt>
                <c:pt idx="325">
                  <c:v>261.726</c:v>
                </c:pt>
                <c:pt idx="326">
                  <c:v>260.988</c:v>
                </c:pt>
                <c:pt idx="327">
                  <c:v>260.22450000000003</c:v>
                </c:pt>
                <c:pt idx="328">
                  <c:v>259.56</c:v>
                </c:pt>
                <c:pt idx="329">
                  <c:v>258.85050000000001</c:v>
                </c:pt>
                <c:pt idx="330">
                  <c:v>258.18150000000003</c:v>
                </c:pt>
                <c:pt idx="331">
                  <c:v>257.553</c:v>
                </c:pt>
                <c:pt idx="332">
                  <c:v>256.86150000000004</c:v>
                </c:pt>
                <c:pt idx="333">
                  <c:v>256.27050000000003</c:v>
                </c:pt>
                <c:pt idx="334">
                  <c:v>255.58799999999999</c:v>
                </c:pt>
                <c:pt idx="335">
                  <c:v>254.976</c:v>
                </c:pt>
                <c:pt idx="336">
                  <c:v>254.31299999999999</c:v>
                </c:pt>
                <c:pt idx="337">
                  <c:v>253.6695</c:v>
                </c:pt>
                <c:pt idx="338">
                  <c:v>253.053</c:v>
                </c:pt>
                <c:pt idx="339">
                  <c:v>252.375</c:v>
                </c:pt>
                <c:pt idx="340">
                  <c:v>251.78249999999997</c:v>
                </c:pt>
                <c:pt idx="341">
                  <c:v>251.10000000000002</c:v>
                </c:pt>
                <c:pt idx="342">
                  <c:v>250.5</c:v>
                </c:pt>
                <c:pt idx="343">
                  <c:v>249.9195</c:v>
                </c:pt>
                <c:pt idx="344">
                  <c:v>249.255</c:v>
                </c:pt>
                <c:pt idx="345">
                  <c:v>248.709</c:v>
                </c:pt>
                <c:pt idx="346">
                  <c:v>248.08799999999999</c:v>
                </c:pt>
                <c:pt idx="347">
                  <c:v>247.512</c:v>
                </c:pt>
                <c:pt idx="348">
                  <c:v>246.91200000000001</c:v>
                </c:pt>
                <c:pt idx="349">
                  <c:v>246.351</c:v>
                </c:pt>
                <c:pt idx="350">
                  <c:v>245.78249999999997</c:v>
                </c:pt>
                <c:pt idx="351">
                  <c:v>245.22450000000001</c:v>
                </c:pt>
                <c:pt idx="352">
                  <c:v>244.68150000000003</c:v>
                </c:pt>
                <c:pt idx="353">
                  <c:v>244.125</c:v>
                </c:pt>
                <c:pt idx="354">
                  <c:v>243.60449999999997</c:v>
                </c:pt>
                <c:pt idx="355">
                  <c:v>243.10950000000003</c:v>
                </c:pt>
                <c:pt idx="356">
                  <c:v>242.5575</c:v>
                </c:pt>
                <c:pt idx="357">
                  <c:v>242.09250000000003</c:v>
                </c:pt>
                <c:pt idx="358">
                  <c:v>241.57500000000002</c:v>
                </c:pt>
                <c:pt idx="359">
                  <c:v>241.101</c:v>
                </c:pt>
                <c:pt idx="360">
                  <c:v>240.61199999999997</c:v>
                </c:pt>
                <c:pt idx="361">
                  <c:v>240.15749999999997</c:v>
                </c:pt>
                <c:pt idx="362">
                  <c:v>239.697</c:v>
                </c:pt>
                <c:pt idx="363">
                  <c:v>239.22450000000001</c:v>
                </c:pt>
                <c:pt idx="364">
                  <c:v>238.815</c:v>
                </c:pt>
                <c:pt idx="365">
                  <c:v>238.35000000000002</c:v>
                </c:pt>
                <c:pt idx="366">
                  <c:v>237.94349999999997</c:v>
                </c:pt>
                <c:pt idx="367">
                  <c:v>237.5445</c:v>
                </c:pt>
                <c:pt idx="368">
                  <c:v>237.09300000000002</c:v>
                </c:pt>
                <c:pt idx="369">
                  <c:v>236.7585</c:v>
                </c:pt>
                <c:pt idx="370">
                  <c:v>236.33699999999999</c:v>
                </c:pt>
                <c:pt idx="371">
                  <c:v>235.959</c:v>
                </c:pt>
                <c:pt idx="372">
                  <c:v>235.58699999999999</c:v>
                </c:pt>
                <c:pt idx="373">
                  <c:v>235.209</c:v>
                </c:pt>
                <c:pt idx="374">
                  <c:v>234.85950000000003</c:v>
                </c:pt>
                <c:pt idx="375">
                  <c:v>234.47550000000001</c:v>
                </c:pt>
                <c:pt idx="376">
                  <c:v>234.15749999999997</c:v>
                </c:pt>
                <c:pt idx="377">
                  <c:v>233.8005</c:v>
                </c:pt>
                <c:pt idx="378">
                  <c:v>233.46750000000003</c:v>
                </c:pt>
                <c:pt idx="379">
                  <c:v>233.14049999999997</c:v>
                </c:pt>
                <c:pt idx="380">
                  <c:v>232.82400000000001</c:v>
                </c:pt>
                <c:pt idx="381">
                  <c:v>232.512</c:v>
                </c:pt>
                <c:pt idx="382">
                  <c:v>232.18799999999999</c:v>
                </c:pt>
                <c:pt idx="383">
                  <c:v>231.89550000000003</c:v>
                </c:pt>
                <c:pt idx="384">
                  <c:v>231.58799999999999</c:v>
                </c:pt>
                <c:pt idx="385">
                  <c:v>231.291</c:v>
                </c:pt>
                <c:pt idx="386">
                  <c:v>231.012</c:v>
                </c:pt>
                <c:pt idx="387">
                  <c:v>230.71199999999999</c:v>
                </c:pt>
                <c:pt idx="388">
                  <c:v>230.4195</c:v>
                </c:pt>
                <c:pt idx="389">
                  <c:v>230.17499999999998</c:v>
                </c:pt>
                <c:pt idx="390">
                  <c:v>229.899</c:v>
                </c:pt>
                <c:pt idx="391">
                  <c:v>229.6695</c:v>
                </c:pt>
                <c:pt idx="392">
                  <c:v>229.41899999999998</c:v>
                </c:pt>
                <c:pt idx="393">
                  <c:v>229.209</c:v>
                </c:pt>
                <c:pt idx="394">
                  <c:v>228.98699999999997</c:v>
                </c:pt>
                <c:pt idx="395">
                  <c:v>228.786</c:v>
                </c:pt>
                <c:pt idx="396">
                  <c:v>228.5745</c:v>
                </c:pt>
                <c:pt idx="397">
                  <c:v>228.351</c:v>
                </c:pt>
                <c:pt idx="398">
                  <c:v>228.14550000000003</c:v>
                </c:pt>
                <c:pt idx="399">
                  <c:v>227.93700000000001</c:v>
                </c:pt>
                <c:pt idx="400">
                  <c:v>227.7225</c:v>
                </c:pt>
                <c:pt idx="401">
                  <c:v>227.47500000000002</c:v>
                </c:pt>
                <c:pt idx="402">
                  <c:v>227.262</c:v>
                </c:pt>
                <c:pt idx="403">
                  <c:v>227.06849999999997</c:v>
                </c:pt>
                <c:pt idx="404">
                  <c:v>226.821</c:v>
                </c:pt>
                <c:pt idx="405">
                  <c:v>226.6335</c:v>
                </c:pt>
                <c:pt idx="406">
                  <c:v>226.43700000000001</c:v>
                </c:pt>
                <c:pt idx="407">
                  <c:v>226.23450000000003</c:v>
                </c:pt>
                <c:pt idx="408">
                  <c:v>226.02449999999999</c:v>
                </c:pt>
                <c:pt idx="409">
                  <c:v>225.8475</c:v>
                </c:pt>
                <c:pt idx="410">
                  <c:v>225.62850000000003</c:v>
                </c:pt>
                <c:pt idx="411">
                  <c:v>225.42449999999997</c:v>
                </c:pt>
                <c:pt idx="412">
                  <c:v>225.21750000000003</c:v>
                </c:pt>
                <c:pt idx="413">
                  <c:v>225</c:v>
                </c:pt>
                <c:pt idx="414">
                  <c:v>224.78249999999997</c:v>
                </c:pt>
                <c:pt idx="415">
                  <c:v>224.565</c:v>
                </c:pt>
                <c:pt idx="416">
                  <c:v>224.33100000000002</c:v>
                </c:pt>
                <c:pt idx="417">
                  <c:v>224.10449999999997</c:v>
                </c:pt>
                <c:pt idx="418">
                  <c:v>223.90049999999999</c:v>
                </c:pt>
                <c:pt idx="419">
                  <c:v>223.69349999999997</c:v>
                </c:pt>
                <c:pt idx="420">
                  <c:v>223.45050000000003</c:v>
                </c:pt>
                <c:pt idx="421">
                  <c:v>223.23450000000003</c:v>
                </c:pt>
                <c:pt idx="422">
                  <c:v>223.01549999999997</c:v>
                </c:pt>
                <c:pt idx="423">
                  <c:v>222.82500000000002</c:v>
                </c:pt>
                <c:pt idx="424">
                  <c:v>222.5805</c:v>
                </c:pt>
                <c:pt idx="425">
                  <c:v>222.40049999999999</c:v>
                </c:pt>
                <c:pt idx="426">
                  <c:v>222.14550000000003</c:v>
                </c:pt>
                <c:pt idx="427">
                  <c:v>221.928</c:v>
                </c:pt>
                <c:pt idx="428">
                  <c:v>221.715</c:v>
                </c:pt>
                <c:pt idx="429">
                  <c:v>221.565</c:v>
                </c:pt>
                <c:pt idx="430">
                  <c:v>221.29949999999997</c:v>
                </c:pt>
                <c:pt idx="431">
                  <c:v>221.0805</c:v>
                </c:pt>
                <c:pt idx="432">
                  <c:v>220.79999999999998</c:v>
                </c:pt>
                <c:pt idx="433">
                  <c:v>220.5975</c:v>
                </c:pt>
                <c:pt idx="434">
                  <c:v>220.3305</c:v>
                </c:pt>
                <c:pt idx="435">
                  <c:v>220.15049999999999</c:v>
                </c:pt>
                <c:pt idx="436">
                  <c:v>219.89550000000003</c:v>
                </c:pt>
                <c:pt idx="437">
                  <c:v>219.62549999999999</c:v>
                </c:pt>
                <c:pt idx="438">
                  <c:v>219.459</c:v>
                </c:pt>
                <c:pt idx="439">
                  <c:v>219.21750000000003</c:v>
                </c:pt>
                <c:pt idx="440">
                  <c:v>219</c:v>
                </c:pt>
                <c:pt idx="441">
                  <c:v>218.78249999999997</c:v>
                </c:pt>
                <c:pt idx="442">
                  <c:v>218.52449999999999</c:v>
                </c:pt>
                <c:pt idx="443">
                  <c:v>218.3475</c:v>
                </c:pt>
                <c:pt idx="444">
                  <c:v>218.10000000000002</c:v>
                </c:pt>
                <c:pt idx="445">
                  <c:v>217.887</c:v>
                </c:pt>
                <c:pt idx="446">
                  <c:v>217.6695</c:v>
                </c:pt>
                <c:pt idx="447">
                  <c:v>217.45050000000003</c:v>
                </c:pt>
                <c:pt idx="448">
                  <c:v>217.2585</c:v>
                </c:pt>
                <c:pt idx="449">
                  <c:v>217.04999999999998</c:v>
                </c:pt>
                <c:pt idx="450">
                  <c:v>216.822</c:v>
                </c:pt>
                <c:pt idx="451">
                  <c:v>216.53249999999997</c:v>
                </c:pt>
                <c:pt idx="452">
                  <c:v>216.48149999999998</c:v>
                </c:pt>
                <c:pt idx="453">
                  <c:v>216.387</c:v>
                </c:pt>
                <c:pt idx="454">
                  <c:v>216.29999999999998</c:v>
                </c:pt>
                <c:pt idx="455">
                  <c:v>216.12149999999997</c:v>
                </c:pt>
                <c:pt idx="456">
                  <c:v>215.95050000000003</c:v>
                </c:pt>
                <c:pt idx="457">
                  <c:v>215.7585</c:v>
                </c:pt>
                <c:pt idx="458">
                  <c:v>215.565</c:v>
                </c:pt>
                <c:pt idx="459">
                  <c:v>215.37450000000001</c:v>
                </c:pt>
                <c:pt idx="460">
                  <c:v>215.1525</c:v>
                </c:pt>
                <c:pt idx="461">
                  <c:v>214.95000000000002</c:v>
                </c:pt>
                <c:pt idx="462">
                  <c:v>214.791</c:v>
                </c:pt>
                <c:pt idx="463">
                  <c:v>214.5975</c:v>
                </c:pt>
                <c:pt idx="464">
                  <c:v>214.39350000000002</c:v>
                </c:pt>
                <c:pt idx="465">
                  <c:v>214.23450000000003</c:v>
                </c:pt>
                <c:pt idx="466">
                  <c:v>214.04999999999998</c:v>
                </c:pt>
                <c:pt idx="467">
                  <c:v>213.87149999999997</c:v>
                </c:pt>
                <c:pt idx="468">
                  <c:v>213.67499999999998</c:v>
                </c:pt>
                <c:pt idx="469">
                  <c:v>213.5085</c:v>
                </c:pt>
                <c:pt idx="470">
                  <c:v>213.339</c:v>
                </c:pt>
                <c:pt idx="471">
                  <c:v>213.14999999999998</c:v>
                </c:pt>
                <c:pt idx="472">
                  <c:v>212.976</c:v>
                </c:pt>
                <c:pt idx="473">
                  <c:v>212.77499999999998</c:v>
                </c:pt>
                <c:pt idx="474">
                  <c:v>212.78249999999997</c:v>
                </c:pt>
                <c:pt idx="475">
                  <c:v>212.80650000000003</c:v>
                </c:pt>
                <c:pt idx="476">
                  <c:v>212.81849999999997</c:v>
                </c:pt>
                <c:pt idx="477">
                  <c:v>212.73450000000003</c:v>
                </c:pt>
                <c:pt idx="478">
                  <c:v>212.625</c:v>
                </c:pt>
                <c:pt idx="479">
                  <c:v>212.44349999999997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ED5-4B7A-A185-BA3C3DDB3E54}"/>
            </c:ext>
          </c:extLst>
        </c:ser>
        <c:ser>
          <c:idx val="10"/>
          <c:order val="10"/>
          <c:tx>
            <c:strRef>
              <c:f>'FPSO1 Base'!$M$2</c:f>
              <c:strCache>
                <c:ptCount val="1"/>
                <c:pt idx="0">
                  <c:v>P11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Base'!$M$3:$M$730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1561.2449999999999</c:v>
                </c:pt>
                <c:pt idx="42">
                  <c:v>3000.5099999999998</c:v>
                </c:pt>
                <c:pt idx="43">
                  <c:v>2706.3</c:v>
                </c:pt>
                <c:pt idx="44">
                  <c:v>2533.9349999999999</c:v>
                </c:pt>
                <c:pt idx="45">
                  <c:v>2349.5249999999996</c:v>
                </c:pt>
                <c:pt idx="46">
                  <c:v>2159.2950000000001</c:v>
                </c:pt>
                <c:pt idx="47">
                  <c:v>2004.2550000000001</c:v>
                </c:pt>
                <c:pt idx="48">
                  <c:v>1874.4299999999998</c:v>
                </c:pt>
                <c:pt idx="49">
                  <c:v>1780.98</c:v>
                </c:pt>
                <c:pt idx="50">
                  <c:v>1712.46</c:v>
                </c:pt>
                <c:pt idx="51">
                  <c:v>1652.28</c:v>
                </c:pt>
                <c:pt idx="52">
                  <c:v>1606.9949999999999</c:v>
                </c:pt>
                <c:pt idx="53">
                  <c:v>1563.54</c:v>
                </c:pt>
                <c:pt idx="54">
                  <c:v>1522.9499999999998</c:v>
                </c:pt>
                <c:pt idx="55">
                  <c:v>1501.4549999999999</c:v>
                </c:pt>
                <c:pt idx="56">
                  <c:v>1455.1275000000001</c:v>
                </c:pt>
                <c:pt idx="57">
                  <c:v>1418.6399999999999</c:v>
                </c:pt>
                <c:pt idx="58">
                  <c:v>1379.25</c:v>
                </c:pt>
                <c:pt idx="59">
                  <c:v>1346.1195</c:v>
                </c:pt>
                <c:pt idx="60">
                  <c:v>1313.1465000000001</c:v>
                </c:pt>
                <c:pt idx="61">
                  <c:v>1285.098</c:v>
                </c:pt>
                <c:pt idx="62">
                  <c:v>1259.3775000000001</c:v>
                </c:pt>
                <c:pt idx="63">
                  <c:v>1234.4445000000001</c:v>
                </c:pt>
                <c:pt idx="64">
                  <c:v>1213.527</c:v>
                </c:pt>
                <c:pt idx="65">
                  <c:v>1192.6995000000002</c:v>
                </c:pt>
                <c:pt idx="66">
                  <c:v>1175.5529999999999</c:v>
                </c:pt>
                <c:pt idx="67">
                  <c:v>1159.6845000000001</c:v>
                </c:pt>
                <c:pt idx="68">
                  <c:v>1142.076</c:v>
                </c:pt>
                <c:pt idx="69">
                  <c:v>1128.9675</c:v>
                </c:pt>
                <c:pt idx="70">
                  <c:v>1114.4625000000001</c:v>
                </c:pt>
                <c:pt idx="71">
                  <c:v>1101.9974999999999</c:v>
                </c:pt>
                <c:pt idx="72">
                  <c:v>1089.306</c:v>
                </c:pt>
                <c:pt idx="73">
                  <c:v>1078.3274999999999</c:v>
                </c:pt>
                <c:pt idx="74">
                  <c:v>1068.1695</c:v>
                </c:pt>
                <c:pt idx="75">
                  <c:v>1058.0369999999998</c:v>
                </c:pt>
                <c:pt idx="76">
                  <c:v>1052.19</c:v>
                </c:pt>
                <c:pt idx="77">
                  <c:v>1041.7244999999998</c:v>
                </c:pt>
                <c:pt idx="78">
                  <c:v>1035.0975000000001</c:v>
                </c:pt>
                <c:pt idx="79">
                  <c:v>1028.0205000000001</c:v>
                </c:pt>
                <c:pt idx="80">
                  <c:v>1019.8934999999999</c:v>
                </c:pt>
                <c:pt idx="81">
                  <c:v>1013.595</c:v>
                </c:pt>
                <c:pt idx="82">
                  <c:v>1006.4939999999999</c:v>
                </c:pt>
                <c:pt idx="83">
                  <c:v>1000.2405</c:v>
                </c:pt>
                <c:pt idx="84">
                  <c:v>993.70650000000001</c:v>
                </c:pt>
                <c:pt idx="85">
                  <c:v>987.84750000000008</c:v>
                </c:pt>
                <c:pt idx="86">
                  <c:v>982.23450000000003</c:v>
                </c:pt>
                <c:pt idx="87">
                  <c:v>976.55550000000005</c:v>
                </c:pt>
                <c:pt idx="88">
                  <c:v>971.58299999999997</c:v>
                </c:pt>
                <c:pt idx="89">
                  <c:v>966.2940000000001</c:v>
                </c:pt>
                <c:pt idx="90">
                  <c:v>956.80049999999994</c:v>
                </c:pt>
                <c:pt idx="91">
                  <c:v>951.72600000000011</c:v>
                </c:pt>
                <c:pt idx="92">
                  <c:v>946.64850000000001</c:v>
                </c:pt>
                <c:pt idx="93">
                  <c:v>942.32100000000014</c:v>
                </c:pt>
                <c:pt idx="94">
                  <c:v>937.29299999999989</c:v>
                </c:pt>
                <c:pt idx="95">
                  <c:v>932.83049999999992</c:v>
                </c:pt>
                <c:pt idx="96">
                  <c:v>928.21800000000007</c:v>
                </c:pt>
                <c:pt idx="97">
                  <c:v>924.08999999999992</c:v>
                </c:pt>
                <c:pt idx="98">
                  <c:v>920.0625</c:v>
                </c:pt>
                <c:pt idx="99">
                  <c:v>915.77550000000008</c:v>
                </c:pt>
                <c:pt idx="100">
                  <c:v>911.70299999999997</c:v>
                </c:pt>
                <c:pt idx="101">
                  <c:v>907.3755000000001</c:v>
                </c:pt>
                <c:pt idx="102">
                  <c:v>894.55649999999991</c:v>
                </c:pt>
                <c:pt idx="103">
                  <c:v>890.10450000000003</c:v>
                </c:pt>
                <c:pt idx="104">
                  <c:v>885.99749999999995</c:v>
                </c:pt>
                <c:pt idx="105">
                  <c:v>882.34500000000003</c:v>
                </c:pt>
                <c:pt idx="106">
                  <c:v>877.34999999999991</c:v>
                </c:pt>
                <c:pt idx="107">
                  <c:v>873.13350000000014</c:v>
                </c:pt>
                <c:pt idx="108">
                  <c:v>868.77449999999999</c:v>
                </c:pt>
                <c:pt idx="109">
                  <c:v>864.74399999999991</c:v>
                </c:pt>
                <c:pt idx="110">
                  <c:v>860.44350000000009</c:v>
                </c:pt>
                <c:pt idx="111">
                  <c:v>854.89949999999999</c:v>
                </c:pt>
                <c:pt idx="112">
                  <c:v>850.05899999999997</c:v>
                </c:pt>
                <c:pt idx="113">
                  <c:v>844.93050000000005</c:v>
                </c:pt>
                <c:pt idx="114">
                  <c:v>840.1395</c:v>
                </c:pt>
                <c:pt idx="115">
                  <c:v>835.6395</c:v>
                </c:pt>
                <c:pt idx="116">
                  <c:v>830.20949999999993</c:v>
                </c:pt>
                <c:pt idx="117">
                  <c:v>825.85349999999994</c:v>
                </c:pt>
                <c:pt idx="118">
                  <c:v>820.7940000000001</c:v>
                </c:pt>
                <c:pt idx="119">
                  <c:v>816.29099999999994</c:v>
                </c:pt>
                <c:pt idx="120">
                  <c:v>811.36800000000005</c:v>
                </c:pt>
                <c:pt idx="121">
                  <c:v>806.78250000000003</c:v>
                </c:pt>
                <c:pt idx="122">
                  <c:v>802.2405</c:v>
                </c:pt>
                <c:pt idx="123">
                  <c:v>797.5184999999999</c:v>
                </c:pt>
                <c:pt idx="124">
                  <c:v>793.2405</c:v>
                </c:pt>
                <c:pt idx="125">
                  <c:v>788.65050000000008</c:v>
                </c:pt>
                <c:pt idx="126">
                  <c:v>784.37249999999995</c:v>
                </c:pt>
                <c:pt idx="127">
                  <c:v>780.375</c:v>
                </c:pt>
                <c:pt idx="128">
                  <c:v>775.72050000000013</c:v>
                </c:pt>
                <c:pt idx="129">
                  <c:v>772.06500000000005</c:v>
                </c:pt>
                <c:pt idx="130">
                  <c:v>767.79300000000001</c:v>
                </c:pt>
                <c:pt idx="131">
                  <c:v>763.92899999999997</c:v>
                </c:pt>
                <c:pt idx="132">
                  <c:v>759.75</c:v>
                </c:pt>
                <c:pt idx="133">
                  <c:v>755.86649999999997</c:v>
                </c:pt>
                <c:pt idx="134">
                  <c:v>752.05649999999991</c:v>
                </c:pt>
                <c:pt idx="135">
                  <c:v>748.125</c:v>
                </c:pt>
                <c:pt idx="136">
                  <c:v>744.60450000000003</c:v>
                </c:pt>
                <c:pt idx="137">
                  <c:v>740.80050000000006</c:v>
                </c:pt>
                <c:pt idx="138">
                  <c:v>737.298</c:v>
                </c:pt>
                <c:pt idx="139">
                  <c:v>733.86300000000006</c:v>
                </c:pt>
                <c:pt idx="140">
                  <c:v>729.99599999999998</c:v>
                </c:pt>
                <c:pt idx="141">
                  <c:v>726.71399999999994</c:v>
                </c:pt>
                <c:pt idx="142">
                  <c:v>723.06299999999999</c:v>
                </c:pt>
                <c:pt idx="143">
                  <c:v>719.79449999999997</c:v>
                </c:pt>
                <c:pt idx="144">
                  <c:v>716.27549999999997</c:v>
                </c:pt>
                <c:pt idx="145">
                  <c:v>712.97249999999997</c:v>
                </c:pt>
                <c:pt idx="146">
                  <c:v>709.71749999999997</c:v>
                </c:pt>
                <c:pt idx="147">
                  <c:v>706.32449999999994</c:v>
                </c:pt>
                <c:pt idx="148">
                  <c:v>703.27049999999997</c:v>
                </c:pt>
                <c:pt idx="149">
                  <c:v>699.96299999999997</c:v>
                </c:pt>
                <c:pt idx="150">
                  <c:v>690.52049999999997</c:v>
                </c:pt>
                <c:pt idx="151">
                  <c:v>687.09749999999997</c:v>
                </c:pt>
                <c:pt idx="152">
                  <c:v>683.85299999999995</c:v>
                </c:pt>
                <c:pt idx="153">
                  <c:v>681.27750000000003</c:v>
                </c:pt>
                <c:pt idx="154">
                  <c:v>678.25049999999999</c:v>
                </c:pt>
                <c:pt idx="155">
                  <c:v>675.50850000000003</c:v>
                </c:pt>
                <c:pt idx="156">
                  <c:v>672.55050000000006</c:v>
                </c:pt>
                <c:pt idx="157">
                  <c:v>669.83399999999995</c:v>
                </c:pt>
                <c:pt idx="158">
                  <c:v>667.101</c:v>
                </c:pt>
                <c:pt idx="159">
                  <c:v>664.28700000000003</c:v>
                </c:pt>
                <c:pt idx="160">
                  <c:v>661.70550000000003</c:v>
                </c:pt>
                <c:pt idx="161">
                  <c:v>659.55</c:v>
                </c:pt>
                <c:pt idx="162">
                  <c:v>656.37149999999997</c:v>
                </c:pt>
                <c:pt idx="163">
                  <c:v>653.91600000000005</c:v>
                </c:pt>
                <c:pt idx="164">
                  <c:v>651.04049999999995</c:v>
                </c:pt>
                <c:pt idx="165">
                  <c:v>648.76199999999994</c:v>
                </c:pt>
                <c:pt idx="166">
                  <c:v>646.16249999999991</c:v>
                </c:pt>
                <c:pt idx="167">
                  <c:v>643.76549999999997</c:v>
                </c:pt>
                <c:pt idx="168">
                  <c:v>641.21250000000009</c:v>
                </c:pt>
                <c:pt idx="169">
                  <c:v>638.78250000000003</c:v>
                </c:pt>
                <c:pt idx="170">
                  <c:v>636.423</c:v>
                </c:pt>
                <c:pt idx="171">
                  <c:v>633.96299999999997</c:v>
                </c:pt>
                <c:pt idx="172">
                  <c:v>631.71749999999997</c:v>
                </c:pt>
                <c:pt idx="173">
                  <c:v>629.27549999999997</c:v>
                </c:pt>
                <c:pt idx="174">
                  <c:v>626.98800000000006</c:v>
                </c:pt>
                <c:pt idx="175">
                  <c:v>624.85950000000003</c:v>
                </c:pt>
                <c:pt idx="176">
                  <c:v>622.35299999999995</c:v>
                </c:pt>
                <c:pt idx="177">
                  <c:v>620.38350000000003</c:v>
                </c:pt>
                <c:pt idx="178">
                  <c:v>618.11249999999995</c:v>
                </c:pt>
                <c:pt idx="179">
                  <c:v>616.053</c:v>
                </c:pt>
                <c:pt idx="180">
                  <c:v>613.81200000000001</c:v>
                </c:pt>
                <c:pt idx="181">
                  <c:v>611.70899999999995</c:v>
                </c:pt>
                <c:pt idx="182">
                  <c:v>609.64049999999997</c:v>
                </c:pt>
                <c:pt idx="183">
                  <c:v>607.46250000000009</c:v>
                </c:pt>
                <c:pt idx="184">
                  <c:v>605.50350000000003</c:v>
                </c:pt>
                <c:pt idx="185">
                  <c:v>603.33750000000009</c:v>
                </c:pt>
                <c:pt idx="186">
                  <c:v>580.476</c:v>
                </c:pt>
                <c:pt idx="187">
                  <c:v>576.60450000000003</c:v>
                </c:pt>
                <c:pt idx="188">
                  <c:v>574.48649999999998</c:v>
                </c:pt>
                <c:pt idx="189">
                  <c:v>572.68500000000006</c:v>
                </c:pt>
                <c:pt idx="190">
                  <c:v>570.63750000000005</c:v>
                </c:pt>
                <c:pt idx="191">
                  <c:v>568.71749999999997</c:v>
                </c:pt>
                <c:pt idx="192">
                  <c:v>566.57549999999992</c:v>
                </c:pt>
                <c:pt idx="193">
                  <c:v>564.55649999999991</c:v>
                </c:pt>
                <c:pt idx="194">
                  <c:v>562.428</c:v>
                </c:pt>
                <c:pt idx="195">
                  <c:v>560.18700000000001</c:v>
                </c:pt>
                <c:pt idx="196">
                  <c:v>558.09749999999997</c:v>
                </c:pt>
                <c:pt idx="197">
                  <c:v>554.44949999999994</c:v>
                </c:pt>
                <c:pt idx="198">
                  <c:v>550.08899999999994</c:v>
                </c:pt>
                <c:pt idx="199">
                  <c:v>545.86649999999997</c:v>
                </c:pt>
                <c:pt idx="200">
                  <c:v>541.03199999999993</c:v>
                </c:pt>
                <c:pt idx="201">
                  <c:v>537.21749999999997</c:v>
                </c:pt>
                <c:pt idx="202">
                  <c:v>532.79999999999995</c:v>
                </c:pt>
                <c:pt idx="203">
                  <c:v>528.798</c:v>
                </c:pt>
                <c:pt idx="204">
                  <c:v>524.73749999999995</c:v>
                </c:pt>
                <c:pt idx="205">
                  <c:v>521.16600000000005</c:v>
                </c:pt>
                <c:pt idx="206">
                  <c:v>517.59749999999997</c:v>
                </c:pt>
                <c:pt idx="207">
                  <c:v>513.9375</c:v>
                </c:pt>
                <c:pt idx="208">
                  <c:v>510.55649999999997</c:v>
                </c:pt>
                <c:pt idx="209">
                  <c:v>506.87549999999999</c:v>
                </c:pt>
                <c:pt idx="210">
                  <c:v>503.40750000000003</c:v>
                </c:pt>
                <c:pt idx="211">
                  <c:v>500.202</c:v>
                </c:pt>
                <c:pt idx="212">
                  <c:v>496.40699999999998</c:v>
                </c:pt>
                <c:pt idx="213">
                  <c:v>493.41600000000005</c:v>
                </c:pt>
                <c:pt idx="214">
                  <c:v>489.97499999999997</c:v>
                </c:pt>
                <c:pt idx="215">
                  <c:v>486.88350000000003</c:v>
                </c:pt>
                <c:pt idx="216">
                  <c:v>483.52500000000003</c:v>
                </c:pt>
                <c:pt idx="217">
                  <c:v>480.38699999999994</c:v>
                </c:pt>
                <c:pt idx="218">
                  <c:v>477.303</c:v>
                </c:pt>
                <c:pt idx="219">
                  <c:v>474.11249999999995</c:v>
                </c:pt>
                <c:pt idx="220">
                  <c:v>471.19350000000003</c:v>
                </c:pt>
                <c:pt idx="221">
                  <c:v>468.04950000000002</c:v>
                </c:pt>
                <c:pt idx="222">
                  <c:v>465.12150000000003</c:v>
                </c:pt>
                <c:pt idx="223">
                  <c:v>462.423</c:v>
                </c:pt>
                <c:pt idx="224">
                  <c:v>459.21449999999993</c:v>
                </c:pt>
                <c:pt idx="225">
                  <c:v>456.678</c:v>
                </c:pt>
                <c:pt idx="226">
                  <c:v>453.71250000000003</c:v>
                </c:pt>
                <c:pt idx="227">
                  <c:v>451.077</c:v>
                </c:pt>
                <c:pt idx="228">
                  <c:v>448.21199999999999</c:v>
                </c:pt>
                <c:pt idx="229">
                  <c:v>445.536</c:v>
                </c:pt>
                <c:pt idx="230">
                  <c:v>442.88699999999994</c:v>
                </c:pt>
                <c:pt idx="231">
                  <c:v>440.16300000000001</c:v>
                </c:pt>
                <c:pt idx="232">
                  <c:v>437.673</c:v>
                </c:pt>
                <c:pt idx="233">
                  <c:v>434.98800000000006</c:v>
                </c:pt>
                <c:pt idx="234">
                  <c:v>432.45899999999995</c:v>
                </c:pt>
                <c:pt idx="235">
                  <c:v>430.101</c:v>
                </c:pt>
                <c:pt idx="236">
                  <c:v>427.44900000000001</c:v>
                </c:pt>
                <c:pt idx="237">
                  <c:v>425.26199999999994</c:v>
                </c:pt>
                <c:pt idx="238">
                  <c:v>423</c:v>
                </c:pt>
                <c:pt idx="239">
                  <c:v>420.99149999999997</c:v>
                </c:pt>
                <c:pt idx="240">
                  <c:v>418.78800000000001</c:v>
                </c:pt>
                <c:pt idx="241">
                  <c:v>416.70899999999995</c:v>
                </c:pt>
                <c:pt idx="242">
                  <c:v>414.66600000000005</c:v>
                </c:pt>
                <c:pt idx="243">
                  <c:v>412.53749999999997</c:v>
                </c:pt>
                <c:pt idx="244">
                  <c:v>410.577</c:v>
                </c:pt>
                <c:pt idx="245">
                  <c:v>408.46199999999999</c:v>
                </c:pt>
                <c:pt idx="246">
                  <c:v>406.51199999999994</c:v>
                </c:pt>
                <c:pt idx="247">
                  <c:v>404.697</c:v>
                </c:pt>
                <c:pt idx="248">
                  <c:v>402.54899999999998</c:v>
                </c:pt>
                <c:pt idx="249">
                  <c:v>400.827</c:v>
                </c:pt>
                <c:pt idx="250">
                  <c:v>398.83799999999997</c:v>
                </c:pt>
                <c:pt idx="251">
                  <c:v>397.06499999999994</c:v>
                </c:pt>
                <c:pt idx="252">
                  <c:v>395.12549999999999</c:v>
                </c:pt>
                <c:pt idx="253">
                  <c:v>393.303</c:v>
                </c:pt>
                <c:pt idx="254">
                  <c:v>391.5</c:v>
                </c:pt>
                <c:pt idx="255">
                  <c:v>389.65049999999997</c:v>
                </c:pt>
                <c:pt idx="256">
                  <c:v>387.93149999999997</c:v>
                </c:pt>
                <c:pt idx="257">
                  <c:v>385.875</c:v>
                </c:pt>
                <c:pt idx="258">
                  <c:v>383.928</c:v>
                </c:pt>
                <c:pt idx="259">
                  <c:v>382.173</c:v>
                </c:pt>
                <c:pt idx="260">
                  <c:v>380.08949999999999</c:v>
                </c:pt>
                <c:pt idx="261">
                  <c:v>378.56849999999997</c:v>
                </c:pt>
                <c:pt idx="262">
                  <c:v>376.6755</c:v>
                </c:pt>
                <c:pt idx="263">
                  <c:v>375.048</c:v>
                </c:pt>
                <c:pt idx="264">
                  <c:v>373.3005</c:v>
                </c:pt>
                <c:pt idx="265">
                  <c:v>371.72249999999997</c:v>
                </c:pt>
                <c:pt idx="266">
                  <c:v>370.173</c:v>
                </c:pt>
                <c:pt idx="267">
                  <c:v>368.57550000000003</c:v>
                </c:pt>
                <c:pt idx="268">
                  <c:v>367.125</c:v>
                </c:pt>
                <c:pt idx="269">
                  <c:v>365.53800000000001</c:v>
                </c:pt>
                <c:pt idx="270">
                  <c:v>364.089</c:v>
                </c:pt>
                <c:pt idx="271">
                  <c:v>362.697</c:v>
                </c:pt>
                <c:pt idx="272">
                  <c:v>361.08450000000005</c:v>
                </c:pt>
                <c:pt idx="273">
                  <c:v>359.79449999999997</c:v>
                </c:pt>
                <c:pt idx="274">
                  <c:v>358.24950000000001</c:v>
                </c:pt>
                <c:pt idx="275">
                  <c:v>356.89049999999997</c:v>
                </c:pt>
                <c:pt idx="276">
                  <c:v>355.39949999999999</c:v>
                </c:pt>
                <c:pt idx="277">
                  <c:v>353.976</c:v>
                </c:pt>
                <c:pt idx="278">
                  <c:v>352.572</c:v>
                </c:pt>
                <c:pt idx="279">
                  <c:v>351.12450000000001</c:v>
                </c:pt>
                <c:pt idx="280">
                  <c:v>350.06849999999997</c:v>
                </c:pt>
                <c:pt idx="281">
                  <c:v>348.6</c:v>
                </c:pt>
                <c:pt idx="282">
                  <c:v>346.815</c:v>
                </c:pt>
                <c:pt idx="283">
                  <c:v>345.423</c:v>
                </c:pt>
                <c:pt idx="284">
                  <c:v>343.88849999999996</c:v>
                </c:pt>
                <c:pt idx="285">
                  <c:v>342.60449999999997</c:v>
                </c:pt>
                <c:pt idx="286">
                  <c:v>341.18700000000001</c:v>
                </c:pt>
                <c:pt idx="287">
                  <c:v>339.93150000000003</c:v>
                </c:pt>
                <c:pt idx="288">
                  <c:v>338.57550000000003</c:v>
                </c:pt>
                <c:pt idx="289">
                  <c:v>411.99149999999997</c:v>
                </c:pt>
                <c:pt idx="290">
                  <c:v>417.59249999999997</c:v>
                </c:pt>
                <c:pt idx="291">
                  <c:v>414.98700000000002</c:v>
                </c:pt>
                <c:pt idx="292">
                  <c:v>413.02049999999997</c:v>
                </c:pt>
                <c:pt idx="293">
                  <c:v>410.54999999999995</c:v>
                </c:pt>
                <c:pt idx="294">
                  <c:v>407.80649999999997</c:v>
                </c:pt>
                <c:pt idx="295">
                  <c:v>405.411</c:v>
                </c:pt>
                <c:pt idx="296">
                  <c:v>402.88350000000003</c:v>
                </c:pt>
                <c:pt idx="297">
                  <c:v>401.02049999999997</c:v>
                </c:pt>
                <c:pt idx="298">
                  <c:v>398.93700000000001</c:v>
                </c:pt>
                <c:pt idx="299">
                  <c:v>397.125</c:v>
                </c:pt>
                <c:pt idx="300">
                  <c:v>395.21250000000003</c:v>
                </c:pt>
                <c:pt idx="301">
                  <c:v>393.45899999999995</c:v>
                </c:pt>
                <c:pt idx="302">
                  <c:v>391.74149999999997</c:v>
                </c:pt>
                <c:pt idx="303">
                  <c:v>390.01199999999994</c:v>
                </c:pt>
                <c:pt idx="304">
                  <c:v>399.375</c:v>
                </c:pt>
                <c:pt idx="305">
                  <c:v>399.67499999999995</c:v>
                </c:pt>
                <c:pt idx="306">
                  <c:v>398.661</c:v>
                </c:pt>
                <c:pt idx="307">
                  <c:v>397.524</c:v>
                </c:pt>
                <c:pt idx="308">
                  <c:v>396.4425</c:v>
                </c:pt>
                <c:pt idx="309">
                  <c:v>395.625</c:v>
                </c:pt>
                <c:pt idx="310">
                  <c:v>394.66200000000003</c:v>
                </c:pt>
                <c:pt idx="311">
                  <c:v>393.798</c:v>
                </c:pt>
                <c:pt idx="312">
                  <c:v>392.88750000000005</c:v>
                </c:pt>
                <c:pt idx="313">
                  <c:v>392.03250000000003</c:v>
                </c:pt>
                <c:pt idx="314">
                  <c:v>391.161</c:v>
                </c:pt>
                <c:pt idx="315">
                  <c:v>390.23700000000002</c:v>
                </c:pt>
                <c:pt idx="316">
                  <c:v>389.35949999999997</c:v>
                </c:pt>
                <c:pt idx="317">
                  <c:v>388.42499999999995</c:v>
                </c:pt>
                <c:pt idx="318">
                  <c:v>387.52049999999997</c:v>
                </c:pt>
                <c:pt idx="319">
                  <c:v>386.649</c:v>
                </c:pt>
                <c:pt idx="320">
                  <c:v>385.59300000000002</c:v>
                </c:pt>
                <c:pt idx="321">
                  <c:v>384.75</c:v>
                </c:pt>
                <c:pt idx="322">
                  <c:v>383.71199999999999</c:v>
                </c:pt>
                <c:pt idx="323">
                  <c:v>382.64550000000003</c:v>
                </c:pt>
                <c:pt idx="324">
                  <c:v>381.68700000000001</c:v>
                </c:pt>
                <c:pt idx="325">
                  <c:v>380.274</c:v>
                </c:pt>
                <c:pt idx="326">
                  <c:v>379.30650000000003</c:v>
                </c:pt>
                <c:pt idx="327">
                  <c:v>378.12450000000001</c:v>
                </c:pt>
                <c:pt idx="328">
                  <c:v>377.226</c:v>
                </c:pt>
                <c:pt idx="329">
                  <c:v>376.137</c:v>
                </c:pt>
                <c:pt idx="330">
                  <c:v>375.16949999999997</c:v>
                </c:pt>
                <c:pt idx="331">
                  <c:v>374.37149999999997</c:v>
                </c:pt>
                <c:pt idx="332">
                  <c:v>373.35750000000002</c:v>
                </c:pt>
                <c:pt idx="333">
                  <c:v>372.55650000000003</c:v>
                </c:pt>
                <c:pt idx="334">
                  <c:v>371.613</c:v>
                </c:pt>
                <c:pt idx="335">
                  <c:v>370.791</c:v>
                </c:pt>
                <c:pt idx="336">
                  <c:v>369.87450000000001</c:v>
                </c:pt>
                <c:pt idx="337">
                  <c:v>369.012</c:v>
                </c:pt>
                <c:pt idx="338">
                  <c:v>368.12850000000003</c:v>
                </c:pt>
                <c:pt idx="339">
                  <c:v>367.23749999999995</c:v>
                </c:pt>
                <c:pt idx="340">
                  <c:v>366.375</c:v>
                </c:pt>
                <c:pt idx="341">
                  <c:v>365.48699999999997</c:v>
                </c:pt>
                <c:pt idx="342">
                  <c:v>364.62149999999997</c:v>
                </c:pt>
                <c:pt idx="343">
                  <c:v>363.81</c:v>
                </c:pt>
                <c:pt idx="344">
                  <c:v>362.86649999999997</c:v>
                </c:pt>
                <c:pt idx="345">
                  <c:v>362.10449999999997</c:v>
                </c:pt>
                <c:pt idx="346">
                  <c:v>361.20000000000005</c:v>
                </c:pt>
                <c:pt idx="347">
                  <c:v>360.411</c:v>
                </c:pt>
                <c:pt idx="348">
                  <c:v>359.57550000000003</c:v>
                </c:pt>
                <c:pt idx="349">
                  <c:v>358.74149999999997</c:v>
                </c:pt>
                <c:pt idx="350">
                  <c:v>357.96750000000003</c:v>
                </c:pt>
                <c:pt idx="351">
                  <c:v>357.1755</c:v>
                </c:pt>
                <c:pt idx="352">
                  <c:v>356.41949999999997</c:v>
                </c:pt>
                <c:pt idx="353">
                  <c:v>355.62450000000001</c:v>
                </c:pt>
                <c:pt idx="354">
                  <c:v>354.94349999999997</c:v>
                </c:pt>
                <c:pt idx="355">
                  <c:v>354.24149999999997</c:v>
                </c:pt>
                <c:pt idx="356">
                  <c:v>353.49149999999997</c:v>
                </c:pt>
                <c:pt idx="357">
                  <c:v>352.887</c:v>
                </c:pt>
                <c:pt idx="358">
                  <c:v>352.20000000000005</c:v>
                </c:pt>
                <c:pt idx="359">
                  <c:v>351.60449999999997</c:v>
                </c:pt>
                <c:pt idx="360">
                  <c:v>350.89949999999999</c:v>
                </c:pt>
                <c:pt idx="361">
                  <c:v>350.322</c:v>
                </c:pt>
                <c:pt idx="362">
                  <c:v>349.74149999999997</c:v>
                </c:pt>
                <c:pt idx="363">
                  <c:v>349.15049999999997</c:v>
                </c:pt>
                <c:pt idx="364">
                  <c:v>348.58050000000003</c:v>
                </c:pt>
                <c:pt idx="365">
                  <c:v>347.97450000000003</c:v>
                </c:pt>
                <c:pt idx="366">
                  <c:v>347.44349999999997</c:v>
                </c:pt>
                <c:pt idx="367">
                  <c:v>346.959</c:v>
                </c:pt>
                <c:pt idx="368">
                  <c:v>346.36649999999997</c:v>
                </c:pt>
                <c:pt idx="369">
                  <c:v>345.89550000000003</c:v>
                </c:pt>
                <c:pt idx="370">
                  <c:v>345.375</c:v>
                </c:pt>
                <c:pt idx="371">
                  <c:v>344.87850000000003</c:v>
                </c:pt>
                <c:pt idx="372">
                  <c:v>344.4</c:v>
                </c:pt>
                <c:pt idx="373">
                  <c:v>343.911</c:v>
                </c:pt>
                <c:pt idx="374">
                  <c:v>343.452</c:v>
                </c:pt>
                <c:pt idx="375">
                  <c:v>342.9495</c:v>
                </c:pt>
                <c:pt idx="376">
                  <c:v>342.55650000000003</c:v>
                </c:pt>
                <c:pt idx="377">
                  <c:v>342.04949999999997</c:v>
                </c:pt>
                <c:pt idx="378">
                  <c:v>341.637</c:v>
                </c:pt>
                <c:pt idx="379">
                  <c:v>341.226</c:v>
                </c:pt>
                <c:pt idx="380">
                  <c:v>340.75799999999998</c:v>
                </c:pt>
                <c:pt idx="381">
                  <c:v>340.37850000000003</c:v>
                </c:pt>
                <c:pt idx="382">
                  <c:v>339.97500000000002</c:v>
                </c:pt>
                <c:pt idx="383">
                  <c:v>339.58050000000003</c:v>
                </c:pt>
                <c:pt idx="384">
                  <c:v>339.15</c:v>
                </c:pt>
                <c:pt idx="385">
                  <c:v>338.709</c:v>
                </c:pt>
                <c:pt idx="386">
                  <c:v>338.34749999999997</c:v>
                </c:pt>
                <c:pt idx="387">
                  <c:v>337.84950000000003</c:v>
                </c:pt>
                <c:pt idx="388">
                  <c:v>337.428</c:v>
                </c:pt>
                <c:pt idx="389">
                  <c:v>337.07550000000003</c:v>
                </c:pt>
                <c:pt idx="390">
                  <c:v>336.65250000000003</c:v>
                </c:pt>
                <c:pt idx="391">
                  <c:v>336.26549999999997</c:v>
                </c:pt>
                <c:pt idx="392">
                  <c:v>335.86649999999997</c:v>
                </c:pt>
                <c:pt idx="393">
                  <c:v>335.541</c:v>
                </c:pt>
                <c:pt idx="394">
                  <c:v>335.22450000000003</c:v>
                </c:pt>
                <c:pt idx="395">
                  <c:v>334.935</c:v>
                </c:pt>
                <c:pt idx="396">
                  <c:v>334.62450000000001</c:v>
                </c:pt>
                <c:pt idx="397">
                  <c:v>334.33050000000003</c:v>
                </c:pt>
                <c:pt idx="398">
                  <c:v>334.065</c:v>
                </c:pt>
                <c:pt idx="399">
                  <c:v>333.75</c:v>
                </c:pt>
                <c:pt idx="400">
                  <c:v>333.459</c:v>
                </c:pt>
                <c:pt idx="401">
                  <c:v>333.07500000000005</c:v>
                </c:pt>
                <c:pt idx="402">
                  <c:v>332.75850000000003</c:v>
                </c:pt>
                <c:pt idx="403">
                  <c:v>332.49149999999997</c:v>
                </c:pt>
                <c:pt idx="404">
                  <c:v>332.08949999999999</c:v>
                </c:pt>
                <c:pt idx="405">
                  <c:v>331.815</c:v>
                </c:pt>
                <c:pt idx="406">
                  <c:v>331.47450000000003</c:v>
                </c:pt>
                <c:pt idx="407">
                  <c:v>331.185</c:v>
                </c:pt>
                <c:pt idx="408">
                  <c:v>330.82500000000005</c:v>
                </c:pt>
                <c:pt idx="409">
                  <c:v>330.55650000000003</c:v>
                </c:pt>
                <c:pt idx="410">
                  <c:v>330.24149999999997</c:v>
                </c:pt>
                <c:pt idx="411">
                  <c:v>329.97450000000003</c:v>
                </c:pt>
                <c:pt idx="412">
                  <c:v>329.73450000000003</c:v>
                </c:pt>
                <c:pt idx="413">
                  <c:v>329.4</c:v>
                </c:pt>
                <c:pt idx="414">
                  <c:v>329.15250000000003</c:v>
                </c:pt>
                <c:pt idx="415">
                  <c:v>328.839</c:v>
                </c:pt>
                <c:pt idx="416">
                  <c:v>328.47300000000001</c:v>
                </c:pt>
                <c:pt idx="417">
                  <c:v>328.209</c:v>
                </c:pt>
                <c:pt idx="418">
                  <c:v>327.85050000000001</c:v>
                </c:pt>
                <c:pt idx="419">
                  <c:v>327.55650000000003</c:v>
                </c:pt>
                <c:pt idx="420">
                  <c:v>327.1995</c:v>
                </c:pt>
                <c:pt idx="421">
                  <c:v>326.928</c:v>
                </c:pt>
                <c:pt idx="422">
                  <c:v>326.637</c:v>
                </c:pt>
                <c:pt idx="423">
                  <c:v>326.35050000000001</c:v>
                </c:pt>
                <c:pt idx="424">
                  <c:v>326.08050000000003</c:v>
                </c:pt>
                <c:pt idx="425">
                  <c:v>325.79999999999995</c:v>
                </c:pt>
                <c:pt idx="426">
                  <c:v>325.5</c:v>
                </c:pt>
                <c:pt idx="427">
                  <c:v>325.23450000000003</c:v>
                </c:pt>
                <c:pt idx="428">
                  <c:v>324.90449999999998</c:v>
                </c:pt>
                <c:pt idx="429">
                  <c:v>324.798</c:v>
                </c:pt>
                <c:pt idx="430">
                  <c:v>324.67499999999995</c:v>
                </c:pt>
                <c:pt idx="431">
                  <c:v>324.50850000000003</c:v>
                </c:pt>
                <c:pt idx="432">
                  <c:v>324.29999999999995</c:v>
                </c:pt>
                <c:pt idx="433">
                  <c:v>324.024</c:v>
                </c:pt>
                <c:pt idx="434">
                  <c:v>323.75850000000003</c:v>
                </c:pt>
                <c:pt idx="435">
                  <c:v>323.4495</c:v>
                </c:pt>
                <c:pt idx="436">
                  <c:v>323.15250000000003</c:v>
                </c:pt>
                <c:pt idx="437">
                  <c:v>322.82550000000003</c:v>
                </c:pt>
                <c:pt idx="438">
                  <c:v>322.5</c:v>
                </c:pt>
                <c:pt idx="439">
                  <c:v>322.25850000000003</c:v>
                </c:pt>
                <c:pt idx="440">
                  <c:v>321.99149999999997</c:v>
                </c:pt>
                <c:pt idx="441">
                  <c:v>321.774</c:v>
                </c:pt>
                <c:pt idx="442">
                  <c:v>321.49950000000001</c:v>
                </c:pt>
                <c:pt idx="443">
                  <c:v>321.24149999999997</c:v>
                </c:pt>
                <c:pt idx="444">
                  <c:v>320.95050000000003</c:v>
                </c:pt>
                <c:pt idx="445">
                  <c:v>320.661</c:v>
                </c:pt>
                <c:pt idx="446">
                  <c:v>320.34749999999997</c:v>
                </c:pt>
                <c:pt idx="447">
                  <c:v>320.02499999999998</c:v>
                </c:pt>
                <c:pt idx="448">
                  <c:v>319.71750000000003</c:v>
                </c:pt>
                <c:pt idx="449">
                  <c:v>319.42499999999995</c:v>
                </c:pt>
                <c:pt idx="450">
                  <c:v>319.161</c:v>
                </c:pt>
                <c:pt idx="451">
                  <c:v>318.19349999999997</c:v>
                </c:pt>
                <c:pt idx="452">
                  <c:v>318.58949999999999</c:v>
                </c:pt>
                <c:pt idx="453">
                  <c:v>319.30650000000003</c:v>
                </c:pt>
                <c:pt idx="454">
                  <c:v>320.20050000000003</c:v>
                </c:pt>
                <c:pt idx="455">
                  <c:v>320.87850000000003</c:v>
                </c:pt>
                <c:pt idx="456">
                  <c:v>321.5505</c:v>
                </c:pt>
                <c:pt idx="457">
                  <c:v>321.99149999999997</c:v>
                </c:pt>
                <c:pt idx="458">
                  <c:v>322.428</c:v>
                </c:pt>
                <c:pt idx="459">
                  <c:v>322.77449999999999</c:v>
                </c:pt>
                <c:pt idx="460">
                  <c:v>323.05650000000003</c:v>
                </c:pt>
                <c:pt idx="461">
                  <c:v>323.35050000000001</c:v>
                </c:pt>
                <c:pt idx="462">
                  <c:v>323.51549999999997</c:v>
                </c:pt>
                <c:pt idx="463">
                  <c:v>323.685</c:v>
                </c:pt>
                <c:pt idx="464">
                  <c:v>323.83949999999999</c:v>
                </c:pt>
                <c:pt idx="465">
                  <c:v>323.928</c:v>
                </c:pt>
                <c:pt idx="466">
                  <c:v>324.07500000000005</c:v>
                </c:pt>
                <c:pt idx="467">
                  <c:v>324.12149999999997</c:v>
                </c:pt>
                <c:pt idx="468">
                  <c:v>324.1755</c:v>
                </c:pt>
                <c:pt idx="469">
                  <c:v>324.24149999999997</c:v>
                </c:pt>
                <c:pt idx="470">
                  <c:v>324.291</c:v>
                </c:pt>
                <c:pt idx="471">
                  <c:v>324.34950000000003</c:v>
                </c:pt>
                <c:pt idx="472">
                  <c:v>324.363</c:v>
                </c:pt>
                <c:pt idx="473">
                  <c:v>324.32550000000003</c:v>
                </c:pt>
                <c:pt idx="474">
                  <c:v>324.459</c:v>
                </c:pt>
                <c:pt idx="475">
                  <c:v>324.702</c:v>
                </c:pt>
                <c:pt idx="476">
                  <c:v>325.03499999999997</c:v>
                </c:pt>
                <c:pt idx="477">
                  <c:v>325.23450000000003</c:v>
                </c:pt>
                <c:pt idx="478">
                  <c:v>325.39949999999999</c:v>
                </c:pt>
                <c:pt idx="479">
                  <c:v>325.524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ED5-4B7A-A185-BA3C3DDB3E54}"/>
            </c:ext>
          </c:extLst>
        </c:ser>
        <c:ser>
          <c:idx val="11"/>
          <c:order val="11"/>
          <c:tx>
            <c:strRef>
              <c:f>'FPSO1 Base'!$N$2</c:f>
              <c:strCache>
                <c:ptCount val="1"/>
                <c:pt idx="0">
                  <c:v>P12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Base'!$N$3:$N$730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280.69349999999997</c:v>
                </c:pt>
                <c:pt idx="45">
                  <c:v>350.274</c:v>
                </c:pt>
                <c:pt idx="46">
                  <c:v>312.762</c:v>
                </c:pt>
                <c:pt idx="47">
                  <c:v>293.12850000000003</c:v>
                </c:pt>
                <c:pt idx="48">
                  <c:v>281.74950000000001</c:v>
                </c:pt>
                <c:pt idx="49">
                  <c:v>272.988</c:v>
                </c:pt>
                <c:pt idx="50">
                  <c:v>265.137</c:v>
                </c:pt>
                <c:pt idx="51">
                  <c:v>257.51250000000005</c:v>
                </c:pt>
                <c:pt idx="52">
                  <c:v>252.2415</c:v>
                </c:pt>
                <c:pt idx="53">
                  <c:v>247.15049999999999</c:v>
                </c:pt>
                <c:pt idx="54">
                  <c:v>240.06</c:v>
                </c:pt>
                <c:pt idx="55">
                  <c:v>235.791</c:v>
                </c:pt>
                <c:pt idx="56">
                  <c:v>231.21449999999999</c:v>
                </c:pt>
                <c:pt idx="57">
                  <c:v>228.5085</c:v>
                </c:pt>
                <c:pt idx="58">
                  <c:v>225.58799999999999</c:v>
                </c:pt>
                <c:pt idx="59">
                  <c:v>223.089</c:v>
                </c:pt>
                <c:pt idx="60">
                  <c:v>220.52549999999999</c:v>
                </c:pt>
                <c:pt idx="61">
                  <c:v>218.39550000000003</c:v>
                </c:pt>
                <c:pt idx="62">
                  <c:v>216.315</c:v>
                </c:pt>
                <c:pt idx="63">
                  <c:v>214.24950000000001</c:v>
                </c:pt>
                <c:pt idx="64">
                  <c:v>212.3475</c:v>
                </c:pt>
                <c:pt idx="65">
                  <c:v>210.40049999999999</c:v>
                </c:pt>
                <c:pt idx="66">
                  <c:v>208.69349999999997</c:v>
                </c:pt>
                <c:pt idx="67">
                  <c:v>206.976</c:v>
                </c:pt>
                <c:pt idx="68">
                  <c:v>204.8835</c:v>
                </c:pt>
                <c:pt idx="69">
                  <c:v>203.226</c:v>
                </c:pt>
                <c:pt idx="70">
                  <c:v>201.32550000000003</c:v>
                </c:pt>
                <c:pt idx="71">
                  <c:v>199.548</c:v>
                </c:pt>
                <c:pt idx="72">
                  <c:v>197.65049999999999</c:v>
                </c:pt>
                <c:pt idx="73">
                  <c:v>195.798</c:v>
                </c:pt>
                <c:pt idx="74">
                  <c:v>193.98450000000003</c:v>
                </c:pt>
                <c:pt idx="75">
                  <c:v>192</c:v>
                </c:pt>
                <c:pt idx="76">
                  <c:v>190.2825</c:v>
                </c:pt>
                <c:pt idx="77">
                  <c:v>186.1755</c:v>
                </c:pt>
                <c:pt idx="78">
                  <c:v>182.9025</c:v>
                </c:pt>
                <c:pt idx="79">
                  <c:v>180.1215</c:v>
                </c:pt>
                <c:pt idx="80">
                  <c:v>176.97300000000001</c:v>
                </c:pt>
                <c:pt idx="81">
                  <c:v>174.5085</c:v>
                </c:pt>
                <c:pt idx="82">
                  <c:v>171.75</c:v>
                </c:pt>
                <c:pt idx="83">
                  <c:v>169.3065</c:v>
                </c:pt>
                <c:pt idx="84">
                  <c:v>166.8</c:v>
                </c:pt>
                <c:pt idx="85">
                  <c:v>164.4915</c:v>
                </c:pt>
                <c:pt idx="86">
                  <c:v>162.315</c:v>
                </c:pt>
                <c:pt idx="87">
                  <c:v>160.05000000000001</c:v>
                </c:pt>
                <c:pt idx="88">
                  <c:v>158.1045</c:v>
                </c:pt>
                <c:pt idx="89">
                  <c:v>156</c:v>
                </c:pt>
                <c:pt idx="90">
                  <c:v>153.387</c:v>
                </c:pt>
                <c:pt idx="91">
                  <c:v>151.572</c:v>
                </c:pt>
                <c:pt idx="92">
                  <c:v>149.68965</c:v>
                </c:pt>
                <c:pt idx="93">
                  <c:v>148.11285000000001</c:v>
                </c:pt>
                <c:pt idx="94">
                  <c:v>146.29995</c:v>
                </c:pt>
                <c:pt idx="95">
                  <c:v>144.60480000000001</c:v>
                </c:pt>
                <c:pt idx="96">
                  <c:v>142.64999999999998</c:v>
                </c:pt>
                <c:pt idx="97">
                  <c:v>140.83064999999999</c:v>
                </c:pt>
                <c:pt idx="98">
                  <c:v>139.11285000000001</c:v>
                </c:pt>
                <c:pt idx="99">
                  <c:v>137.25</c:v>
                </c:pt>
                <c:pt idx="100">
                  <c:v>135.67740000000001</c:v>
                </c:pt>
                <c:pt idx="101">
                  <c:v>133.92495</c:v>
                </c:pt>
                <c:pt idx="102">
                  <c:v>131.0565</c:v>
                </c:pt>
                <c:pt idx="103">
                  <c:v>129.43545</c:v>
                </c:pt>
                <c:pt idx="104">
                  <c:v>127.7946</c:v>
                </c:pt>
                <c:pt idx="105">
                  <c:v>126.48389999999999</c:v>
                </c:pt>
                <c:pt idx="106">
                  <c:v>125.02499999999999</c:v>
                </c:pt>
                <c:pt idx="107">
                  <c:v>123.70155</c:v>
                </c:pt>
                <c:pt idx="108">
                  <c:v>122.27504999999999</c:v>
                </c:pt>
                <c:pt idx="109">
                  <c:v>121.01610000000001</c:v>
                </c:pt>
                <c:pt idx="110">
                  <c:v>119.78219999999999</c:v>
                </c:pt>
                <c:pt idx="111">
                  <c:v>118.45005</c:v>
                </c:pt>
                <c:pt idx="112">
                  <c:v>117.29040000000001</c:v>
                </c:pt>
                <c:pt idx="113">
                  <c:v>115.94999999999999</c:v>
                </c:pt>
                <c:pt idx="114">
                  <c:v>114.79845</c:v>
                </c:pt>
                <c:pt idx="115">
                  <c:v>113.68545</c:v>
                </c:pt>
                <c:pt idx="116">
                  <c:v>112.4196</c:v>
                </c:pt>
                <c:pt idx="117">
                  <c:v>111.38714999999999</c:v>
                </c:pt>
                <c:pt idx="118">
                  <c:v>110.20005</c:v>
                </c:pt>
                <c:pt idx="119">
                  <c:v>109.08870000000002</c:v>
                </c:pt>
                <c:pt idx="120">
                  <c:v>107.92500000000001</c:v>
                </c:pt>
                <c:pt idx="121">
                  <c:v>106.76610000000001</c:v>
                </c:pt>
                <c:pt idx="122">
                  <c:v>105.70155</c:v>
                </c:pt>
                <c:pt idx="123">
                  <c:v>104.57505</c:v>
                </c:pt>
                <c:pt idx="124">
                  <c:v>103.52414999999999</c:v>
                </c:pt>
                <c:pt idx="125">
                  <c:v>102.44999999999999</c:v>
                </c:pt>
                <c:pt idx="126">
                  <c:v>101.41934999999999</c:v>
                </c:pt>
                <c:pt idx="127">
                  <c:v>100.42740000000001</c:v>
                </c:pt>
                <c:pt idx="128">
                  <c:v>99.348150000000004</c:v>
                </c:pt>
                <c:pt idx="129">
                  <c:v>98.4435</c:v>
                </c:pt>
                <c:pt idx="130">
                  <c:v>97.399950000000004</c:v>
                </c:pt>
                <c:pt idx="131">
                  <c:v>96.459599999999995</c:v>
                </c:pt>
                <c:pt idx="132">
                  <c:v>95.449950000000001</c:v>
                </c:pt>
                <c:pt idx="133">
                  <c:v>94.572599999999994</c:v>
                </c:pt>
                <c:pt idx="134">
                  <c:v>93.629100000000008</c:v>
                </c:pt>
                <c:pt idx="135">
                  <c:v>92.674949999999995</c:v>
                </c:pt>
                <c:pt idx="136">
                  <c:v>91.790400000000005</c:v>
                </c:pt>
                <c:pt idx="137">
                  <c:v>90.874949999999998</c:v>
                </c:pt>
                <c:pt idx="138">
                  <c:v>89.951549999999997</c:v>
                </c:pt>
                <c:pt idx="139">
                  <c:v>89.080649999999991</c:v>
                </c:pt>
                <c:pt idx="140">
                  <c:v>88.137900000000002</c:v>
                </c:pt>
                <c:pt idx="141">
                  <c:v>87.256521000000006</c:v>
                </c:pt>
                <c:pt idx="142">
                  <c:v>86.383955790000002</c:v>
                </c:pt>
                <c:pt idx="143">
                  <c:v>85.520116232099994</c:v>
                </c:pt>
                <c:pt idx="144">
                  <c:v>84.664915069778999</c:v>
                </c:pt>
                <c:pt idx="145">
                  <c:v>83.818265919081213</c:v>
                </c:pt>
                <c:pt idx="146">
                  <c:v>82.980083259890407</c:v>
                </c:pt>
                <c:pt idx="147">
                  <c:v>82.150282427291501</c:v>
                </c:pt>
                <c:pt idx="148">
                  <c:v>81.328779603018589</c:v>
                </c:pt>
                <c:pt idx="149">
                  <c:v>80.515491806988408</c:v>
                </c:pt>
                <c:pt idx="150">
                  <c:v>79.710336888918519</c:v>
                </c:pt>
                <c:pt idx="151">
                  <c:v>78.913233520029337</c:v>
                </c:pt>
                <c:pt idx="152">
                  <c:v>78.124101184829044</c:v>
                </c:pt>
                <c:pt idx="153">
                  <c:v>77.34286017298075</c:v>
                </c:pt>
                <c:pt idx="154">
                  <c:v>76.569431571250945</c:v>
                </c:pt>
                <c:pt idx="155">
                  <c:v>75.803737255538437</c:v>
                </c:pt>
                <c:pt idx="156">
                  <c:v>75.045699882983058</c:v>
                </c:pt>
                <c:pt idx="157">
                  <c:v>74.295242884153225</c:v>
                </c:pt>
                <c:pt idx="158">
                  <c:v>73.552290455311692</c:v>
                </c:pt>
                <c:pt idx="159">
                  <c:v>72.81676755075857</c:v>
                </c:pt>
                <c:pt idx="160">
                  <c:v>72.088599875250978</c:v>
                </c:pt>
                <c:pt idx="161">
                  <c:v>71.36771387649847</c:v>
                </c:pt>
                <c:pt idx="162">
                  <c:v>70.654036737733492</c:v>
                </c:pt>
                <c:pt idx="163">
                  <c:v>69.947496370356163</c:v>
                </c:pt>
                <c:pt idx="164">
                  <c:v>69.248021406652597</c:v>
                </c:pt>
                <c:pt idx="165">
                  <c:v>68.555541192586077</c:v>
                </c:pt>
                <c:pt idx="166">
                  <c:v>67.869985780660215</c:v>
                </c:pt>
                <c:pt idx="167">
                  <c:v>67.191285922853609</c:v>
                </c:pt>
                <c:pt idx="168">
                  <c:v>66.519373063625068</c:v>
                </c:pt>
                <c:pt idx="169">
                  <c:v>65.854179332988821</c:v>
                </c:pt>
                <c:pt idx="170">
                  <c:v>65.195637539658932</c:v>
                </c:pt>
                <c:pt idx="171">
                  <c:v>64.543681164262338</c:v>
                </c:pt>
                <c:pt idx="172">
                  <c:v>63.898244352619713</c:v>
                </c:pt>
                <c:pt idx="173">
                  <c:v>63.259261909093517</c:v>
                </c:pt>
                <c:pt idx="174">
                  <c:v>62.626669290002582</c:v>
                </c:pt>
                <c:pt idx="175">
                  <c:v>62.000402597102557</c:v>
                </c:pt>
                <c:pt idx="176">
                  <c:v>61.380398571131529</c:v>
                </c:pt>
                <c:pt idx="177">
                  <c:v>60.766594585420215</c:v>
                </c:pt>
                <c:pt idx="178">
                  <c:v>60.158928639566014</c:v>
                </c:pt>
                <c:pt idx="179">
                  <c:v>59.557339353170356</c:v>
                </c:pt>
                <c:pt idx="180">
                  <c:v>58.961765959638655</c:v>
                </c:pt>
                <c:pt idx="181">
                  <c:v>58.372148300042269</c:v>
                </c:pt>
                <c:pt idx="182">
                  <c:v>57.788426817041845</c:v>
                </c:pt>
                <c:pt idx="183">
                  <c:v>57.210542548871423</c:v>
                </c:pt>
                <c:pt idx="184">
                  <c:v>56.638437123382708</c:v>
                </c:pt>
                <c:pt idx="185">
                  <c:v>56.072052752148878</c:v>
                </c:pt>
                <c:pt idx="186">
                  <c:v>55.511332224627388</c:v>
                </c:pt>
                <c:pt idx="187">
                  <c:v>54.956218902381117</c:v>
                </c:pt>
                <c:pt idx="188">
                  <c:v>54.406656713357307</c:v>
                </c:pt>
                <c:pt idx="189">
                  <c:v>53.862590146223731</c:v>
                </c:pt>
                <c:pt idx="190">
                  <c:v>53.323964244761491</c:v>
                </c:pt>
                <c:pt idx="191">
                  <c:v>52.790724602313873</c:v>
                </c:pt>
                <c:pt idx="192">
                  <c:v>52.262817356290732</c:v>
                </c:pt>
                <c:pt idx="193">
                  <c:v>51.740189182727825</c:v>
                </c:pt>
                <c:pt idx="194">
                  <c:v>51.222787290900548</c:v>
                </c:pt>
                <c:pt idx="195">
                  <c:v>50.71055941799154</c:v>
                </c:pt>
                <c:pt idx="196">
                  <c:v>50.203453823811621</c:v>
                </c:pt>
                <c:pt idx="197">
                  <c:v>49.701419285573508</c:v>
                </c:pt>
                <c:pt idx="198">
                  <c:v>49.204405092717771</c:v>
                </c:pt>
                <c:pt idx="199">
                  <c:v>48.712361041790594</c:v>
                </c:pt>
                <c:pt idx="200">
                  <c:v>48.22523743137269</c:v>
                </c:pt>
                <c:pt idx="201">
                  <c:v>47.742985057058966</c:v>
                </c:pt>
                <c:pt idx="202">
                  <c:v>47.265555206488379</c:v>
                </c:pt>
                <c:pt idx="203">
                  <c:v>46.792899654423493</c:v>
                </c:pt>
                <c:pt idx="204">
                  <c:v>46.324970657879255</c:v>
                </c:pt>
                <c:pt idx="205">
                  <c:v>45.861720951300462</c:v>
                </c:pt>
                <c:pt idx="206">
                  <c:v>45.403103741787454</c:v>
                </c:pt>
                <c:pt idx="207">
                  <c:v>44.949072704369577</c:v>
                </c:pt>
                <c:pt idx="208">
                  <c:v>44.499581977325882</c:v>
                </c:pt>
                <c:pt idx="209">
                  <c:v>44.05458615755262</c:v>
                </c:pt>
                <c:pt idx="210">
                  <c:v>43.614040295977091</c:v>
                </c:pt>
                <c:pt idx="211">
                  <c:v>43.177899893017319</c:v>
                </c:pt>
                <c:pt idx="212">
                  <c:v>42.746120894087149</c:v>
                </c:pt>
                <c:pt idx="213">
                  <c:v>42.31865968514628</c:v>
                </c:pt>
                <c:pt idx="214">
                  <c:v>41.895473088294814</c:v>
                </c:pt>
                <c:pt idx="215">
                  <c:v>41.476518357411862</c:v>
                </c:pt>
                <c:pt idx="216">
                  <c:v>41.061753173837744</c:v>
                </c:pt>
                <c:pt idx="217">
                  <c:v>40.651135642099369</c:v>
                </c:pt>
                <c:pt idx="218">
                  <c:v>40.244624285678377</c:v>
                </c:pt>
                <c:pt idx="219">
                  <c:v>39.842178042821594</c:v>
                </c:pt>
                <c:pt idx="220">
                  <c:v>39.443756262393379</c:v>
                </c:pt>
                <c:pt idx="221">
                  <c:v>39.049318699769444</c:v>
                </c:pt>
                <c:pt idx="222">
                  <c:v>38.658825512771749</c:v>
                </c:pt>
                <c:pt idx="223">
                  <c:v>38.272237257644029</c:v>
                </c:pt>
                <c:pt idx="224">
                  <c:v>37.889514885067591</c:v>
                </c:pt>
                <c:pt idx="225">
                  <c:v>37.510619736216917</c:v>
                </c:pt>
                <c:pt idx="226">
                  <c:v>37.135513538854745</c:v>
                </c:pt>
                <c:pt idx="227">
                  <c:v>36.764158403466197</c:v>
                </c:pt>
                <c:pt idx="228">
                  <c:v>36.396516819431532</c:v>
                </c:pt>
                <c:pt idx="229">
                  <c:v>36.03255165123722</c:v>
                </c:pt>
                <c:pt idx="230">
                  <c:v>35.672226134724845</c:v>
                </c:pt>
                <c:pt idx="231">
                  <c:v>35.315503873377594</c:v>
                </c:pt>
                <c:pt idx="232">
                  <c:v>34.962348834643819</c:v>
                </c:pt>
                <c:pt idx="233">
                  <c:v>34.612725346297381</c:v>
                </c:pt>
                <c:pt idx="234">
                  <c:v>34.266598092834407</c:v>
                </c:pt>
                <c:pt idx="235">
                  <c:v>33.923932111906062</c:v>
                </c:pt>
                <c:pt idx="236">
                  <c:v>33.584692790787003</c:v>
                </c:pt>
                <c:pt idx="237">
                  <c:v>33.248845862879129</c:v>
                </c:pt>
                <c:pt idx="238">
                  <c:v>32.916357404250334</c:v>
                </c:pt>
                <c:pt idx="239">
                  <c:v>32.587193830207831</c:v>
                </c:pt>
                <c:pt idx="240">
                  <c:v>32.261321891905752</c:v>
                </c:pt>
                <c:pt idx="241">
                  <c:v>31.938708672986692</c:v>
                </c:pt>
                <c:pt idx="242">
                  <c:v>31.619321586256824</c:v>
                </c:pt>
                <c:pt idx="243">
                  <c:v>31.303128370394255</c:v>
                </c:pt>
                <c:pt idx="244">
                  <c:v>30.990097086690312</c:v>
                </c:pt>
                <c:pt idx="245">
                  <c:v>30.68019611582341</c:v>
                </c:pt>
                <c:pt idx="246">
                  <c:v>30.373394154665174</c:v>
                </c:pt>
                <c:pt idx="247">
                  <c:v>30.069660213118521</c:v>
                </c:pt>
                <c:pt idx="248">
                  <c:v>29.768963610987335</c:v>
                </c:pt>
                <c:pt idx="249">
                  <c:v>29.471273974877462</c:v>
                </c:pt>
                <c:pt idx="250">
                  <c:v>29.176561235128688</c:v>
                </c:pt>
                <c:pt idx="251">
                  <c:v>28.8847956227774</c:v>
                </c:pt>
                <c:pt idx="252">
                  <c:v>28.595947666549627</c:v>
                </c:pt>
                <c:pt idx="253">
                  <c:v>28.30998818988413</c:v>
                </c:pt>
                <c:pt idx="254">
                  <c:v>28.026888307985288</c:v>
                </c:pt>
                <c:pt idx="255">
                  <c:v>27.746619424905436</c:v>
                </c:pt>
                <c:pt idx="256">
                  <c:v>27.469153230656381</c:v>
                </c:pt>
                <c:pt idx="257">
                  <c:v>27.194461698349816</c:v>
                </c:pt>
                <c:pt idx="258">
                  <c:v>26.922517081366319</c:v>
                </c:pt>
                <c:pt idx="259">
                  <c:v>26.653291910552657</c:v>
                </c:pt>
                <c:pt idx="260">
                  <c:v>26.386758991447131</c:v>
                </c:pt>
                <c:pt idx="261">
                  <c:v>26.122891401532659</c:v>
                </c:pt>
                <c:pt idx="262">
                  <c:v>25.861662487517332</c:v>
                </c:pt>
                <c:pt idx="263">
                  <c:v>25.603045862642158</c:v>
                </c:pt>
                <c:pt idx="264">
                  <c:v>25.347015404015735</c:v>
                </c:pt>
                <c:pt idx="265">
                  <c:v>25.093545249975577</c:v>
                </c:pt>
                <c:pt idx="266">
                  <c:v>24.84260979747582</c:v>
                </c:pt>
                <c:pt idx="267">
                  <c:v>24.594183699501063</c:v>
                </c:pt>
                <c:pt idx="268">
                  <c:v>24.34824186250605</c:v>
                </c:pt>
                <c:pt idx="269">
                  <c:v>24.10475944388099</c:v>
                </c:pt>
                <c:pt idx="270">
                  <c:v>23.863711849442179</c:v>
                </c:pt>
                <c:pt idx="271">
                  <c:v>23.625074730947759</c:v>
                </c:pt>
                <c:pt idx="272">
                  <c:v>23.388823983638282</c:v>
                </c:pt>
                <c:pt idx="273">
                  <c:v>23.1549357438019</c:v>
                </c:pt>
                <c:pt idx="274">
                  <c:v>22.92338638636388</c:v>
                </c:pt>
                <c:pt idx="275">
                  <c:v>22.694152522500243</c:v>
                </c:pt>
                <c:pt idx="276">
                  <c:v>22.467210997275242</c:v>
                </c:pt>
                <c:pt idx="277">
                  <c:v>22.242538887302491</c:v>
                </c:pt>
                <c:pt idx="278">
                  <c:v>22.020113498429467</c:v>
                </c:pt>
                <c:pt idx="279">
                  <c:v>21.799912363445173</c:v>
                </c:pt>
                <c:pt idx="280">
                  <c:v>21.581913239810721</c:v>
                </c:pt>
                <c:pt idx="281">
                  <c:v>21.366094107412614</c:v>
                </c:pt>
                <c:pt idx="282">
                  <c:v>21.152433166338486</c:v>
                </c:pt>
                <c:pt idx="283">
                  <c:v>20.940908834675103</c:v>
                </c:pt>
                <c:pt idx="284">
                  <c:v>20.73149974632835</c:v>
                </c:pt>
                <c:pt idx="285">
                  <c:v>20.524184748865068</c:v>
                </c:pt>
                <c:pt idx="286">
                  <c:v>20.318942901376417</c:v>
                </c:pt>
                <c:pt idx="287">
                  <c:v>20.115753472362652</c:v>
                </c:pt>
                <c:pt idx="288">
                  <c:v>19.914595937639024</c:v>
                </c:pt>
                <c:pt idx="289">
                  <c:v>19.715449978262633</c:v>
                </c:pt>
                <c:pt idx="290">
                  <c:v>19.518295478480006</c:v>
                </c:pt>
                <c:pt idx="291">
                  <c:v>19.323112523695205</c:v>
                </c:pt>
                <c:pt idx="292">
                  <c:v>19.129881398458252</c:v>
                </c:pt>
                <c:pt idx="293">
                  <c:v>18.938582584473668</c:v>
                </c:pt>
                <c:pt idx="294">
                  <c:v>18.74919675862893</c:v>
                </c:pt>
                <c:pt idx="295">
                  <c:v>18.56170479104264</c:v>
                </c:pt>
                <c:pt idx="296">
                  <c:v>18.376087743132214</c:v>
                </c:pt>
                <c:pt idx="297">
                  <c:v>18.192326865700892</c:v>
                </c:pt>
                <c:pt idx="298">
                  <c:v>18.010403597043883</c:v>
                </c:pt>
                <c:pt idx="299">
                  <c:v>17.830299561073446</c:v>
                </c:pt>
                <c:pt idx="300">
                  <c:v>17.65199656546271</c:v>
                </c:pt>
                <c:pt idx="301">
                  <c:v>17.475476599808083</c:v>
                </c:pt>
                <c:pt idx="302">
                  <c:v>17.300721833810002</c:v>
                </c:pt>
                <c:pt idx="303">
                  <c:v>17.127714615471902</c:v>
                </c:pt>
                <c:pt idx="304">
                  <c:v>16.956437469317184</c:v>
                </c:pt>
                <c:pt idx="305">
                  <c:v>16.78687309462401</c:v>
                </c:pt>
                <c:pt idx="306">
                  <c:v>16.619004363677771</c:v>
                </c:pt>
                <c:pt idx="307">
                  <c:v>16.452814320040993</c:v>
                </c:pt>
                <c:pt idx="308">
                  <c:v>16.288286176840582</c:v>
                </c:pt>
                <c:pt idx="309">
                  <c:v>16.125403315072177</c:v>
                </c:pt>
                <c:pt idx="310">
                  <c:v>15.964149281921454</c:v>
                </c:pt>
                <c:pt idx="311">
                  <c:v>15.804507789102239</c:v>
                </c:pt>
                <c:pt idx="312">
                  <c:v>15.646462711211216</c:v>
                </c:pt>
                <c:pt idx="313">
                  <c:v>15.489998084099103</c:v>
                </c:pt>
                <c:pt idx="314">
                  <c:v>15.335098103258112</c:v>
                </c:pt>
                <c:pt idx="315">
                  <c:v>15.181747122225531</c:v>
                </c:pt>
                <c:pt idx="316">
                  <c:v>15.029929651003275</c:v>
                </c:pt>
                <c:pt idx="317">
                  <c:v>14.879630354493242</c:v>
                </c:pt>
                <c:pt idx="318">
                  <c:v>14.73083405094831</c:v>
                </c:pt>
                <c:pt idx="319">
                  <c:v>14.583525710438828</c:v>
                </c:pt>
                <c:pt idx="320">
                  <c:v>14.437690453334438</c:v>
                </c:pt>
                <c:pt idx="321">
                  <c:v>14.293313548801093</c:v>
                </c:pt>
                <c:pt idx="322">
                  <c:v>14.150380413313082</c:v>
                </c:pt>
                <c:pt idx="323">
                  <c:v>14.00887660917995</c:v>
                </c:pt>
                <c:pt idx="324">
                  <c:v>13.86878784308815</c:v>
                </c:pt>
                <c:pt idx="325">
                  <c:v>13.730099964657269</c:v>
                </c:pt>
                <c:pt idx="326">
                  <c:v>13.592798965010696</c:v>
                </c:pt>
                <c:pt idx="327">
                  <c:v>13.456870975360589</c:v>
                </c:pt>
                <c:pt idx="328">
                  <c:v>13.322302265606982</c:v>
                </c:pt>
                <c:pt idx="329">
                  <c:v>13.189079242950912</c:v>
                </c:pt>
                <c:pt idx="330">
                  <c:v>13.057188450521403</c:v>
                </c:pt>
                <c:pt idx="331">
                  <c:v>12.92661656601619</c:v>
                </c:pt>
                <c:pt idx="332">
                  <c:v>12.797350400356027</c:v>
                </c:pt>
                <c:pt idx="333">
                  <c:v>12.669376896352468</c:v>
                </c:pt>
                <c:pt idx="334">
                  <c:v>12.542683127388942</c:v>
                </c:pt>
                <c:pt idx="335">
                  <c:v>12.417256296115053</c:v>
                </c:pt>
                <c:pt idx="336">
                  <c:v>12.293083733153901</c:v>
                </c:pt>
                <c:pt idx="337">
                  <c:v>12.170152895822362</c:v>
                </c:pt>
                <c:pt idx="338">
                  <c:v>12.048451366864137</c:v>
                </c:pt>
                <c:pt idx="339">
                  <c:v>11.927966853195496</c:v>
                </c:pt>
                <c:pt idx="340">
                  <c:v>11.80868718466354</c:v>
                </c:pt>
                <c:pt idx="341">
                  <c:v>11.690600312816905</c:v>
                </c:pt>
                <c:pt idx="342">
                  <c:v>11.573694309688735</c:v>
                </c:pt>
                <c:pt idx="343">
                  <c:v>11.457957366591847</c:v>
                </c:pt>
                <c:pt idx="344">
                  <c:v>11.343377792925928</c:v>
                </c:pt>
                <c:pt idx="345">
                  <c:v>11.229944014996668</c:v>
                </c:pt>
                <c:pt idx="346">
                  <c:v>11.117644574846702</c:v>
                </c:pt>
                <c:pt idx="347">
                  <c:v>11.006468129098234</c:v>
                </c:pt>
                <c:pt idx="348">
                  <c:v>10.896403447807252</c:v>
                </c:pt>
                <c:pt idx="349">
                  <c:v>10.78743941332918</c:v>
                </c:pt>
                <c:pt idx="350">
                  <c:v>10.679565019195888</c:v>
                </c:pt>
                <c:pt idx="351">
                  <c:v>10.572769369003929</c:v>
                </c:pt>
                <c:pt idx="352">
                  <c:v>10.46704167531389</c:v>
                </c:pt>
                <c:pt idx="353">
                  <c:v>10.362371258560751</c:v>
                </c:pt>
                <c:pt idx="354">
                  <c:v>10.258747545975144</c:v>
                </c:pt>
                <c:pt idx="355">
                  <c:v>10.156160070515392</c:v>
                </c:pt>
                <c:pt idx="356">
                  <c:v>10.054598469810239</c:v>
                </c:pt>
                <c:pt idx="357">
                  <c:v>9.9540524851121361</c:v>
                </c:pt>
                <c:pt idx="358">
                  <c:v>9.8545119602610143</c:v>
                </c:pt>
                <c:pt idx="359">
                  <c:v>9.7559668406584041</c:v>
                </c:pt>
                <c:pt idx="360">
                  <c:v>9.6584071722518203</c:v>
                </c:pt>
                <c:pt idx="361">
                  <c:v>9.5618231005293026</c:v>
                </c:pt>
                <c:pt idx="362">
                  <c:v>9.4662048695240095</c:v>
                </c:pt>
                <c:pt idx="363">
                  <c:v>9.3715428208287701</c:v>
                </c:pt>
                <c:pt idx="364">
                  <c:v>9.2778273926204822</c:v>
                </c:pt>
                <c:pt idx="365">
                  <c:v>9.1850491186942769</c:v>
                </c:pt>
                <c:pt idx="366">
                  <c:v>9.0931986275073342</c:v>
                </c:pt>
                <c:pt idx="367">
                  <c:v>9.0022666412322607</c:v>
                </c:pt>
                <c:pt idx="368">
                  <c:v>8.9122439748199387</c:v>
                </c:pt>
                <c:pt idx="369">
                  <c:v>8.8231215350717385</c:v>
                </c:pt>
                <c:pt idx="370">
                  <c:v>8.7348903197210213</c:v>
                </c:pt>
                <c:pt idx="371">
                  <c:v>8.6475414165238114</c:v>
                </c:pt>
                <c:pt idx="372">
                  <c:v>8.5610660023585723</c:v>
                </c:pt>
                <c:pt idx="373">
                  <c:v>8.4754553423349872</c:v>
                </c:pt>
                <c:pt idx="374">
                  <c:v>8.3907007889116372</c:v>
                </c:pt>
                <c:pt idx="375">
                  <c:v>8.3067937810225203</c:v>
                </c:pt>
                <c:pt idx="376">
                  <c:v>8.2237258432122946</c:v>
                </c:pt>
                <c:pt idx="377">
                  <c:v>8.1414885847801717</c:v>
                </c:pt>
                <c:pt idx="378">
                  <c:v>8.0600736989323707</c:v>
                </c:pt>
                <c:pt idx="379">
                  <c:v>7.9794729619430473</c:v>
                </c:pt>
                <c:pt idx="380">
                  <c:v>7.899678232323617</c:v>
                </c:pt>
                <c:pt idx="381">
                  <c:v>7.8206814500003805</c:v>
                </c:pt>
                <c:pt idx="382">
                  <c:v>7.7424746355003764</c:v>
                </c:pt>
                <c:pt idx="383">
                  <c:v>7.6650498891453722</c:v>
                </c:pt>
                <c:pt idx="384">
                  <c:v>7.5883993902539189</c:v>
                </c:pt>
                <c:pt idx="385">
                  <c:v>7.5125153963513798</c:v>
                </c:pt>
                <c:pt idx="386">
                  <c:v>7.4373902423878659</c:v>
                </c:pt>
                <c:pt idx="387">
                  <c:v>7.3630163399639876</c:v>
                </c:pt>
                <c:pt idx="388">
                  <c:v>7.2893861765643475</c:v>
                </c:pt>
                <c:pt idx="389">
                  <c:v>7.2164923147987041</c:v>
                </c:pt>
                <c:pt idx="390">
                  <c:v>7.1443273916507168</c:v>
                </c:pt>
                <c:pt idx="391">
                  <c:v>7.0728841177342092</c:v>
                </c:pt>
                <c:pt idx="392">
                  <c:v>7.0021552765568673</c:v>
                </c:pt>
                <c:pt idx="393">
                  <c:v>6.9321337237912983</c:v>
                </c:pt>
                <c:pt idx="394">
                  <c:v>6.8628123865533857</c:v>
                </c:pt>
                <c:pt idx="395">
                  <c:v>6.7941842626878515</c:v>
                </c:pt>
                <c:pt idx="396">
                  <c:v>6.7262424200609727</c:v>
                </c:pt>
                <c:pt idx="397">
                  <c:v>6.6589799958603626</c:v>
                </c:pt>
                <c:pt idx="398">
                  <c:v>6.5923901959017588</c:v>
                </c:pt>
                <c:pt idx="399">
                  <c:v>6.5264662939427414</c:v>
                </c:pt>
                <c:pt idx="400">
                  <c:v>6.4612016310033136</c:v>
                </c:pt>
                <c:pt idx="401">
                  <c:v>6.3965896146932808</c:v>
                </c:pt>
                <c:pt idx="402">
                  <c:v>6.3326237185463476</c:v>
                </c:pt>
                <c:pt idx="403">
                  <c:v>6.2692974813608844</c:v>
                </c:pt>
                <c:pt idx="404">
                  <c:v>6.2066045065472757</c:v>
                </c:pt>
                <c:pt idx="405">
                  <c:v>6.1445384614818028</c:v>
                </c:pt>
                <c:pt idx="406">
                  <c:v>6.0830930768669846</c:v>
                </c:pt>
                <c:pt idx="407">
                  <c:v>6.0222621460983143</c:v>
                </c:pt>
                <c:pt idx="408">
                  <c:v>5.9620395246373308</c:v>
                </c:pt>
                <c:pt idx="409">
                  <c:v>5.9024191293909576</c:v>
                </c:pt>
                <c:pt idx="410">
                  <c:v>5.843394938097048</c:v>
                </c:pt>
                <c:pt idx="411">
                  <c:v>5.7849609887160778</c:v>
                </c:pt>
                <c:pt idx="412">
                  <c:v>5.7271113788289165</c:v>
                </c:pt>
                <c:pt idx="413">
                  <c:v>5.6698402650406274</c:v>
                </c:pt>
                <c:pt idx="414">
                  <c:v>5.6131418623902212</c:v>
                </c:pt>
                <c:pt idx="415">
                  <c:v>5.5570104437663188</c:v>
                </c:pt>
                <c:pt idx="416">
                  <c:v>5.5014403393286555</c:v>
                </c:pt>
                <c:pt idx="417">
                  <c:v>5.4464259359353688</c:v>
                </c:pt>
                <c:pt idx="418">
                  <c:v>5.391961676576015</c:v>
                </c:pt>
                <c:pt idx="419">
                  <c:v>5.3380420598102551</c:v>
                </c:pt>
                <c:pt idx="420">
                  <c:v>5.2846616392121524</c:v>
                </c:pt>
                <c:pt idx="421">
                  <c:v>5.2318150228200304</c:v>
                </c:pt>
                <c:pt idx="422">
                  <c:v>5.1794968725918302</c:v>
                </c:pt>
                <c:pt idx="423">
                  <c:v>5.127701903865912</c:v>
                </c:pt>
                <c:pt idx="424">
                  <c:v>5.0764248848272526</c:v>
                </c:pt>
                <c:pt idx="425">
                  <c:v>5.0256606359789799</c:v>
                </c:pt>
                <c:pt idx="426">
                  <c:v>4.9754040296191899</c:v>
                </c:pt>
                <c:pt idx="427">
                  <c:v>4.9256499893229977</c:v>
                </c:pt>
                <c:pt idx="428">
                  <c:v>4.876393489429768</c:v>
                </c:pt>
                <c:pt idx="429">
                  <c:v>4.8276295545354699</c:v>
                </c:pt>
                <c:pt idx="430">
                  <c:v>4.7793532589901151</c:v>
                </c:pt>
                <c:pt idx="431">
                  <c:v>4.7315597264002136</c:v>
                </c:pt>
                <c:pt idx="432">
                  <c:v>4.6842441291362116</c:v>
                </c:pt>
                <c:pt idx="433">
                  <c:v>4.6374016878448492</c:v>
                </c:pt>
                <c:pt idx="434">
                  <c:v>4.5910276709664011</c:v>
                </c:pt>
                <c:pt idx="435">
                  <c:v>4.5451173942567369</c:v>
                </c:pt>
                <c:pt idx="436">
                  <c:v>4.4996662203141691</c:v>
                </c:pt>
                <c:pt idx="437">
                  <c:v>4.4546695581110276</c:v>
                </c:pt>
                <c:pt idx="438">
                  <c:v>4.4101228625299171</c:v>
                </c:pt>
                <c:pt idx="439">
                  <c:v>4.3660216339046176</c:v>
                </c:pt>
                <c:pt idx="440">
                  <c:v>4.3223614175655714</c:v>
                </c:pt>
                <c:pt idx="441">
                  <c:v>4.2791378033899159</c:v>
                </c:pt>
                <c:pt idx="442">
                  <c:v>4.2363464253560164</c:v>
                </c:pt>
                <c:pt idx="443">
                  <c:v>4.1939829611024564</c:v>
                </c:pt>
                <c:pt idx="444">
                  <c:v>4.1520431314914319</c:v>
                </c:pt>
                <c:pt idx="445">
                  <c:v>4.1105227001765172</c:v>
                </c:pt>
                <c:pt idx="446">
                  <c:v>4.0694174731747523</c:v>
                </c:pt>
                <c:pt idx="447">
                  <c:v>4.0287232984430048</c:v>
                </c:pt>
                <c:pt idx="448">
                  <c:v>3.9884360654585747</c:v>
                </c:pt>
                <c:pt idx="449">
                  <c:v>3.9485517048039886</c:v>
                </c:pt>
                <c:pt idx="450">
                  <c:v>3.9090661877559487</c:v>
                </c:pt>
                <c:pt idx="451">
                  <c:v>3.869975525878389</c:v>
                </c:pt>
                <c:pt idx="452">
                  <c:v>3.8312757706196052</c:v>
                </c:pt>
                <c:pt idx="453">
                  <c:v>3.7929630129134093</c:v>
                </c:pt>
                <c:pt idx="454">
                  <c:v>3.755033382784275</c:v>
                </c:pt>
                <c:pt idx="455">
                  <c:v>3.7174830489564323</c:v>
                </c:pt>
                <c:pt idx="456">
                  <c:v>3.6803082184668678</c:v>
                </c:pt>
                <c:pt idx="457">
                  <c:v>3.6435051362821991</c:v>
                </c:pt>
                <c:pt idx="458">
                  <c:v>3.6070700849193771</c:v>
                </c:pt>
                <c:pt idx="459">
                  <c:v>3.5709993840701832</c:v>
                </c:pt>
                <c:pt idx="460">
                  <c:v>3.5352893902294813</c:v>
                </c:pt>
                <c:pt idx="461">
                  <c:v>3.4999364963271864</c:v>
                </c:pt>
                <c:pt idx="462">
                  <c:v>3.4649371313639143</c:v>
                </c:pt>
                <c:pt idx="463">
                  <c:v>3.430287760050275</c:v>
                </c:pt>
                <c:pt idx="464">
                  <c:v>3.3959848824497723</c:v>
                </c:pt>
                <c:pt idx="465">
                  <c:v>3.3620250336252746</c:v>
                </c:pt>
                <c:pt idx="466">
                  <c:v>3.328404783289022</c:v>
                </c:pt>
                <c:pt idx="467">
                  <c:v>3.2951207354561318</c:v>
                </c:pt>
                <c:pt idx="468">
                  <c:v>3.2621695281015706</c:v>
                </c:pt>
                <c:pt idx="469">
                  <c:v>3.2295478328205549</c:v>
                </c:pt>
                <c:pt idx="470">
                  <c:v>3.1972523544923495</c:v>
                </c:pt>
                <c:pt idx="471">
                  <c:v>3.1652798309474259</c:v>
                </c:pt>
                <c:pt idx="472">
                  <c:v>3.1336270326379516</c:v>
                </c:pt>
                <c:pt idx="473">
                  <c:v>3.1022907623115721</c:v>
                </c:pt>
                <c:pt idx="474">
                  <c:v>3.0712678546884562</c:v>
                </c:pt>
                <c:pt idx="475">
                  <c:v>3.0405551761415714</c:v>
                </c:pt>
                <c:pt idx="476">
                  <c:v>3.0101496243801558</c:v>
                </c:pt>
                <c:pt idx="477">
                  <c:v>2.980048128136354</c:v>
                </c:pt>
                <c:pt idx="478">
                  <c:v>2.9502476468549905</c:v>
                </c:pt>
                <c:pt idx="479">
                  <c:v>2.9207451703864407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ED5-4B7A-A185-BA3C3DDB3E54}"/>
            </c:ext>
          </c:extLst>
        </c:ser>
        <c:ser>
          <c:idx val="12"/>
          <c:order val="12"/>
          <c:tx>
            <c:strRef>
              <c:f>'FPSO1 Base'!$O$2</c:f>
              <c:strCache>
                <c:ptCount val="1"/>
                <c:pt idx="0">
                  <c:v>P13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Base'!$O$3:$O$730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731.01750000000004</c:v>
                </c:pt>
                <c:pt idx="45">
                  <c:v>992.12850000000003</c:v>
                </c:pt>
                <c:pt idx="46">
                  <c:v>914.55000000000007</c:v>
                </c:pt>
                <c:pt idx="47">
                  <c:v>880.76549999999997</c:v>
                </c:pt>
                <c:pt idx="48">
                  <c:v>864.22499999999991</c:v>
                </c:pt>
                <c:pt idx="49">
                  <c:v>853.11299999999994</c:v>
                </c:pt>
                <c:pt idx="50">
                  <c:v>840.87149999999997</c:v>
                </c:pt>
                <c:pt idx="51">
                  <c:v>826.84949999999992</c:v>
                </c:pt>
                <c:pt idx="52">
                  <c:v>816.45900000000006</c:v>
                </c:pt>
                <c:pt idx="53">
                  <c:v>805.875</c:v>
                </c:pt>
                <c:pt idx="54">
                  <c:v>787.47600000000011</c:v>
                </c:pt>
                <c:pt idx="55">
                  <c:v>776.78250000000003</c:v>
                </c:pt>
                <c:pt idx="56">
                  <c:v>764.08949999999993</c:v>
                </c:pt>
                <c:pt idx="57">
                  <c:v>755.75850000000003</c:v>
                </c:pt>
                <c:pt idx="58">
                  <c:v>746.27549999999997</c:v>
                </c:pt>
                <c:pt idx="59">
                  <c:v>737.322</c:v>
                </c:pt>
                <c:pt idx="60">
                  <c:v>726.40049999999997</c:v>
                </c:pt>
                <c:pt idx="61">
                  <c:v>716.49149999999997</c:v>
                </c:pt>
                <c:pt idx="62">
                  <c:v>707.03250000000003</c:v>
                </c:pt>
                <c:pt idx="63">
                  <c:v>697.47450000000003</c:v>
                </c:pt>
                <c:pt idx="64">
                  <c:v>689.10450000000003</c:v>
                </c:pt>
                <c:pt idx="65">
                  <c:v>680.65049999999997</c:v>
                </c:pt>
                <c:pt idx="66">
                  <c:v>674.00850000000003</c:v>
                </c:pt>
                <c:pt idx="67">
                  <c:v>667.69350000000009</c:v>
                </c:pt>
                <c:pt idx="68">
                  <c:v>660.61649999999997</c:v>
                </c:pt>
                <c:pt idx="69">
                  <c:v>655.476</c:v>
                </c:pt>
                <c:pt idx="70">
                  <c:v>649.77449999999999</c:v>
                </c:pt>
                <c:pt idx="71">
                  <c:v>644.952</c:v>
                </c:pt>
                <c:pt idx="72">
                  <c:v>640.15049999999997</c:v>
                </c:pt>
                <c:pt idx="73">
                  <c:v>635.90250000000003</c:v>
                </c:pt>
                <c:pt idx="74">
                  <c:v>632.05649999999991</c:v>
                </c:pt>
                <c:pt idx="75">
                  <c:v>628.17450000000008</c:v>
                </c:pt>
                <c:pt idx="76">
                  <c:v>626.10450000000003</c:v>
                </c:pt>
                <c:pt idx="77">
                  <c:v>622.52549999999997</c:v>
                </c:pt>
                <c:pt idx="78">
                  <c:v>621.12149999999997</c:v>
                </c:pt>
                <c:pt idx="79">
                  <c:v>618.58050000000003</c:v>
                </c:pt>
                <c:pt idx="80">
                  <c:v>615.2940000000001</c:v>
                </c:pt>
                <c:pt idx="81">
                  <c:v>612.75</c:v>
                </c:pt>
                <c:pt idx="82">
                  <c:v>609.82500000000005</c:v>
                </c:pt>
                <c:pt idx="83">
                  <c:v>607.20899999999995</c:v>
                </c:pt>
                <c:pt idx="84">
                  <c:v>604.30050000000006</c:v>
                </c:pt>
                <c:pt idx="85">
                  <c:v>601.66949999999997</c:v>
                </c:pt>
                <c:pt idx="86">
                  <c:v>599.08050000000003</c:v>
                </c:pt>
                <c:pt idx="87">
                  <c:v>596.44949999999994</c:v>
                </c:pt>
                <c:pt idx="88">
                  <c:v>594.12149999999997</c:v>
                </c:pt>
                <c:pt idx="89">
                  <c:v>591.70049999999992</c:v>
                </c:pt>
                <c:pt idx="90">
                  <c:v>586.08899999999994</c:v>
                </c:pt>
                <c:pt idx="91">
                  <c:v>583.62149999999997</c:v>
                </c:pt>
                <c:pt idx="92">
                  <c:v>581.30099999999993</c:v>
                </c:pt>
                <c:pt idx="93">
                  <c:v>579.38699999999994</c:v>
                </c:pt>
                <c:pt idx="94">
                  <c:v>577.22550000000001</c:v>
                </c:pt>
                <c:pt idx="95">
                  <c:v>575.298</c:v>
                </c:pt>
                <c:pt idx="96">
                  <c:v>573.27449999999999</c:v>
                </c:pt>
                <c:pt idx="97">
                  <c:v>571.33050000000003</c:v>
                </c:pt>
                <c:pt idx="98">
                  <c:v>569.49149999999997</c:v>
                </c:pt>
                <c:pt idx="99">
                  <c:v>567.49950000000001</c:v>
                </c:pt>
                <c:pt idx="100">
                  <c:v>565.71749999999997</c:v>
                </c:pt>
                <c:pt idx="101">
                  <c:v>563.74950000000001</c:v>
                </c:pt>
                <c:pt idx="102">
                  <c:v>555.45899999999995</c:v>
                </c:pt>
                <c:pt idx="103">
                  <c:v>553.08899999999994</c:v>
                </c:pt>
                <c:pt idx="104">
                  <c:v>550.9815000000001</c:v>
                </c:pt>
                <c:pt idx="105">
                  <c:v>549.31499999999994</c:v>
                </c:pt>
                <c:pt idx="106">
                  <c:v>547.27500000000009</c:v>
                </c:pt>
                <c:pt idx="107">
                  <c:v>545.39549999999997</c:v>
                </c:pt>
                <c:pt idx="108">
                  <c:v>543.29999999999995</c:v>
                </c:pt>
                <c:pt idx="109">
                  <c:v>541.25850000000003</c:v>
                </c:pt>
                <c:pt idx="110">
                  <c:v>539.10450000000003</c:v>
                </c:pt>
                <c:pt idx="111">
                  <c:v>536.77500000000009</c:v>
                </c:pt>
                <c:pt idx="112">
                  <c:v>534.50850000000003</c:v>
                </c:pt>
                <c:pt idx="113">
                  <c:v>531.90000000000009</c:v>
                </c:pt>
                <c:pt idx="114">
                  <c:v>529.37850000000003</c:v>
                </c:pt>
                <c:pt idx="115">
                  <c:v>526.88699999999994</c:v>
                </c:pt>
                <c:pt idx="116">
                  <c:v>523.74149999999997</c:v>
                </c:pt>
                <c:pt idx="117">
                  <c:v>521.08050000000003</c:v>
                </c:pt>
                <c:pt idx="118">
                  <c:v>517.84950000000003</c:v>
                </c:pt>
                <c:pt idx="119">
                  <c:v>514.74149999999997</c:v>
                </c:pt>
                <c:pt idx="120">
                  <c:v>511.27500000000003</c:v>
                </c:pt>
                <c:pt idx="121">
                  <c:v>507.94350000000003</c:v>
                </c:pt>
                <c:pt idx="122">
                  <c:v>504.58050000000003</c:v>
                </c:pt>
                <c:pt idx="123">
                  <c:v>501.04950000000002</c:v>
                </c:pt>
                <c:pt idx="124">
                  <c:v>497.85450000000003</c:v>
                </c:pt>
                <c:pt idx="125">
                  <c:v>494.44949999999994</c:v>
                </c:pt>
                <c:pt idx="126">
                  <c:v>491.202</c:v>
                </c:pt>
                <c:pt idx="127">
                  <c:v>488.226</c:v>
                </c:pt>
                <c:pt idx="128">
                  <c:v>484.63350000000003</c:v>
                </c:pt>
                <c:pt idx="129">
                  <c:v>481.71749999999997</c:v>
                </c:pt>
                <c:pt idx="130">
                  <c:v>478.42499999999995</c:v>
                </c:pt>
                <c:pt idx="131">
                  <c:v>475.428</c:v>
                </c:pt>
                <c:pt idx="132">
                  <c:v>472.17450000000002</c:v>
                </c:pt>
                <c:pt idx="133">
                  <c:v>469.11300000000006</c:v>
                </c:pt>
                <c:pt idx="134">
                  <c:v>466.01550000000003</c:v>
                </c:pt>
                <c:pt idx="135">
                  <c:v>462.77549999999997</c:v>
                </c:pt>
                <c:pt idx="136">
                  <c:v>459.822</c:v>
                </c:pt>
                <c:pt idx="137">
                  <c:v>456.57449999999994</c:v>
                </c:pt>
                <c:pt idx="138">
                  <c:v>453.55649999999997</c:v>
                </c:pt>
                <c:pt idx="139">
                  <c:v>450.62849999999997</c:v>
                </c:pt>
                <c:pt idx="140">
                  <c:v>447.33600000000001</c:v>
                </c:pt>
                <c:pt idx="141">
                  <c:v>443.41949999999997</c:v>
                </c:pt>
                <c:pt idx="142">
                  <c:v>439.37549999999999</c:v>
                </c:pt>
                <c:pt idx="143">
                  <c:v>436.13699999999994</c:v>
                </c:pt>
                <c:pt idx="144">
                  <c:v>432.85050000000001</c:v>
                </c:pt>
                <c:pt idx="145">
                  <c:v>429.84749999999997</c:v>
                </c:pt>
                <c:pt idx="146">
                  <c:v>426.87150000000003</c:v>
                </c:pt>
                <c:pt idx="147">
                  <c:v>423.85050000000001</c:v>
                </c:pt>
                <c:pt idx="148">
                  <c:v>421.089</c:v>
                </c:pt>
                <c:pt idx="149">
                  <c:v>418.125</c:v>
                </c:pt>
                <c:pt idx="150">
                  <c:v>410.589</c:v>
                </c:pt>
                <c:pt idx="151">
                  <c:v>407.49149999999997</c:v>
                </c:pt>
                <c:pt idx="152">
                  <c:v>404.57100000000003</c:v>
                </c:pt>
                <c:pt idx="153">
                  <c:v>402.339</c:v>
                </c:pt>
                <c:pt idx="154">
                  <c:v>399.59999999999997</c:v>
                </c:pt>
                <c:pt idx="155">
                  <c:v>397.11300000000006</c:v>
                </c:pt>
                <c:pt idx="156">
                  <c:v>394.37549999999999</c:v>
                </c:pt>
                <c:pt idx="157">
                  <c:v>391.88699999999994</c:v>
                </c:pt>
                <c:pt idx="158">
                  <c:v>389.37150000000003</c:v>
                </c:pt>
                <c:pt idx="159">
                  <c:v>386.80050000000006</c:v>
                </c:pt>
                <c:pt idx="160">
                  <c:v>384.24149999999997</c:v>
                </c:pt>
                <c:pt idx="161">
                  <c:v>382.04999999999995</c:v>
                </c:pt>
                <c:pt idx="162">
                  <c:v>378.91949999999997</c:v>
                </c:pt>
                <c:pt idx="163">
                  <c:v>376.59749999999997</c:v>
                </c:pt>
                <c:pt idx="164">
                  <c:v>373.92899999999997</c:v>
                </c:pt>
                <c:pt idx="165">
                  <c:v>371.87850000000003</c:v>
                </c:pt>
                <c:pt idx="166">
                  <c:v>369.64949999999999</c:v>
                </c:pt>
                <c:pt idx="167">
                  <c:v>367.572</c:v>
                </c:pt>
                <c:pt idx="168">
                  <c:v>365.4</c:v>
                </c:pt>
                <c:pt idx="169">
                  <c:v>363.339</c:v>
                </c:pt>
                <c:pt idx="170">
                  <c:v>361.28249999999997</c:v>
                </c:pt>
                <c:pt idx="171">
                  <c:v>359.22450000000003</c:v>
                </c:pt>
                <c:pt idx="172">
                  <c:v>357.363</c:v>
                </c:pt>
                <c:pt idx="173">
                  <c:v>355.42499999999995</c:v>
                </c:pt>
                <c:pt idx="174">
                  <c:v>353.637</c:v>
                </c:pt>
                <c:pt idx="175">
                  <c:v>352.01549999999997</c:v>
                </c:pt>
                <c:pt idx="176">
                  <c:v>350.11649999999997</c:v>
                </c:pt>
                <c:pt idx="177">
                  <c:v>348.62850000000003</c:v>
                </c:pt>
                <c:pt idx="178">
                  <c:v>346.90049999999997</c:v>
                </c:pt>
                <c:pt idx="179">
                  <c:v>345.339</c:v>
                </c:pt>
                <c:pt idx="180">
                  <c:v>343.6755</c:v>
                </c:pt>
                <c:pt idx="181">
                  <c:v>342.12149999999997</c:v>
                </c:pt>
                <c:pt idx="182">
                  <c:v>340.572</c:v>
                </c:pt>
                <c:pt idx="183">
                  <c:v>338.97450000000003</c:v>
                </c:pt>
                <c:pt idx="184">
                  <c:v>337.548</c:v>
                </c:pt>
                <c:pt idx="185">
                  <c:v>335.97450000000003</c:v>
                </c:pt>
                <c:pt idx="186">
                  <c:v>319.572</c:v>
                </c:pt>
                <c:pt idx="187">
                  <c:v>316.64550000000003</c:v>
                </c:pt>
                <c:pt idx="188">
                  <c:v>315.23250000000002</c:v>
                </c:pt>
                <c:pt idx="189">
                  <c:v>314.15250000000003</c:v>
                </c:pt>
                <c:pt idx="190">
                  <c:v>312.9255</c:v>
                </c:pt>
                <c:pt idx="191">
                  <c:v>311.85449999999997</c:v>
                </c:pt>
                <c:pt idx="192">
                  <c:v>310.6995</c:v>
                </c:pt>
                <c:pt idx="193">
                  <c:v>309.58050000000003</c:v>
                </c:pt>
                <c:pt idx="194">
                  <c:v>308.49149999999997</c:v>
                </c:pt>
                <c:pt idx="195">
                  <c:v>307.24950000000001</c:v>
                </c:pt>
                <c:pt idx="196">
                  <c:v>306.16949999999997</c:v>
                </c:pt>
                <c:pt idx="197">
                  <c:v>304.92449999999997</c:v>
                </c:pt>
                <c:pt idx="198">
                  <c:v>303.726</c:v>
                </c:pt>
                <c:pt idx="199">
                  <c:v>302.685</c:v>
                </c:pt>
                <c:pt idx="200">
                  <c:v>301.33949999999999</c:v>
                </c:pt>
                <c:pt idx="201">
                  <c:v>300.26549999999997</c:v>
                </c:pt>
                <c:pt idx="202">
                  <c:v>298.97550000000001</c:v>
                </c:pt>
                <c:pt idx="203">
                  <c:v>297.822</c:v>
                </c:pt>
                <c:pt idx="204">
                  <c:v>296.54999999999995</c:v>
                </c:pt>
                <c:pt idx="205">
                  <c:v>295.28249999999997</c:v>
                </c:pt>
                <c:pt idx="206">
                  <c:v>294.072</c:v>
                </c:pt>
                <c:pt idx="207">
                  <c:v>292.77449999999999</c:v>
                </c:pt>
                <c:pt idx="208">
                  <c:v>291.58050000000003</c:v>
                </c:pt>
                <c:pt idx="209">
                  <c:v>290.25</c:v>
                </c:pt>
                <c:pt idx="210">
                  <c:v>289.01549999999997</c:v>
                </c:pt>
                <c:pt idx="211">
                  <c:v>287.78249999999997</c:v>
                </c:pt>
                <c:pt idx="212">
                  <c:v>286.39350000000002</c:v>
                </c:pt>
                <c:pt idx="213">
                  <c:v>285.26549999999997</c:v>
                </c:pt>
                <c:pt idx="214">
                  <c:v>283.875</c:v>
                </c:pt>
                <c:pt idx="215">
                  <c:v>282.678</c:v>
                </c:pt>
                <c:pt idx="216">
                  <c:v>281.27549999999997</c:v>
                </c:pt>
                <c:pt idx="217">
                  <c:v>280.01549999999997</c:v>
                </c:pt>
                <c:pt idx="218">
                  <c:v>278.75850000000003</c:v>
                </c:pt>
                <c:pt idx="219">
                  <c:v>277.39949999999999</c:v>
                </c:pt>
                <c:pt idx="220">
                  <c:v>276.16949999999997</c:v>
                </c:pt>
                <c:pt idx="221">
                  <c:v>274.79999999999995</c:v>
                </c:pt>
                <c:pt idx="222">
                  <c:v>273.53249999999997</c:v>
                </c:pt>
                <c:pt idx="223">
                  <c:v>272.322</c:v>
                </c:pt>
                <c:pt idx="224">
                  <c:v>270.88350000000003</c:v>
                </c:pt>
                <c:pt idx="225">
                  <c:v>269.709</c:v>
                </c:pt>
                <c:pt idx="226">
                  <c:v>268.37549999999999</c:v>
                </c:pt>
                <c:pt idx="227">
                  <c:v>267.12149999999997</c:v>
                </c:pt>
                <c:pt idx="228">
                  <c:v>265.75049999999999</c:v>
                </c:pt>
                <c:pt idx="229">
                  <c:v>264.50850000000003</c:v>
                </c:pt>
                <c:pt idx="230">
                  <c:v>263.226</c:v>
                </c:pt>
                <c:pt idx="231">
                  <c:v>261.87450000000001</c:v>
                </c:pt>
                <c:pt idx="232">
                  <c:v>260.637</c:v>
                </c:pt>
                <c:pt idx="233">
                  <c:v>259.27499999999998</c:v>
                </c:pt>
                <c:pt idx="234">
                  <c:v>258.024</c:v>
                </c:pt>
                <c:pt idx="235">
                  <c:v>256.815</c:v>
                </c:pt>
                <c:pt idx="236">
                  <c:v>255.41400000000002</c:v>
                </c:pt>
                <c:pt idx="237">
                  <c:v>254.25</c:v>
                </c:pt>
                <c:pt idx="238">
                  <c:v>253.00049999999999</c:v>
                </c:pt>
                <c:pt idx="239">
                  <c:v>251.85449999999997</c:v>
                </c:pt>
                <c:pt idx="240">
                  <c:v>250.64999999999998</c:v>
                </c:pt>
                <c:pt idx="241">
                  <c:v>249.5085</c:v>
                </c:pt>
                <c:pt idx="242">
                  <c:v>248.44349999999997</c:v>
                </c:pt>
                <c:pt idx="243">
                  <c:v>247.22550000000001</c:v>
                </c:pt>
                <c:pt idx="244">
                  <c:v>246.21750000000003</c:v>
                </c:pt>
                <c:pt idx="245">
                  <c:v>245.0505</c:v>
                </c:pt>
                <c:pt idx="246">
                  <c:v>244.01549999999997</c:v>
                </c:pt>
                <c:pt idx="247">
                  <c:v>243.024</c:v>
                </c:pt>
                <c:pt idx="248">
                  <c:v>241.875</c:v>
                </c:pt>
                <c:pt idx="249">
                  <c:v>240.9915</c:v>
                </c:pt>
                <c:pt idx="250">
                  <c:v>239.92499999999998</c:v>
                </c:pt>
                <c:pt idx="251">
                  <c:v>238.959</c:v>
                </c:pt>
                <c:pt idx="252">
                  <c:v>237.9495</c:v>
                </c:pt>
                <c:pt idx="253">
                  <c:v>237</c:v>
                </c:pt>
                <c:pt idx="254">
                  <c:v>236.10449999999997</c:v>
                </c:pt>
                <c:pt idx="255">
                  <c:v>235.09950000000001</c:v>
                </c:pt>
                <c:pt idx="256">
                  <c:v>234.21750000000003</c:v>
                </c:pt>
                <c:pt idx="257">
                  <c:v>233.25</c:v>
                </c:pt>
                <c:pt idx="258">
                  <c:v>232.3305</c:v>
                </c:pt>
                <c:pt idx="259">
                  <c:v>231.459</c:v>
                </c:pt>
                <c:pt idx="260">
                  <c:v>230.41050000000001</c:v>
                </c:pt>
                <c:pt idx="261">
                  <c:v>229.62149999999997</c:v>
                </c:pt>
                <c:pt idx="262">
                  <c:v>228.67499999999998</c:v>
                </c:pt>
                <c:pt idx="263">
                  <c:v>227.8305</c:v>
                </c:pt>
                <c:pt idx="264">
                  <c:v>226.92449999999997</c:v>
                </c:pt>
                <c:pt idx="265">
                  <c:v>226.041</c:v>
                </c:pt>
                <c:pt idx="266">
                  <c:v>225.26549999999997</c:v>
                </c:pt>
                <c:pt idx="267">
                  <c:v>224.35050000000001</c:v>
                </c:pt>
                <c:pt idx="268">
                  <c:v>223.548</c:v>
                </c:pt>
                <c:pt idx="269">
                  <c:v>222.70050000000003</c:v>
                </c:pt>
                <c:pt idx="270">
                  <c:v>221.9025</c:v>
                </c:pt>
                <c:pt idx="271">
                  <c:v>221.10449999999997</c:v>
                </c:pt>
                <c:pt idx="272">
                  <c:v>220.23149999999998</c:v>
                </c:pt>
                <c:pt idx="273">
                  <c:v>219.48450000000003</c:v>
                </c:pt>
                <c:pt idx="274">
                  <c:v>218.65049999999999</c:v>
                </c:pt>
                <c:pt idx="275">
                  <c:v>217.839</c:v>
                </c:pt>
                <c:pt idx="276">
                  <c:v>217.02449999999999</c:v>
                </c:pt>
                <c:pt idx="277">
                  <c:v>216.21750000000003</c:v>
                </c:pt>
                <c:pt idx="278">
                  <c:v>215.4195</c:v>
                </c:pt>
                <c:pt idx="279">
                  <c:v>214.54949999999997</c:v>
                </c:pt>
                <c:pt idx="280">
                  <c:v>213.9915</c:v>
                </c:pt>
                <c:pt idx="281">
                  <c:v>213.1755</c:v>
                </c:pt>
                <c:pt idx="282">
                  <c:v>212.178</c:v>
                </c:pt>
                <c:pt idx="283">
                  <c:v>211.428</c:v>
                </c:pt>
                <c:pt idx="284">
                  <c:v>210.59549999999999</c:v>
                </c:pt>
                <c:pt idx="285">
                  <c:v>209.87850000000003</c:v>
                </c:pt>
                <c:pt idx="286">
                  <c:v>209.10000000000002</c:v>
                </c:pt>
                <c:pt idx="287">
                  <c:v>208.37850000000003</c:v>
                </c:pt>
                <c:pt idx="288">
                  <c:v>207.60000000000002</c:v>
                </c:pt>
                <c:pt idx="289">
                  <c:v>204.75</c:v>
                </c:pt>
                <c:pt idx="290">
                  <c:v>202.137</c:v>
                </c:pt>
                <c:pt idx="291">
                  <c:v>199.99950000000001</c:v>
                </c:pt>
                <c:pt idx="292">
                  <c:v>198.55650000000003</c:v>
                </c:pt>
                <c:pt idx="293">
                  <c:v>197.54999999999998</c:v>
                </c:pt>
                <c:pt idx="294">
                  <c:v>196.37850000000003</c:v>
                </c:pt>
                <c:pt idx="295">
                  <c:v>195.411</c:v>
                </c:pt>
                <c:pt idx="296">
                  <c:v>194.41050000000001</c:v>
                </c:pt>
                <c:pt idx="297">
                  <c:v>193.64550000000003</c:v>
                </c:pt>
                <c:pt idx="298">
                  <c:v>192.70050000000003</c:v>
                </c:pt>
                <c:pt idx="299">
                  <c:v>191.8785</c:v>
                </c:pt>
                <c:pt idx="300">
                  <c:v>190.875</c:v>
                </c:pt>
                <c:pt idx="301">
                  <c:v>189.9195</c:v>
                </c:pt>
                <c:pt idx="302">
                  <c:v>188.952</c:v>
                </c:pt>
                <c:pt idx="303">
                  <c:v>187.90049999999999</c:v>
                </c:pt>
                <c:pt idx="304">
                  <c:v>186.02149499999999</c:v>
                </c:pt>
                <c:pt idx="305">
                  <c:v>184.16128004999999</c:v>
                </c:pt>
                <c:pt idx="306">
                  <c:v>182.31966724949999</c:v>
                </c:pt>
                <c:pt idx="307">
                  <c:v>180.49647057700497</c:v>
                </c:pt>
                <c:pt idx="308">
                  <c:v>178.69150587123491</c:v>
                </c:pt>
                <c:pt idx="309">
                  <c:v>176.90459081252257</c:v>
                </c:pt>
                <c:pt idx="310">
                  <c:v>175.13554490439734</c:v>
                </c:pt>
                <c:pt idx="311">
                  <c:v>173.38418945535335</c:v>
                </c:pt>
                <c:pt idx="312">
                  <c:v>171.65034756079982</c:v>
                </c:pt>
                <c:pt idx="313">
                  <c:v>169.93384408519182</c:v>
                </c:pt>
                <c:pt idx="314">
                  <c:v>168.23450564433989</c:v>
                </c:pt>
                <c:pt idx="315">
                  <c:v>166.55216058789648</c:v>
                </c:pt>
                <c:pt idx="316">
                  <c:v>164.8866389820175</c:v>
                </c:pt>
                <c:pt idx="317">
                  <c:v>163.23777259219733</c:v>
                </c:pt>
                <c:pt idx="318">
                  <c:v>161.60539486627536</c:v>
                </c:pt>
                <c:pt idx="319">
                  <c:v>159.98934091761259</c:v>
                </c:pt>
                <c:pt idx="320">
                  <c:v>158.38944750843646</c:v>
                </c:pt>
                <c:pt idx="321">
                  <c:v>156.80555303335208</c:v>
                </c:pt>
                <c:pt idx="322">
                  <c:v>155.23749750301857</c:v>
                </c:pt>
                <c:pt idx="323">
                  <c:v>153.6851225279884</c:v>
                </c:pt>
                <c:pt idx="324">
                  <c:v>152.14827130270851</c:v>
                </c:pt>
                <c:pt idx="325">
                  <c:v>150.62678858968141</c:v>
                </c:pt>
                <c:pt idx="326">
                  <c:v>149.12052070378459</c:v>
                </c:pt>
                <c:pt idx="327">
                  <c:v>147.62931549674676</c:v>
                </c:pt>
                <c:pt idx="328">
                  <c:v>146.15302234177929</c:v>
                </c:pt>
                <c:pt idx="329">
                  <c:v>144.69149211836151</c:v>
                </c:pt>
                <c:pt idx="330">
                  <c:v>143.2445771971779</c:v>
                </c:pt>
                <c:pt idx="331">
                  <c:v>141.81213142520613</c:v>
                </c:pt>
                <c:pt idx="332">
                  <c:v>140.39401011095407</c:v>
                </c:pt>
                <c:pt idx="333">
                  <c:v>138.99007000984452</c:v>
                </c:pt>
                <c:pt idx="334">
                  <c:v>137.60016930974606</c:v>
                </c:pt>
                <c:pt idx="335">
                  <c:v>136.2241676166486</c:v>
                </c:pt>
                <c:pt idx="336">
                  <c:v>134.86192594048211</c:v>
                </c:pt>
                <c:pt idx="337">
                  <c:v>133.5133066810773</c:v>
                </c:pt>
                <c:pt idx="338">
                  <c:v>132.17817361426651</c:v>
                </c:pt>
                <c:pt idx="339">
                  <c:v>130.85639187812384</c:v>
                </c:pt>
                <c:pt idx="340">
                  <c:v>129.54782795934261</c:v>
                </c:pt>
                <c:pt idx="341">
                  <c:v>128.25234967974919</c:v>
                </c:pt>
                <c:pt idx="342">
                  <c:v>126.96982618295169</c:v>
                </c:pt>
                <c:pt idx="343">
                  <c:v>125.70012792112217</c:v>
                </c:pt>
                <c:pt idx="344">
                  <c:v>124.44312664191095</c:v>
                </c:pt>
                <c:pt idx="345">
                  <c:v>123.19869537549184</c:v>
                </c:pt>
                <c:pt idx="346">
                  <c:v>121.96670842173693</c:v>
                </c:pt>
                <c:pt idx="347">
                  <c:v>120.74704133751955</c:v>
                </c:pt>
                <c:pt idx="348">
                  <c:v>119.53957092414436</c:v>
                </c:pt>
                <c:pt idx="349">
                  <c:v>118.34417521490292</c:v>
                </c:pt>
                <c:pt idx="350">
                  <c:v>117.16073346275388</c:v>
                </c:pt>
                <c:pt idx="351">
                  <c:v>115.98912612812634</c:v>
                </c:pt>
                <c:pt idx="352">
                  <c:v>114.82923486684508</c:v>
                </c:pt>
                <c:pt idx="353">
                  <c:v>113.68094251817664</c:v>
                </c:pt>
                <c:pt idx="354">
                  <c:v>112.54413309299487</c:v>
                </c:pt>
                <c:pt idx="355">
                  <c:v>111.41869176206492</c:v>
                </c:pt>
                <c:pt idx="356">
                  <c:v>110.30450484444427</c:v>
                </c:pt>
                <c:pt idx="357">
                  <c:v>109.20145979599982</c:v>
                </c:pt>
                <c:pt idx="358">
                  <c:v>108.10944519803982</c:v>
                </c:pt>
                <c:pt idx="359">
                  <c:v>107.02835074605942</c:v>
                </c:pt>
                <c:pt idx="360">
                  <c:v>105.95806723859882</c:v>
                </c:pt>
                <c:pt idx="361">
                  <c:v>104.89848656621282</c:v>
                </c:pt>
                <c:pt idx="362">
                  <c:v>103.84950170055069</c:v>
                </c:pt>
                <c:pt idx="363">
                  <c:v>102.81100668354519</c:v>
                </c:pt>
                <c:pt idx="364">
                  <c:v>101.78289661670973</c:v>
                </c:pt>
                <c:pt idx="365">
                  <c:v>100.76506765054263</c:v>
                </c:pt>
                <c:pt idx="366">
                  <c:v>99.757416974037213</c:v>
                </c:pt>
                <c:pt idx="367">
                  <c:v>98.759842804296838</c:v>
                </c:pt>
                <c:pt idx="368">
                  <c:v>97.772244376253866</c:v>
                </c:pt>
                <c:pt idx="369">
                  <c:v>96.794521932491321</c:v>
                </c:pt>
                <c:pt idx="370">
                  <c:v>95.826576713166403</c:v>
                </c:pt>
                <c:pt idx="371">
                  <c:v>94.86831094603474</c:v>
                </c:pt>
                <c:pt idx="372">
                  <c:v>93.919627836574392</c:v>
                </c:pt>
                <c:pt idx="373">
                  <c:v>92.98043155820865</c:v>
                </c:pt>
                <c:pt idx="374">
                  <c:v>92.050627242626561</c:v>
                </c:pt>
                <c:pt idx="375">
                  <c:v>91.130120970200295</c:v>
                </c:pt>
                <c:pt idx="376">
                  <c:v>90.218819760498292</c:v>
                </c:pt>
                <c:pt idx="377">
                  <c:v>89.316631562893306</c:v>
                </c:pt>
                <c:pt idx="378">
                  <c:v>88.423465247264375</c:v>
                </c:pt>
                <c:pt idx="379">
                  <c:v>87.539230594791732</c:v>
                </c:pt>
                <c:pt idx="380">
                  <c:v>86.66383828884382</c:v>
                </c:pt>
                <c:pt idx="381">
                  <c:v>85.797199905955381</c:v>
                </c:pt>
                <c:pt idx="382">
                  <c:v>84.939227906895823</c:v>
                </c:pt>
                <c:pt idx="383">
                  <c:v>84.089835627826858</c:v>
                </c:pt>
                <c:pt idx="384">
                  <c:v>83.248937271548584</c:v>
                </c:pt>
                <c:pt idx="385">
                  <c:v>82.416447898833098</c:v>
                </c:pt>
                <c:pt idx="386">
                  <c:v>81.592283419844762</c:v>
                </c:pt>
                <c:pt idx="387">
                  <c:v>80.776360585646316</c:v>
                </c:pt>
                <c:pt idx="388">
                  <c:v>79.968596979789851</c:v>
                </c:pt>
                <c:pt idx="389">
                  <c:v>79.168911009991945</c:v>
                </c:pt>
                <c:pt idx="390">
                  <c:v>78.377221899892021</c:v>
                </c:pt>
                <c:pt idx="391">
                  <c:v>77.593449680893102</c:v>
                </c:pt>
                <c:pt idx="392">
                  <c:v>76.817515184084172</c:v>
                </c:pt>
                <c:pt idx="393">
                  <c:v>76.049340032243336</c:v>
                </c:pt>
                <c:pt idx="394">
                  <c:v>75.288846631920904</c:v>
                </c:pt>
                <c:pt idx="395">
                  <c:v>74.535958165601699</c:v>
                </c:pt>
                <c:pt idx="396">
                  <c:v>73.79059858394568</c:v>
                </c:pt>
                <c:pt idx="397">
                  <c:v>73.052692598106219</c:v>
                </c:pt>
                <c:pt idx="398">
                  <c:v>72.322165672125152</c:v>
                </c:pt>
                <c:pt idx="399">
                  <c:v>71.598944015403902</c:v>
                </c:pt>
                <c:pt idx="400">
                  <c:v>70.882954575249869</c:v>
                </c:pt>
                <c:pt idx="401">
                  <c:v>70.174125029497375</c:v>
                </c:pt>
                <c:pt idx="402">
                  <c:v>69.472383779202403</c:v>
                </c:pt>
                <c:pt idx="403">
                  <c:v>68.777659941410377</c:v>
                </c:pt>
                <c:pt idx="404">
                  <c:v>68.08988334199627</c:v>
                </c:pt>
                <c:pt idx="405">
                  <c:v>67.40898450857631</c:v>
                </c:pt>
                <c:pt idx="406">
                  <c:v>66.73489466349055</c:v>
                </c:pt>
                <c:pt idx="407">
                  <c:v>66.067545716855648</c:v>
                </c:pt>
                <c:pt idx="408">
                  <c:v>65.406870259687096</c:v>
                </c:pt>
                <c:pt idx="409">
                  <c:v>64.752801557090223</c:v>
                </c:pt>
                <c:pt idx="410">
                  <c:v>64.105273541519324</c:v>
                </c:pt>
                <c:pt idx="411">
                  <c:v>63.46422080610413</c:v>
                </c:pt>
                <c:pt idx="412">
                  <c:v>62.829578598043085</c:v>
                </c:pt>
                <c:pt idx="413">
                  <c:v>62.201282812062651</c:v>
                </c:pt>
                <c:pt idx="414">
                  <c:v>61.579269983942027</c:v>
                </c:pt>
                <c:pt idx="415">
                  <c:v>60.963477284102609</c:v>
                </c:pt>
                <c:pt idx="416">
                  <c:v>60.353842511261583</c:v>
                </c:pt>
                <c:pt idx="417">
                  <c:v>59.750304086148965</c:v>
                </c:pt>
                <c:pt idx="418">
                  <c:v>59.152801045287475</c:v>
                </c:pt>
                <c:pt idx="419">
                  <c:v>58.561273034834599</c:v>
                </c:pt>
                <c:pt idx="420">
                  <c:v>57.975660304486254</c:v>
                </c:pt>
                <c:pt idx="421">
                  <c:v>57.395903701441391</c:v>
                </c:pt>
                <c:pt idx="422">
                  <c:v>56.821944664426979</c:v>
                </c:pt>
                <c:pt idx="423">
                  <c:v>56.253725217782709</c:v>
                </c:pt>
                <c:pt idx="424">
                  <c:v>55.691187965604882</c:v>
                </c:pt>
                <c:pt idx="425">
                  <c:v>55.134276085948834</c:v>
                </c:pt>
                <c:pt idx="426">
                  <c:v>54.582933325089343</c:v>
                </c:pt>
                <c:pt idx="427">
                  <c:v>54.03710399183845</c:v>
                </c:pt>
                <c:pt idx="428">
                  <c:v>53.496732951920066</c:v>
                </c:pt>
                <c:pt idx="429">
                  <c:v>52.961765622400868</c:v>
                </c:pt>
                <c:pt idx="430">
                  <c:v>52.432147966176856</c:v>
                </c:pt>
                <c:pt idx="431">
                  <c:v>51.907826486515084</c:v>
                </c:pt>
                <c:pt idx="432">
                  <c:v>51.388748221649934</c:v>
                </c:pt>
                <c:pt idx="433">
                  <c:v>50.874860739433437</c:v>
                </c:pt>
                <c:pt idx="434">
                  <c:v>50.366112132039099</c:v>
                </c:pt>
                <c:pt idx="435">
                  <c:v>49.862451010718708</c:v>
                </c:pt>
                <c:pt idx="436">
                  <c:v>49.363826500611523</c:v>
                </c:pt>
                <c:pt idx="437">
                  <c:v>48.870188235605404</c:v>
                </c:pt>
                <c:pt idx="438">
                  <c:v>48.38148635324935</c:v>
                </c:pt>
                <c:pt idx="439">
                  <c:v>47.897671489716856</c:v>
                </c:pt>
                <c:pt idx="440">
                  <c:v>47.418694774819684</c:v>
                </c:pt>
                <c:pt idx="441">
                  <c:v>46.94450782707149</c:v>
                </c:pt>
                <c:pt idx="442">
                  <c:v>46.475062748800774</c:v>
                </c:pt>
                <c:pt idx="443">
                  <c:v>46.010312121312765</c:v>
                </c:pt>
                <c:pt idx="444">
                  <c:v>45.550209000099635</c:v>
                </c:pt>
                <c:pt idx="445">
                  <c:v>45.094706910098637</c:v>
                </c:pt>
                <c:pt idx="446">
                  <c:v>44.643759840997653</c:v>
                </c:pt>
                <c:pt idx="447">
                  <c:v>44.197322242587674</c:v>
                </c:pt>
                <c:pt idx="448">
                  <c:v>43.755349020161795</c:v>
                </c:pt>
                <c:pt idx="449">
                  <c:v>43.317795529960179</c:v>
                </c:pt>
                <c:pt idx="450">
                  <c:v>42.884617574660574</c:v>
                </c:pt>
                <c:pt idx="451">
                  <c:v>42.455771398913967</c:v>
                </c:pt>
                <c:pt idx="452">
                  <c:v>42.031213684924829</c:v>
                </c:pt>
                <c:pt idx="453">
                  <c:v>41.610901548075582</c:v>
                </c:pt>
                <c:pt idx="454">
                  <c:v>41.194792532594825</c:v>
                </c:pt>
                <c:pt idx="455">
                  <c:v>40.782844607268878</c:v>
                </c:pt>
                <c:pt idx="456">
                  <c:v>40.375016161196186</c:v>
                </c:pt>
                <c:pt idx="457">
                  <c:v>39.971265999584226</c:v>
                </c:pt>
                <c:pt idx="458">
                  <c:v>39.571553339588384</c:v>
                </c:pt>
                <c:pt idx="459">
                  <c:v>39.175837806192497</c:v>
                </c:pt>
                <c:pt idx="460">
                  <c:v>38.784079428130575</c:v>
                </c:pt>
                <c:pt idx="461">
                  <c:v>38.396238633849272</c:v>
                </c:pt>
                <c:pt idx="462">
                  <c:v>38.012276247510776</c:v>
                </c:pt>
                <c:pt idx="463">
                  <c:v>37.632153485035666</c:v>
                </c:pt>
                <c:pt idx="464">
                  <c:v>37.255831950185311</c:v>
                </c:pt>
                <c:pt idx="465">
                  <c:v>36.883273630683455</c:v>
                </c:pt>
                <c:pt idx="466">
                  <c:v>36.514440894376619</c:v>
                </c:pt>
                <c:pt idx="467">
                  <c:v>36.149296485432856</c:v>
                </c:pt>
                <c:pt idx="468">
                  <c:v>35.787803520578528</c:v>
                </c:pt>
                <c:pt idx="469">
                  <c:v>35.429925485372742</c:v>
                </c:pt>
                <c:pt idx="470">
                  <c:v>35.075626230519013</c:v>
                </c:pt>
                <c:pt idx="471">
                  <c:v>34.724869968213824</c:v>
                </c:pt>
                <c:pt idx="472">
                  <c:v>34.377621268531684</c:v>
                </c:pt>
                <c:pt idx="473">
                  <c:v>34.033845055846363</c:v>
                </c:pt>
                <c:pt idx="474">
                  <c:v>33.693506605287901</c:v>
                </c:pt>
                <c:pt idx="475">
                  <c:v>33.35657153923502</c:v>
                </c:pt>
                <c:pt idx="476">
                  <c:v>33.023005823842666</c:v>
                </c:pt>
                <c:pt idx="477">
                  <c:v>32.692775765604239</c:v>
                </c:pt>
                <c:pt idx="478">
                  <c:v>32.365848007948195</c:v>
                </c:pt>
                <c:pt idx="479">
                  <c:v>32.042189527868715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ED5-4B7A-A185-BA3C3DDB3E54}"/>
            </c:ext>
          </c:extLst>
        </c:ser>
        <c:ser>
          <c:idx val="13"/>
          <c:order val="13"/>
          <c:tx>
            <c:strRef>
              <c:f>'FPSO1 Base'!$P$2</c:f>
              <c:strCache>
                <c:ptCount val="1"/>
                <c:pt idx="0">
                  <c:v>P14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Base'!$P$3:$P$730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284.25</c:v>
                </c:pt>
                <c:pt idx="45">
                  <c:v>333.58050000000003</c:v>
                </c:pt>
                <c:pt idx="46">
                  <c:v>366.1995</c:v>
                </c:pt>
                <c:pt idx="47">
                  <c:v>374.709</c:v>
                </c:pt>
                <c:pt idx="48">
                  <c:v>392.84999999999997</c:v>
                </c:pt>
                <c:pt idx="49">
                  <c:v>406.20899999999995</c:v>
                </c:pt>
                <c:pt idx="50">
                  <c:v>415.089</c:v>
                </c:pt>
                <c:pt idx="51">
                  <c:v>420.42450000000002</c:v>
                </c:pt>
                <c:pt idx="52">
                  <c:v>423</c:v>
                </c:pt>
                <c:pt idx="53">
                  <c:v>424.32449999999994</c:v>
                </c:pt>
                <c:pt idx="54">
                  <c:v>421.11300000000006</c:v>
                </c:pt>
                <c:pt idx="55">
                  <c:v>420.822</c:v>
                </c:pt>
                <c:pt idx="56">
                  <c:v>420.99149999999997</c:v>
                </c:pt>
                <c:pt idx="57">
                  <c:v>421.11300000000006</c:v>
                </c:pt>
                <c:pt idx="58">
                  <c:v>421.15049999999997</c:v>
                </c:pt>
                <c:pt idx="59">
                  <c:v>421.20899999999995</c:v>
                </c:pt>
                <c:pt idx="60">
                  <c:v>421.20000000000005</c:v>
                </c:pt>
                <c:pt idx="61">
                  <c:v>421.428</c:v>
                </c:pt>
                <c:pt idx="62">
                  <c:v>421.548</c:v>
                </c:pt>
                <c:pt idx="63">
                  <c:v>421.62450000000001</c:v>
                </c:pt>
                <c:pt idx="64">
                  <c:v>421.548</c:v>
                </c:pt>
                <c:pt idx="65">
                  <c:v>421.34999999999997</c:v>
                </c:pt>
                <c:pt idx="66">
                  <c:v>421.452</c:v>
                </c:pt>
                <c:pt idx="67">
                  <c:v>421.13699999999994</c:v>
                </c:pt>
                <c:pt idx="68">
                  <c:v>420.50850000000003</c:v>
                </c:pt>
                <c:pt idx="69">
                  <c:v>419.928</c:v>
                </c:pt>
                <c:pt idx="70">
                  <c:v>419.12549999999999</c:v>
                </c:pt>
                <c:pt idx="71">
                  <c:v>418.161</c:v>
                </c:pt>
                <c:pt idx="72">
                  <c:v>417.07500000000005</c:v>
                </c:pt>
                <c:pt idx="73">
                  <c:v>415.98449999999997</c:v>
                </c:pt>
                <c:pt idx="74">
                  <c:v>414.75</c:v>
                </c:pt>
                <c:pt idx="75">
                  <c:v>413.40000000000003</c:v>
                </c:pt>
                <c:pt idx="76">
                  <c:v>412.64549999999997</c:v>
                </c:pt>
                <c:pt idx="77">
                  <c:v>411.02549999999997</c:v>
                </c:pt>
                <c:pt idx="78">
                  <c:v>409.69350000000003</c:v>
                </c:pt>
                <c:pt idx="79">
                  <c:v>407.90250000000003</c:v>
                </c:pt>
                <c:pt idx="80">
                  <c:v>405.64349999999996</c:v>
                </c:pt>
                <c:pt idx="81">
                  <c:v>403.88699999999994</c:v>
                </c:pt>
                <c:pt idx="82">
                  <c:v>401.74950000000001</c:v>
                </c:pt>
                <c:pt idx="83">
                  <c:v>399.84749999999997</c:v>
                </c:pt>
                <c:pt idx="84">
                  <c:v>397.72499999999997</c:v>
                </c:pt>
                <c:pt idx="85">
                  <c:v>395.68500000000006</c:v>
                </c:pt>
                <c:pt idx="86">
                  <c:v>393.702</c:v>
                </c:pt>
                <c:pt idx="87">
                  <c:v>391.5</c:v>
                </c:pt>
                <c:pt idx="88">
                  <c:v>389.51550000000003</c:v>
                </c:pt>
                <c:pt idx="89">
                  <c:v>387.32549999999998</c:v>
                </c:pt>
                <c:pt idx="90">
                  <c:v>383.51549999999997</c:v>
                </c:pt>
                <c:pt idx="91">
                  <c:v>381.48450000000003</c:v>
                </c:pt>
                <c:pt idx="92">
                  <c:v>379.42200000000003</c:v>
                </c:pt>
                <c:pt idx="93">
                  <c:v>377.685</c:v>
                </c:pt>
                <c:pt idx="94">
                  <c:v>375.75</c:v>
                </c:pt>
                <c:pt idx="95">
                  <c:v>373.428</c:v>
                </c:pt>
                <c:pt idx="96">
                  <c:v>370.3245</c:v>
                </c:pt>
                <c:pt idx="97">
                  <c:v>367.33050000000003</c:v>
                </c:pt>
                <c:pt idx="98">
                  <c:v>364.37850000000003</c:v>
                </c:pt>
                <c:pt idx="99">
                  <c:v>361.35</c:v>
                </c:pt>
                <c:pt idx="100">
                  <c:v>358.572</c:v>
                </c:pt>
                <c:pt idx="101">
                  <c:v>355.57500000000005</c:v>
                </c:pt>
                <c:pt idx="102">
                  <c:v>349.37850000000003</c:v>
                </c:pt>
                <c:pt idx="103">
                  <c:v>346.35449999999997</c:v>
                </c:pt>
                <c:pt idx="104">
                  <c:v>343.71449999999999</c:v>
                </c:pt>
                <c:pt idx="105">
                  <c:v>341.51549999999997</c:v>
                </c:pt>
                <c:pt idx="106">
                  <c:v>339.02549999999997</c:v>
                </c:pt>
                <c:pt idx="107">
                  <c:v>336.726</c:v>
                </c:pt>
                <c:pt idx="108">
                  <c:v>334.27499999999998</c:v>
                </c:pt>
                <c:pt idx="109">
                  <c:v>331.959</c:v>
                </c:pt>
                <c:pt idx="110">
                  <c:v>329.637</c:v>
                </c:pt>
                <c:pt idx="111">
                  <c:v>327.25049999999999</c:v>
                </c:pt>
                <c:pt idx="112">
                  <c:v>325.089</c:v>
                </c:pt>
                <c:pt idx="113">
                  <c:v>322.84950000000003</c:v>
                </c:pt>
                <c:pt idx="114">
                  <c:v>320.73450000000003</c:v>
                </c:pt>
                <c:pt idx="115">
                  <c:v>318.702</c:v>
                </c:pt>
                <c:pt idx="116">
                  <c:v>316.47300000000001</c:v>
                </c:pt>
                <c:pt idx="117">
                  <c:v>314.565</c:v>
                </c:pt>
                <c:pt idx="118">
                  <c:v>312.34950000000003</c:v>
                </c:pt>
                <c:pt idx="119">
                  <c:v>310.30650000000003</c:v>
                </c:pt>
                <c:pt idx="120">
                  <c:v>308.0745</c:v>
                </c:pt>
                <c:pt idx="121">
                  <c:v>305.976</c:v>
                </c:pt>
                <c:pt idx="122">
                  <c:v>303.87149999999997</c:v>
                </c:pt>
                <c:pt idx="123">
                  <c:v>301.75049999999999</c:v>
                </c:pt>
                <c:pt idx="124">
                  <c:v>299.709</c:v>
                </c:pt>
                <c:pt idx="125">
                  <c:v>297.60000000000002</c:v>
                </c:pt>
                <c:pt idx="126">
                  <c:v>295.59749999999997</c:v>
                </c:pt>
                <c:pt idx="127">
                  <c:v>293.661</c:v>
                </c:pt>
                <c:pt idx="128">
                  <c:v>291.50850000000003</c:v>
                </c:pt>
                <c:pt idx="129">
                  <c:v>289.71750000000003</c:v>
                </c:pt>
                <c:pt idx="130">
                  <c:v>287.70000000000005</c:v>
                </c:pt>
                <c:pt idx="131">
                  <c:v>285.774</c:v>
                </c:pt>
                <c:pt idx="132">
                  <c:v>283.84950000000003</c:v>
                </c:pt>
                <c:pt idx="133">
                  <c:v>281.976</c:v>
                </c:pt>
                <c:pt idx="134">
                  <c:v>280.113</c:v>
                </c:pt>
                <c:pt idx="135">
                  <c:v>278.22450000000003</c:v>
                </c:pt>
                <c:pt idx="136">
                  <c:v>276.435</c:v>
                </c:pt>
                <c:pt idx="137">
                  <c:v>274.57500000000005</c:v>
                </c:pt>
                <c:pt idx="138">
                  <c:v>272.85449999999997</c:v>
                </c:pt>
                <c:pt idx="139">
                  <c:v>271.137</c:v>
                </c:pt>
                <c:pt idx="140">
                  <c:v>269.3535</c:v>
                </c:pt>
                <c:pt idx="141">
                  <c:v>296.80650000000003</c:v>
                </c:pt>
                <c:pt idx="142">
                  <c:v>302.35050000000001</c:v>
                </c:pt>
                <c:pt idx="143">
                  <c:v>303.12149999999997</c:v>
                </c:pt>
                <c:pt idx="144">
                  <c:v>303.12450000000001</c:v>
                </c:pt>
                <c:pt idx="145">
                  <c:v>302.661</c:v>
                </c:pt>
                <c:pt idx="146">
                  <c:v>301.959</c:v>
                </c:pt>
                <c:pt idx="147">
                  <c:v>301.125</c:v>
                </c:pt>
                <c:pt idx="148">
                  <c:v>300.19349999999997</c:v>
                </c:pt>
                <c:pt idx="149">
                  <c:v>299.14949999999999</c:v>
                </c:pt>
                <c:pt idx="150">
                  <c:v>295.30650000000003</c:v>
                </c:pt>
                <c:pt idx="151">
                  <c:v>293.85449999999997</c:v>
                </c:pt>
                <c:pt idx="152">
                  <c:v>292.82100000000003</c:v>
                </c:pt>
                <c:pt idx="153">
                  <c:v>291.87149999999997</c:v>
                </c:pt>
                <c:pt idx="154">
                  <c:v>290.85000000000002</c:v>
                </c:pt>
                <c:pt idx="155">
                  <c:v>289.791</c:v>
                </c:pt>
                <c:pt idx="156">
                  <c:v>288.70050000000003</c:v>
                </c:pt>
                <c:pt idx="157">
                  <c:v>287.589</c:v>
                </c:pt>
                <c:pt idx="158">
                  <c:v>286.452</c:v>
                </c:pt>
                <c:pt idx="159">
                  <c:v>285.27449999999999</c:v>
                </c:pt>
                <c:pt idx="160">
                  <c:v>285.024</c:v>
                </c:pt>
                <c:pt idx="161">
                  <c:v>284.8245</c:v>
                </c:pt>
                <c:pt idx="162">
                  <c:v>285.14550000000003</c:v>
                </c:pt>
                <c:pt idx="163">
                  <c:v>285.048</c:v>
                </c:pt>
                <c:pt idx="164">
                  <c:v>284.8125</c:v>
                </c:pt>
                <c:pt idx="165">
                  <c:v>284.46750000000003</c:v>
                </c:pt>
                <c:pt idx="166">
                  <c:v>283.97550000000001</c:v>
                </c:pt>
                <c:pt idx="167">
                  <c:v>283.524</c:v>
                </c:pt>
                <c:pt idx="168">
                  <c:v>282.9495</c:v>
                </c:pt>
                <c:pt idx="169">
                  <c:v>282.387</c:v>
                </c:pt>
                <c:pt idx="170">
                  <c:v>281.73450000000003</c:v>
                </c:pt>
                <c:pt idx="171">
                  <c:v>281.02499999999998</c:v>
                </c:pt>
                <c:pt idx="172">
                  <c:v>280.35449999999997</c:v>
                </c:pt>
                <c:pt idx="173">
                  <c:v>279.52499999999998</c:v>
                </c:pt>
                <c:pt idx="174">
                  <c:v>278.75850000000003</c:v>
                </c:pt>
                <c:pt idx="175">
                  <c:v>277.98450000000003</c:v>
                </c:pt>
                <c:pt idx="176">
                  <c:v>277.07100000000003</c:v>
                </c:pt>
                <c:pt idx="177">
                  <c:v>276.26549999999997</c:v>
                </c:pt>
                <c:pt idx="178">
                  <c:v>275.37450000000001</c:v>
                </c:pt>
                <c:pt idx="179">
                  <c:v>274.452</c:v>
                </c:pt>
                <c:pt idx="180">
                  <c:v>273.49950000000001</c:v>
                </c:pt>
                <c:pt idx="181">
                  <c:v>272.565</c:v>
                </c:pt>
                <c:pt idx="182">
                  <c:v>271.59749999999997</c:v>
                </c:pt>
                <c:pt idx="183">
                  <c:v>270.5745</c:v>
                </c:pt>
                <c:pt idx="184">
                  <c:v>269.589</c:v>
                </c:pt>
                <c:pt idx="185">
                  <c:v>268.54949999999997</c:v>
                </c:pt>
                <c:pt idx="186">
                  <c:v>258.26549999999997</c:v>
                </c:pt>
                <c:pt idx="187">
                  <c:v>256.089</c:v>
                </c:pt>
                <c:pt idx="188">
                  <c:v>255.43950000000001</c:v>
                </c:pt>
                <c:pt idx="189">
                  <c:v>254.952</c:v>
                </c:pt>
                <c:pt idx="190">
                  <c:v>254.4255</c:v>
                </c:pt>
                <c:pt idx="191">
                  <c:v>253.791</c:v>
                </c:pt>
                <c:pt idx="192">
                  <c:v>253.17449999999997</c:v>
                </c:pt>
                <c:pt idx="193">
                  <c:v>252.459</c:v>
                </c:pt>
                <c:pt idx="194">
                  <c:v>251.7585</c:v>
                </c:pt>
                <c:pt idx="195">
                  <c:v>250.97550000000001</c:v>
                </c:pt>
                <c:pt idx="196">
                  <c:v>250.209</c:v>
                </c:pt>
                <c:pt idx="197">
                  <c:v>249.34950000000001</c:v>
                </c:pt>
                <c:pt idx="198">
                  <c:v>248.4915</c:v>
                </c:pt>
                <c:pt idx="199">
                  <c:v>247.64550000000003</c:v>
                </c:pt>
                <c:pt idx="200">
                  <c:v>246.66899999999998</c:v>
                </c:pt>
                <c:pt idx="201">
                  <c:v>245.87850000000003</c:v>
                </c:pt>
                <c:pt idx="202">
                  <c:v>244.84950000000001</c:v>
                </c:pt>
                <c:pt idx="203">
                  <c:v>243.96750000000003</c:v>
                </c:pt>
                <c:pt idx="204">
                  <c:v>242.92499999999998</c:v>
                </c:pt>
                <c:pt idx="205">
                  <c:v>241.98450000000003</c:v>
                </c:pt>
                <c:pt idx="206">
                  <c:v>241.01549999999997</c:v>
                </c:pt>
                <c:pt idx="207">
                  <c:v>239.95050000000003</c:v>
                </c:pt>
                <c:pt idx="208">
                  <c:v>239.0085</c:v>
                </c:pt>
                <c:pt idx="209">
                  <c:v>237.9495</c:v>
                </c:pt>
                <c:pt idx="210">
                  <c:v>236.9025</c:v>
                </c:pt>
                <c:pt idx="211">
                  <c:v>235.911</c:v>
                </c:pt>
                <c:pt idx="212">
                  <c:v>234.804</c:v>
                </c:pt>
                <c:pt idx="213">
                  <c:v>233.85449999999997</c:v>
                </c:pt>
                <c:pt idx="214">
                  <c:v>232.77449999999999</c:v>
                </c:pt>
                <c:pt idx="215">
                  <c:v>231.75</c:v>
                </c:pt>
                <c:pt idx="216">
                  <c:v>230.67449999999997</c:v>
                </c:pt>
                <c:pt idx="217">
                  <c:v>229.5975</c:v>
                </c:pt>
                <c:pt idx="218">
                  <c:v>228.5805</c:v>
                </c:pt>
                <c:pt idx="219">
                  <c:v>227.4495</c:v>
                </c:pt>
                <c:pt idx="220">
                  <c:v>226.428</c:v>
                </c:pt>
                <c:pt idx="221">
                  <c:v>225.40049999999999</c:v>
                </c:pt>
                <c:pt idx="222">
                  <c:v>224.322</c:v>
                </c:pt>
                <c:pt idx="223">
                  <c:v>223.35449999999997</c:v>
                </c:pt>
                <c:pt idx="224">
                  <c:v>222.2415</c:v>
                </c:pt>
                <c:pt idx="225">
                  <c:v>221.298</c:v>
                </c:pt>
                <c:pt idx="226">
                  <c:v>220.22550000000001</c:v>
                </c:pt>
                <c:pt idx="227">
                  <c:v>219.2415</c:v>
                </c:pt>
                <c:pt idx="228">
                  <c:v>218.17499999999998</c:v>
                </c:pt>
                <c:pt idx="229">
                  <c:v>217.161</c:v>
                </c:pt>
                <c:pt idx="230">
                  <c:v>216.1695</c:v>
                </c:pt>
                <c:pt idx="231">
                  <c:v>215.12549999999999</c:v>
                </c:pt>
                <c:pt idx="232">
                  <c:v>214.137</c:v>
                </c:pt>
                <c:pt idx="233">
                  <c:v>213.10050000000001</c:v>
                </c:pt>
                <c:pt idx="234">
                  <c:v>212.12850000000003</c:v>
                </c:pt>
                <c:pt idx="235">
                  <c:v>211.185</c:v>
                </c:pt>
                <c:pt idx="236">
                  <c:v>210.1035</c:v>
                </c:pt>
                <c:pt idx="237">
                  <c:v>209.178</c:v>
                </c:pt>
                <c:pt idx="238">
                  <c:v>208.20000000000002</c:v>
                </c:pt>
                <c:pt idx="239">
                  <c:v>207.26549999999997</c:v>
                </c:pt>
                <c:pt idx="240">
                  <c:v>206.27549999999999</c:v>
                </c:pt>
                <c:pt idx="241">
                  <c:v>205.37850000000003</c:v>
                </c:pt>
                <c:pt idx="242">
                  <c:v>204.459</c:v>
                </c:pt>
                <c:pt idx="243">
                  <c:v>203.50049999999999</c:v>
                </c:pt>
                <c:pt idx="244">
                  <c:v>202.62149999999997</c:v>
                </c:pt>
                <c:pt idx="245">
                  <c:v>201.67499999999998</c:v>
                </c:pt>
                <c:pt idx="246">
                  <c:v>200.8305</c:v>
                </c:pt>
                <c:pt idx="247">
                  <c:v>199.935</c:v>
                </c:pt>
                <c:pt idx="248">
                  <c:v>198.96449999999999</c:v>
                </c:pt>
                <c:pt idx="249">
                  <c:v>198.1695</c:v>
                </c:pt>
                <c:pt idx="250">
                  <c:v>197.20050000000003</c:v>
                </c:pt>
                <c:pt idx="251">
                  <c:v>196.35449999999997</c:v>
                </c:pt>
                <c:pt idx="252">
                  <c:v>195.42449999999997</c:v>
                </c:pt>
                <c:pt idx="253">
                  <c:v>194.541</c:v>
                </c:pt>
                <c:pt idx="254">
                  <c:v>193.64550000000003</c:v>
                </c:pt>
                <c:pt idx="255">
                  <c:v>192.70050000000003</c:v>
                </c:pt>
                <c:pt idx="256">
                  <c:v>191.9025</c:v>
                </c:pt>
                <c:pt idx="257">
                  <c:v>190.92449999999999</c:v>
                </c:pt>
                <c:pt idx="258">
                  <c:v>190.137</c:v>
                </c:pt>
                <c:pt idx="259">
                  <c:v>189.291</c:v>
                </c:pt>
                <c:pt idx="260">
                  <c:v>188.3835</c:v>
                </c:pt>
                <c:pt idx="261">
                  <c:v>187.572</c:v>
                </c:pt>
                <c:pt idx="262">
                  <c:v>186.70050000000001</c:v>
                </c:pt>
                <c:pt idx="263">
                  <c:v>185.9025</c:v>
                </c:pt>
                <c:pt idx="264">
                  <c:v>184.97549999999998</c:v>
                </c:pt>
                <c:pt idx="265">
                  <c:v>184.185</c:v>
                </c:pt>
                <c:pt idx="266">
                  <c:v>183.291</c:v>
                </c:pt>
                <c:pt idx="267">
                  <c:v>182.4495</c:v>
                </c:pt>
                <c:pt idx="268">
                  <c:v>181.6215</c:v>
                </c:pt>
                <c:pt idx="269">
                  <c:v>180.70050000000001</c:v>
                </c:pt>
                <c:pt idx="270">
                  <c:v>179.9025</c:v>
                </c:pt>
                <c:pt idx="271">
                  <c:v>179.0565</c:v>
                </c:pt>
                <c:pt idx="272">
                  <c:v>178.125</c:v>
                </c:pt>
                <c:pt idx="273">
                  <c:v>177.363</c:v>
                </c:pt>
                <c:pt idx="274">
                  <c:v>176.47500000000002</c:v>
                </c:pt>
                <c:pt idx="275">
                  <c:v>175.6455</c:v>
                </c:pt>
                <c:pt idx="276">
                  <c:v>174.72450000000001</c:v>
                </c:pt>
                <c:pt idx="277">
                  <c:v>173.928</c:v>
                </c:pt>
                <c:pt idx="278">
                  <c:v>173.0565</c:v>
                </c:pt>
                <c:pt idx="279">
                  <c:v>172.17449999999999</c:v>
                </c:pt>
                <c:pt idx="280">
                  <c:v>171.5085</c:v>
                </c:pt>
                <c:pt idx="281">
                  <c:v>170.67449999999999</c:v>
                </c:pt>
                <c:pt idx="282">
                  <c:v>169.6935</c:v>
                </c:pt>
                <c:pt idx="283">
                  <c:v>168.8475</c:v>
                </c:pt>
                <c:pt idx="284">
                  <c:v>168</c:v>
                </c:pt>
                <c:pt idx="285">
                  <c:v>167.202</c:v>
                </c:pt>
                <c:pt idx="286">
                  <c:v>166.35000000000002</c:v>
                </c:pt>
                <c:pt idx="287">
                  <c:v>165.5565</c:v>
                </c:pt>
                <c:pt idx="288">
                  <c:v>164.67449999999999</c:v>
                </c:pt>
                <c:pt idx="289">
                  <c:v>163.02775499999998</c:v>
                </c:pt>
                <c:pt idx="290">
                  <c:v>161.39747745</c:v>
                </c:pt>
                <c:pt idx="291">
                  <c:v>159.78350267549999</c:v>
                </c:pt>
                <c:pt idx="292">
                  <c:v>158.18566764874498</c:v>
                </c:pt>
                <c:pt idx="293">
                  <c:v>156.60381097225752</c:v>
                </c:pt>
                <c:pt idx="294">
                  <c:v>155.03777286253495</c:v>
                </c:pt>
                <c:pt idx="295">
                  <c:v>153.48739513390959</c:v>
                </c:pt>
                <c:pt idx="296">
                  <c:v>151.95252118257048</c:v>
                </c:pt>
                <c:pt idx="297">
                  <c:v>150.43299597074477</c:v>
                </c:pt>
                <c:pt idx="298">
                  <c:v>148.92866601103731</c:v>
                </c:pt>
                <c:pt idx="299">
                  <c:v>147.43937935092694</c:v>
                </c:pt>
                <c:pt idx="300">
                  <c:v>145.96498555741766</c:v>
                </c:pt>
                <c:pt idx="301">
                  <c:v>144.50533570184348</c:v>
                </c:pt>
                <c:pt idx="302">
                  <c:v>143.06028234482505</c:v>
                </c:pt>
                <c:pt idx="303">
                  <c:v>141.6296795213768</c:v>
                </c:pt>
                <c:pt idx="304">
                  <c:v>140.21338272616302</c:v>
                </c:pt>
                <c:pt idx="305">
                  <c:v>138.8112488989014</c:v>
                </c:pt>
                <c:pt idx="306">
                  <c:v>137.42313640991239</c:v>
                </c:pt>
                <c:pt idx="307">
                  <c:v>136.04890504581326</c:v>
                </c:pt>
                <c:pt idx="308">
                  <c:v>134.68841599535511</c:v>
                </c:pt>
                <c:pt idx="309">
                  <c:v>133.34153183540155</c:v>
                </c:pt>
                <c:pt idx="310">
                  <c:v>132.00811651704754</c:v>
                </c:pt>
                <c:pt idx="311">
                  <c:v>130.68803535187706</c:v>
                </c:pt>
                <c:pt idx="312">
                  <c:v>129.38115499835828</c:v>
                </c:pt>
                <c:pt idx="313">
                  <c:v>128.0873434483747</c:v>
                </c:pt>
                <c:pt idx="314">
                  <c:v>126.80647001389094</c:v>
                </c:pt>
                <c:pt idx="315">
                  <c:v>125.53840531375204</c:v>
                </c:pt>
                <c:pt idx="316">
                  <c:v>124.28302126061452</c:v>
                </c:pt>
                <c:pt idx="317">
                  <c:v>123.04019104800837</c:v>
                </c:pt>
                <c:pt idx="318">
                  <c:v>121.80978913752828</c:v>
                </c:pt>
                <c:pt idx="319">
                  <c:v>120.591691246153</c:v>
                </c:pt>
                <c:pt idx="320">
                  <c:v>119.38577433369147</c:v>
                </c:pt>
                <c:pt idx="321">
                  <c:v>118.19191659035455</c:v>
                </c:pt>
                <c:pt idx="322">
                  <c:v>117.009997424451</c:v>
                </c:pt>
                <c:pt idx="323">
                  <c:v>115.83989745020649</c:v>
                </c:pt>
                <c:pt idx="324">
                  <c:v>114.68149847570443</c:v>
                </c:pt>
                <c:pt idx="325">
                  <c:v>113.53468349094739</c:v>
                </c:pt>
                <c:pt idx="326">
                  <c:v>112.39933665603792</c:v>
                </c:pt>
                <c:pt idx="327">
                  <c:v>111.27534328947753</c:v>
                </c:pt>
                <c:pt idx="328">
                  <c:v>110.16258985658276</c:v>
                </c:pt>
                <c:pt idx="329">
                  <c:v>109.06096395801693</c:v>
                </c:pt>
                <c:pt idx="330">
                  <c:v>107.97035431843676</c:v>
                </c:pt>
                <c:pt idx="331">
                  <c:v>106.8906507752524</c:v>
                </c:pt>
                <c:pt idx="332">
                  <c:v>105.82174426749987</c:v>
                </c:pt>
                <c:pt idx="333">
                  <c:v>104.76352682482487</c:v>
                </c:pt>
                <c:pt idx="334">
                  <c:v>103.71589155657662</c:v>
                </c:pt>
                <c:pt idx="335">
                  <c:v>102.67873264101085</c:v>
                </c:pt>
                <c:pt idx="336">
                  <c:v>101.65194531460074</c:v>
                </c:pt>
                <c:pt idx="337">
                  <c:v>100.63542586145473</c:v>
                </c:pt>
                <c:pt idx="338">
                  <c:v>99.629071602840185</c:v>
                </c:pt>
                <c:pt idx="339">
                  <c:v>98.632780886811787</c:v>
                </c:pt>
                <c:pt idx="340">
                  <c:v>97.646453077943661</c:v>
                </c:pt>
                <c:pt idx="341">
                  <c:v>96.669988547164223</c:v>
                </c:pt>
                <c:pt idx="342">
                  <c:v>95.703288661692582</c:v>
                </c:pt>
                <c:pt idx="343">
                  <c:v>94.746255775075653</c:v>
                </c:pt>
                <c:pt idx="344">
                  <c:v>93.798793217324899</c:v>
                </c:pt>
                <c:pt idx="345">
                  <c:v>92.860805285151656</c:v>
                </c:pt>
                <c:pt idx="346">
                  <c:v>91.93219723230014</c:v>
                </c:pt>
                <c:pt idx="347">
                  <c:v>91.012875259977136</c:v>
                </c:pt>
                <c:pt idx="348">
                  <c:v>90.102746507377361</c:v>
                </c:pt>
                <c:pt idx="349">
                  <c:v>89.20171904230358</c:v>
                </c:pt>
                <c:pt idx="350">
                  <c:v>88.309701851880547</c:v>
                </c:pt>
                <c:pt idx="351">
                  <c:v>87.426604833361736</c:v>
                </c:pt>
                <c:pt idx="352">
                  <c:v>86.552338785028113</c:v>
                </c:pt>
                <c:pt idx="353">
                  <c:v>85.686815397177824</c:v>
                </c:pt>
                <c:pt idx="354">
                  <c:v>84.82994724320605</c:v>
                </c:pt>
                <c:pt idx="355">
                  <c:v>83.981647770773989</c:v>
                </c:pt>
                <c:pt idx="356">
                  <c:v>83.141831293066247</c:v>
                </c:pt>
                <c:pt idx="357">
                  <c:v>82.310412980135581</c:v>
                </c:pt>
                <c:pt idx="358">
                  <c:v>81.48730885033423</c:v>
                </c:pt>
                <c:pt idx="359">
                  <c:v>80.672435761830883</c:v>
                </c:pt>
                <c:pt idx="360">
                  <c:v>79.865711404212576</c:v>
                </c:pt>
                <c:pt idx="361">
                  <c:v>79.067054290170447</c:v>
                </c:pt>
                <c:pt idx="362">
                  <c:v>78.276383747268738</c:v>
                </c:pt>
                <c:pt idx="363">
                  <c:v>77.493619909796053</c:v>
                </c:pt>
                <c:pt idx="364">
                  <c:v>76.718683710698087</c:v>
                </c:pt>
                <c:pt idx="365">
                  <c:v>75.951496873591111</c:v>
                </c:pt>
                <c:pt idx="366">
                  <c:v>75.191981904855197</c:v>
                </c:pt>
                <c:pt idx="367">
                  <c:v>74.440062085806645</c:v>
                </c:pt>
                <c:pt idx="368">
                  <c:v>73.695661464948572</c:v>
                </c:pt>
                <c:pt idx="369">
                  <c:v>72.958704850299085</c:v>
                </c:pt>
                <c:pt idx="370">
                  <c:v>72.229117801796093</c:v>
                </c:pt>
                <c:pt idx="371">
                  <c:v>71.506826623778124</c:v>
                </c:pt>
                <c:pt idx="372">
                  <c:v>70.791758357540346</c:v>
                </c:pt>
                <c:pt idx="373">
                  <c:v>70.083840773964937</c:v>
                </c:pt>
                <c:pt idx="374">
                  <c:v>69.383002366225284</c:v>
                </c:pt>
                <c:pt idx="375">
                  <c:v>68.689172342563026</c:v>
                </c:pt>
                <c:pt idx="376">
                  <c:v>68.002280619137395</c:v>
                </c:pt>
                <c:pt idx="377">
                  <c:v>67.32225781294602</c:v>
                </c:pt>
                <c:pt idx="378">
                  <c:v>66.649035234816566</c:v>
                </c:pt>
                <c:pt idx="379">
                  <c:v>65.982544882468403</c:v>
                </c:pt>
                <c:pt idx="380">
                  <c:v>65.322719433643712</c:v>
                </c:pt>
                <c:pt idx="381">
                  <c:v>64.669492239307274</c:v>
                </c:pt>
                <c:pt idx="382">
                  <c:v>64.022797316914207</c:v>
                </c:pt>
                <c:pt idx="383">
                  <c:v>63.382569343745068</c:v>
                </c:pt>
                <c:pt idx="384">
                  <c:v>62.748743650307617</c:v>
                </c:pt>
                <c:pt idx="385">
                  <c:v>62.121256213804543</c:v>
                </c:pt>
                <c:pt idx="386">
                  <c:v>61.500043651666495</c:v>
                </c:pt>
                <c:pt idx="387">
                  <c:v>60.885043215149828</c:v>
                </c:pt>
                <c:pt idx="388">
                  <c:v>60.276192782998329</c:v>
                </c:pt>
                <c:pt idx="389">
                  <c:v>59.673430855168348</c:v>
                </c:pt>
                <c:pt idx="390">
                  <c:v>59.076696546616667</c:v>
                </c:pt>
                <c:pt idx="391">
                  <c:v>58.485929581150501</c:v>
                </c:pt>
                <c:pt idx="392">
                  <c:v>57.901070285338996</c:v>
                </c:pt>
                <c:pt idx="393">
                  <c:v>57.322059582485608</c:v>
                </c:pt>
                <c:pt idx="394">
                  <c:v>56.748838986660751</c:v>
                </c:pt>
                <c:pt idx="395">
                  <c:v>56.18135059679414</c:v>
                </c:pt>
                <c:pt idx="396">
                  <c:v>55.619537090826199</c:v>
                </c:pt>
                <c:pt idx="397">
                  <c:v>55.063341719917936</c:v>
                </c:pt>
                <c:pt idx="398">
                  <c:v>54.512708302718757</c:v>
                </c:pt>
                <c:pt idx="399">
                  <c:v>53.967581219691567</c:v>
                </c:pt>
                <c:pt idx="400">
                  <c:v>53.427905407494649</c:v>
                </c:pt>
                <c:pt idx="401">
                  <c:v>52.893626353419698</c:v>
                </c:pt>
                <c:pt idx="402">
                  <c:v>52.364690089885499</c:v>
                </c:pt>
                <c:pt idx="403">
                  <c:v>51.841043188986646</c:v>
                </c:pt>
                <c:pt idx="404">
                  <c:v>51.322632757096777</c:v>
                </c:pt>
                <c:pt idx="405">
                  <c:v>50.809406429525808</c:v>
                </c:pt>
                <c:pt idx="406">
                  <c:v>50.301312365230551</c:v>
                </c:pt>
                <c:pt idx="407">
                  <c:v>49.798299241578242</c:v>
                </c:pt>
                <c:pt idx="408">
                  <c:v>49.300316249162456</c:v>
                </c:pt>
                <c:pt idx="409">
                  <c:v>48.807313086670831</c:v>
                </c:pt>
                <c:pt idx="410">
                  <c:v>48.319239955804122</c:v>
                </c:pt>
                <c:pt idx="411">
                  <c:v>47.836047556246079</c:v>
                </c:pt>
                <c:pt idx="412">
                  <c:v>47.357687080683618</c:v>
                </c:pt>
                <c:pt idx="413">
                  <c:v>46.884110209876781</c:v>
                </c:pt>
                <c:pt idx="414">
                  <c:v>46.415269107778009</c:v>
                </c:pt>
                <c:pt idx="415">
                  <c:v>45.951116416700231</c:v>
                </c:pt>
                <c:pt idx="416">
                  <c:v>45.491605252533226</c:v>
                </c:pt>
                <c:pt idx="417">
                  <c:v>45.036689200007892</c:v>
                </c:pt>
                <c:pt idx="418">
                  <c:v>44.586322308007816</c:v>
                </c:pt>
                <c:pt idx="419">
                  <c:v>44.140459084927734</c:v>
                </c:pt>
                <c:pt idx="420">
                  <c:v>43.699054494078453</c:v>
                </c:pt>
                <c:pt idx="421">
                  <c:v>43.262063949137669</c:v>
                </c:pt>
                <c:pt idx="422">
                  <c:v>42.829443309646294</c:v>
                </c:pt>
                <c:pt idx="423">
                  <c:v>42.401148876549833</c:v>
                </c:pt>
                <c:pt idx="424">
                  <c:v>41.977137387784332</c:v>
                </c:pt>
                <c:pt idx="425">
                  <c:v>41.557366013906488</c:v>
                </c:pt>
                <c:pt idx="426">
                  <c:v>41.141792353767421</c:v>
                </c:pt>
                <c:pt idx="427">
                  <c:v>40.730374430229745</c:v>
                </c:pt>
                <c:pt idx="428">
                  <c:v>40.323070685927448</c:v>
                </c:pt>
                <c:pt idx="429">
                  <c:v>39.919839979068172</c:v>
                </c:pt>
                <c:pt idx="430">
                  <c:v>39.520641579277488</c:v>
                </c:pt>
                <c:pt idx="431">
                  <c:v>39.12543516348471</c:v>
                </c:pt>
                <c:pt idx="432">
                  <c:v>38.734180811849861</c:v>
                </c:pt>
                <c:pt idx="433">
                  <c:v>38.346839003731361</c:v>
                </c:pt>
                <c:pt idx="434">
                  <c:v>37.963370613694046</c:v>
                </c:pt>
                <c:pt idx="435">
                  <c:v>37.583736907557103</c:v>
                </c:pt>
                <c:pt idx="436">
                  <c:v>37.207899538481534</c:v>
                </c:pt>
                <c:pt idx="437">
                  <c:v>36.835820543096716</c:v>
                </c:pt>
                <c:pt idx="438">
                  <c:v>36.467462337665751</c:v>
                </c:pt>
                <c:pt idx="439">
                  <c:v>36.102787714289093</c:v>
                </c:pt>
                <c:pt idx="440">
                  <c:v>35.741759837146205</c:v>
                </c:pt>
                <c:pt idx="441">
                  <c:v>35.384342238774742</c:v>
                </c:pt>
                <c:pt idx="442">
                  <c:v>35.030498816386995</c:v>
                </c:pt>
                <c:pt idx="443">
                  <c:v>34.680193828223125</c:v>
                </c:pt>
                <c:pt idx="444">
                  <c:v>34.333391889940891</c:v>
                </c:pt>
                <c:pt idx="445">
                  <c:v>33.99005797104148</c:v>
                </c:pt>
                <c:pt idx="446">
                  <c:v>33.650157391331064</c:v>
                </c:pt>
                <c:pt idx="447">
                  <c:v>33.313655817417754</c:v>
                </c:pt>
                <c:pt idx="448">
                  <c:v>32.980519259243579</c:v>
                </c:pt>
                <c:pt idx="449">
                  <c:v>32.65071406665114</c:v>
                </c:pt>
                <c:pt idx="450">
                  <c:v>32.324206925984626</c:v>
                </c:pt>
                <c:pt idx="451">
                  <c:v>32.000964856724778</c:v>
                </c:pt>
                <c:pt idx="452">
                  <c:v>31.680955208157531</c:v>
                </c:pt>
                <c:pt idx="453">
                  <c:v>31.364145656075955</c:v>
                </c:pt>
                <c:pt idx="454">
                  <c:v>31.050504199515196</c:v>
                </c:pt>
                <c:pt idx="455">
                  <c:v>30.739999157520042</c:v>
                </c:pt>
                <c:pt idx="456">
                  <c:v>30.432599165944843</c:v>
                </c:pt>
                <c:pt idx="457">
                  <c:v>30.128273174285393</c:v>
                </c:pt>
                <c:pt idx="458">
                  <c:v>29.826990442542538</c:v>
                </c:pt>
                <c:pt idx="459">
                  <c:v>29.528720538117113</c:v>
                </c:pt>
                <c:pt idx="460">
                  <c:v>29.233433332735942</c:v>
                </c:pt>
                <c:pt idx="461">
                  <c:v>28.941098999408581</c:v>
                </c:pt>
                <c:pt idx="462">
                  <c:v>28.651688009414496</c:v>
                </c:pt>
                <c:pt idx="463">
                  <c:v>28.365171129320352</c:v>
                </c:pt>
                <c:pt idx="464">
                  <c:v>28.081519418027149</c:v>
                </c:pt>
                <c:pt idx="465">
                  <c:v>27.800704223846878</c:v>
                </c:pt>
                <c:pt idx="466">
                  <c:v>27.522697181608411</c:v>
                </c:pt>
                <c:pt idx="467">
                  <c:v>27.247470209792326</c:v>
                </c:pt>
                <c:pt idx="468">
                  <c:v>26.974995507694402</c:v>
                </c:pt>
                <c:pt idx="469">
                  <c:v>26.705245552617459</c:v>
                </c:pt>
                <c:pt idx="470">
                  <c:v>26.438193097091283</c:v>
                </c:pt>
                <c:pt idx="471">
                  <c:v>26.17381116612037</c:v>
                </c:pt>
                <c:pt idx="472">
                  <c:v>25.912073054459167</c:v>
                </c:pt>
                <c:pt idx="473">
                  <c:v>25.652952323914576</c:v>
                </c:pt>
                <c:pt idx="474">
                  <c:v>25.396422800675431</c:v>
                </c:pt>
                <c:pt idx="475">
                  <c:v>25.142458572668676</c:v>
                </c:pt>
                <c:pt idx="476">
                  <c:v>24.891033986941988</c:v>
                </c:pt>
                <c:pt idx="477">
                  <c:v>24.64212364707257</c:v>
                </c:pt>
                <c:pt idx="478">
                  <c:v>24.395702410601842</c:v>
                </c:pt>
                <c:pt idx="479">
                  <c:v>24.151745386495822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ED5-4B7A-A185-BA3C3DDB3E54}"/>
            </c:ext>
          </c:extLst>
        </c:ser>
        <c:ser>
          <c:idx val="14"/>
          <c:order val="14"/>
          <c:tx>
            <c:strRef>
              <c:f>'FPSO1 Base'!$Q$2</c:f>
              <c:strCache>
                <c:ptCount val="1"/>
                <c:pt idx="0">
                  <c:v>P15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Base'!$Q$3:$Q$730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308.25599999999997</c:v>
                </c:pt>
                <c:pt idx="46">
                  <c:v>829.20900000000006</c:v>
                </c:pt>
                <c:pt idx="47">
                  <c:v>761.98050000000001</c:v>
                </c:pt>
                <c:pt idx="48">
                  <c:v>703.80899999999997</c:v>
                </c:pt>
                <c:pt idx="49">
                  <c:v>672.10050000000001</c:v>
                </c:pt>
                <c:pt idx="50">
                  <c:v>654.87749999999994</c:v>
                </c:pt>
                <c:pt idx="51">
                  <c:v>641.90250000000003</c:v>
                </c:pt>
                <c:pt idx="52">
                  <c:v>633.87450000000001</c:v>
                </c:pt>
                <c:pt idx="53">
                  <c:v>628.04100000000005</c:v>
                </c:pt>
                <c:pt idx="54">
                  <c:v>621.75600000000009</c:v>
                </c:pt>
                <c:pt idx="55">
                  <c:v>610.06499999999994</c:v>
                </c:pt>
                <c:pt idx="56">
                  <c:v>603.1635</c:v>
                </c:pt>
                <c:pt idx="57">
                  <c:v>596.59199999999998</c:v>
                </c:pt>
                <c:pt idx="58">
                  <c:v>591.16949999999997</c:v>
                </c:pt>
                <c:pt idx="59">
                  <c:v>585.11249999999995</c:v>
                </c:pt>
                <c:pt idx="60">
                  <c:v>580.62749999999994</c:v>
                </c:pt>
                <c:pt idx="61">
                  <c:v>575.93100000000004</c:v>
                </c:pt>
                <c:pt idx="62">
                  <c:v>571.3365</c:v>
                </c:pt>
                <c:pt idx="63">
                  <c:v>566.7405</c:v>
                </c:pt>
                <c:pt idx="64">
                  <c:v>562.11899999999991</c:v>
                </c:pt>
                <c:pt idx="65">
                  <c:v>558.08399999999995</c:v>
                </c:pt>
                <c:pt idx="66">
                  <c:v>553.93799999999999</c:v>
                </c:pt>
                <c:pt idx="67">
                  <c:v>550.923</c:v>
                </c:pt>
                <c:pt idx="68">
                  <c:v>548.322</c:v>
                </c:pt>
                <c:pt idx="69">
                  <c:v>545.23649999999998</c:v>
                </c:pt>
                <c:pt idx="70">
                  <c:v>542.47950000000003</c:v>
                </c:pt>
                <c:pt idx="71">
                  <c:v>539.33699999999999</c:v>
                </c:pt>
                <c:pt idx="72">
                  <c:v>536.50350000000003</c:v>
                </c:pt>
                <c:pt idx="73">
                  <c:v>533.625</c:v>
                </c:pt>
                <c:pt idx="74">
                  <c:v>531.01199999999994</c:v>
                </c:pt>
                <c:pt idx="75">
                  <c:v>528.423</c:v>
                </c:pt>
                <c:pt idx="76">
                  <c:v>525.75</c:v>
                </c:pt>
                <c:pt idx="77">
                  <c:v>523.923</c:v>
                </c:pt>
                <c:pt idx="78">
                  <c:v>521.02500000000009</c:v>
                </c:pt>
                <c:pt idx="79">
                  <c:v>519.423</c:v>
                </c:pt>
                <c:pt idx="80">
                  <c:v>517.125</c:v>
                </c:pt>
                <c:pt idx="81">
                  <c:v>514.3934999999999</c:v>
                </c:pt>
                <c:pt idx="82">
                  <c:v>512.38350000000003</c:v>
                </c:pt>
                <c:pt idx="83">
                  <c:v>510.03749999999997</c:v>
                </c:pt>
                <c:pt idx="84">
                  <c:v>507.94350000000003</c:v>
                </c:pt>
                <c:pt idx="85">
                  <c:v>505.6875</c:v>
                </c:pt>
                <c:pt idx="86">
                  <c:v>503.577</c:v>
                </c:pt>
                <c:pt idx="87">
                  <c:v>501.53250000000003</c:v>
                </c:pt>
                <c:pt idx="88">
                  <c:v>499.43700000000001</c:v>
                </c:pt>
                <c:pt idx="89">
                  <c:v>497.577</c:v>
                </c:pt>
                <c:pt idx="90">
                  <c:v>495.61200000000002</c:v>
                </c:pt>
                <c:pt idx="91">
                  <c:v>491.661</c:v>
                </c:pt>
                <c:pt idx="92">
                  <c:v>489.702</c:v>
                </c:pt>
                <c:pt idx="93">
                  <c:v>487.91399999999999</c:v>
                </c:pt>
                <c:pt idx="94">
                  <c:v>486.43500000000006</c:v>
                </c:pt>
                <c:pt idx="95">
                  <c:v>484.73700000000002</c:v>
                </c:pt>
                <c:pt idx="96">
                  <c:v>483.22950000000003</c:v>
                </c:pt>
                <c:pt idx="97">
                  <c:v>481.58699999999999</c:v>
                </c:pt>
                <c:pt idx="98">
                  <c:v>480.08399999999995</c:v>
                </c:pt>
                <c:pt idx="99">
                  <c:v>478.60949999999997</c:v>
                </c:pt>
                <c:pt idx="100">
                  <c:v>477.08699999999999</c:v>
                </c:pt>
                <c:pt idx="101">
                  <c:v>475.72950000000003</c:v>
                </c:pt>
                <c:pt idx="102">
                  <c:v>474.26250000000005</c:v>
                </c:pt>
                <c:pt idx="103">
                  <c:v>468.798</c:v>
                </c:pt>
                <c:pt idx="104">
                  <c:v>467.15250000000003</c:v>
                </c:pt>
                <c:pt idx="105">
                  <c:v>466.005</c:v>
                </c:pt>
                <c:pt idx="106">
                  <c:v>465.10949999999997</c:v>
                </c:pt>
                <c:pt idx="107">
                  <c:v>464.02500000000003</c:v>
                </c:pt>
                <c:pt idx="108">
                  <c:v>463.089</c:v>
                </c:pt>
                <c:pt idx="109">
                  <c:v>462.02549999999997</c:v>
                </c:pt>
                <c:pt idx="110">
                  <c:v>461.10450000000003</c:v>
                </c:pt>
                <c:pt idx="111">
                  <c:v>460.197</c:v>
                </c:pt>
                <c:pt idx="112">
                  <c:v>459.25049999999999</c:v>
                </c:pt>
                <c:pt idx="113">
                  <c:v>458.41949999999997</c:v>
                </c:pt>
                <c:pt idx="114">
                  <c:v>457.57500000000005</c:v>
                </c:pt>
                <c:pt idx="115">
                  <c:v>456.786</c:v>
                </c:pt>
                <c:pt idx="116">
                  <c:v>456.10949999999997</c:v>
                </c:pt>
                <c:pt idx="117">
                  <c:v>455.3175</c:v>
                </c:pt>
                <c:pt idx="118">
                  <c:v>454.72950000000003</c:v>
                </c:pt>
                <c:pt idx="119">
                  <c:v>454.01250000000005</c:v>
                </c:pt>
                <c:pt idx="120">
                  <c:v>453.38699999999994</c:v>
                </c:pt>
                <c:pt idx="121">
                  <c:v>452.73749999999995</c:v>
                </c:pt>
                <c:pt idx="122">
                  <c:v>452.16600000000005</c:v>
                </c:pt>
                <c:pt idx="123">
                  <c:v>451.62150000000003</c:v>
                </c:pt>
                <c:pt idx="124">
                  <c:v>450.98700000000002</c:v>
                </c:pt>
                <c:pt idx="125">
                  <c:v>450.49650000000003</c:v>
                </c:pt>
                <c:pt idx="126">
                  <c:v>449.97450000000003</c:v>
                </c:pt>
                <c:pt idx="127">
                  <c:v>449.553</c:v>
                </c:pt>
                <c:pt idx="128">
                  <c:v>449.16600000000005</c:v>
                </c:pt>
                <c:pt idx="129">
                  <c:v>448.72799999999995</c:v>
                </c:pt>
                <c:pt idx="130">
                  <c:v>448.40250000000003</c:v>
                </c:pt>
                <c:pt idx="131">
                  <c:v>447.98700000000002</c:v>
                </c:pt>
                <c:pt idx="132">
                  <c:v>447.66600000000005</c:v>
                </c:pt>
                <c:pt idx="133">
                  <c:v>447.23700000000002</c:v>
                </c:pt>
                <c:pt idx="134">
                  <c:v>446.86649999999997</c:v>
                </c:pt>
                <c:pt idx="135">
                  <c:v>446.49149999999997</c:v>
                </c:pt>
                <c:pt idx="136">
                  <c:v>446.08799999999997</c:v>
                </c:pt>
                <c:pt idx="137">
                  <c:v>445.74149999999997</c:v>
                </c:pt>
                <c:pt idx="138">
                  <c:v>445.36200000000002</c:v>
                </c:pt>
                <c:pt idx="139">
                  <c:v>445.00349999999997</c:v>
                </c:pt>
                <c:pt idx="140">
                  <c:v>444.702</c:v>
                </c:pt>
                <c:pt idx="141">
                  <c:v>444.33600000000001</c:v>
                </c:pt>
                <c:pt idx="142">
                  <c:v>444.24149999999997</c:v>
                </c:pt>
                <c:pt idx="143">
                  <c:v>444.28800000000001</c:v>
                </c:pt>
                <c:pt idx="144">
                  <c:v>444.43500000000006</c:v>
                </c:pt>
                <c:pt idx="145">
                  <c:v>444.61200000000002</c:v>
                </c:pt>
                <c:pt idx="146">
                  <c:v>444.83399999999995</c:v>
                </c:pt>
                <c:pt idx="147">
                  <c:v>445.089</c:v>
                </c:pt>
                <c:pt idx="148">
                  <c:v>445.34999999999997</c:v>
                </c:pt>
                <c:pt idx="149">
                  <c:v>445.572</c:v>
                </c:pt>
                <c:pt idx="150">
                  <c:v>445.79999999999995</c:v>
                </c:pt>
                <c:pt idx="151">
                  <c:v>442.428</c:v>
                </c:pt>
                <c:pt idx="152">
                  <c:v>442.23449999999997</c:v>
                </c:pt>
                <c:pt idx="153">
                  <c:v>442.5675</c:v>
                </c:pt>
                <c:pt idx="154">
                  <c:v>442.77750000000003</c:v>
                </c:pt>
                <c:pt idx="155">
                  <c:v>442.98749999999995</c:v>
                </c:pt>
                <c:pt idx="156">
                  <c:v>443.14050000000003</c:v>
                </c:pt>
                <c:pt idx="157">
                  <c:v>443.28749999999997</c:v>
                </c:pt>
                <c:pt idx="158">
                  <c:v>443.37150000000003</c:v>
                </c:pt>
                <c:pt idx="159">
                  <c:v>443.44350000000003</c:v>
                </c:pt>
                <c:pt idx="160">
                  <c:v>443.50049999999999</c:v>
                </c:pt>
                <c:pt idx="161">
                  <c:v>443.553</c:v>
                </c:pt>
                <c:pt idx="162">
                  <c:v>443.68799999999999</c:v>
                </c:pt>
                <c:pt idx="163">
                  <c:v>443.89050000000003</c:v>
                </c:pt>
                <c:pt idx="164">
                  <c:v>444.12150000000003</c:v>
                </c:pt>
                <c:pt idx="165">
                  <c:v>444.41549999999995</c:v>
                </c:pt>
                <c:pt idx="166">
                  <c:v>444.62849999999997</c:v>
                </c:pt>
                <c:pt idx="167">
                  <c:v>444.92550000000006</c:v>
                </c:pt>
                <c:pt idx="168">
                  <c:v>445.173</c:v>
                </c:pt>
                <c:pt idx="169">
                  <c:v>445.41300000000001</c:v>
                </c:pt>
                <c:pt idx="170">
                  <c:v>445.64549999999997</c:v>
                </c:pt>
                <c:pt idx="171">
                  <c:v>445.88699999999994</c:v>
                </c:pt>
                <c:pt idx="172">
                  <c:v>446.07449999999994</c:v>
                </c:pt>
                <c:pt idx="173">
                  <c:v>446.23800000000006</c:v>
                </c:pt>
                <c:pt idx="174">
                  <c:v>446.38799999999998</c:v>
                </c:pt>
                <c:pt idx="175">
                  <c:v>446.46749999999997</c:v>
                </c:pt>
                <c:pt idx="176">
                  <c:v>446.553</c:v>
                </c:pt>
                <c:pt idx="177">
                  <c:v>446.59800000000007</c:v>
                </c:pt>
                <c:pt idx="178">
                  <c:v>446.63699999999994</c:v>
                </c:pt>
                <c:pt idx="179">
                  <c:v>446.59950000000003</c:v>
                </c:pt>
                <c:pt idx="180">
                  <c:v>446.47950000000003</c:v>
                </c:pt>
                <c:pt idx="181">
                  <c:v>446.31299999999999</c:v>
                </c:pt>
                <c:pt idx="182">
                  <c:v>446.14050000000003</c:v>
                </c:pt>
                <c:pt idx="183">
                  <c:v>445.97249999999997</c:v>
                </c:pt>
                <c:pt idx="184">
                  <c:v>445.71299999999997</c:v>
                </c:pt>
                <c:pt idx="185">
                  <c:v>445.5</c:v>
                </c:pt>
                <c:pt idx="186">
                  <c:v>445.21199999999999</c:v>
                </c:pt>
                <c:pt idx="187">
                  <c:v>431.601</c:v>
                </c:pt>
                <c:pt idx="188">
                  <c:v>429.95550000000003</c:v>
                </c:pt>
                <c:pt idx="189">
                  <c:v>430.39649999999995</c:v>
                </c:pt>
                <c:pt idx="190">
                  <c:v>430.572</c:v>
                </c:pt>
                <c:pt idx="191">
                  <c:v>430.6875</c:v>
                </c:pt>
                <c:pt idx="192">
                  <c:v>430.65750000000003</c:v>
                </c:pt>
                <c:pt idx="193">
                  <c:v>430.57500000000005</c:v>
                </c:pt>
                <c:pt idx="194">
                  <c:v>430.43999999999994</c:v>
                </c:pt>
                <c:pt idx="195">
                  <c:v>430.24650000000003</c:v>
                </c:pt>
                <c:pt idx="196">
                  <c:v>430.03800000000001</c:v>
                </c:pt>
                <c:pt idx="197">
                  <c:v>429.798</c:v>
                </c:pt>
                <c:pt idx="198">
                  <c:v>429.51299999999998</c:v>
                </c:pt>
                <c:pt idx="199">
                  <c:v>429.21749999999997</c:v>
                </c:pt>
                <c:pt idx="200">
                  <c:v>428.93999999999994</c:v>
                </c:pt>
                <c:pt idx="201">
                  <c:v>428.51849999999996</c:v>
                </c:pt>
                <c:pt idx="202">
                  <c:v>428.14050000000003</c:v>
                </c:pt>
                <c:pt idx="203">
                  <c:v>427.66200000000003</c:v>
                </c:pt>
                <c:pt idx="204">
                  <c:v>427.23449999999997</c:v>
                </c:pt>
                <c:pt idx="205">
                  <c:v>426.72450000000003</c:v>
                </c:pt>
                <c:pt idx="206">
                  <c:v>426.25349999999997</c:v>
                </c:pt>
                <c:pt idx="207">
                  <c:v>425.77049999999997</c:v>
                </c:pt>
                <c:pt idx="208">
                  <c:v>425.20049999999998</c:v>
                </c:pt>
                <c:pt idx="209">
                  <c:v>424.69350000000003</c:v>
                </c:pt>
                <c:pt idx="210">
                  <c:v>424.125</c:v>
                </c:pt>
                <c:pt idx="211">
                  <c:v>423.55649999999997</c:v>
                </c:pt>
                <c:pt idx="212">
                  <c:v>423.048</c:v>
                </c:pt>
                <c:pt idx="213">
                  <c:v>422.35650000000004</c:v>
                </c:pt>
                <c:pt idx="214">
                  <c:v>421.839</c:v>
                </c:pt>
                <c:pt idx="215">
                  <c:v>421.15049999999997</c:v>
                </c:pt>
                <c:pt idx="216">
                  <c:v>420.53250000000003</c:v>
                </c:pt>
                <c:pt idx="217">
                  <c:v>419.82449999999994</c:v>
                </c:pt>
                <c:pt idx="218">
                  <c:v>419.178</c:v>
                </c:pt>
                <c:pt idx="219">
                  <c:v>418.51199999999994</c:v>
                </c:pt>
                <c:pt idx="220">
                  <c:v>417.81299999999999</c:v>
                </c:pt>
                <c:pt idx="221">
                  <c:v>417.12150000000003</c:v>
                </c:pt>
                <c:pt idx="222">
                  <c:v>416.36249999999995</c:v>
                </c:pt>
                <c:pt idx="223">
                  <c:v>415.68149999999997</c:v>
                </c:pt>
                <c:pt idx="224">
                  <c:v>415.04100000000005</c:v>
                </c:pt>
                <c:pt idx="225">
                  <c:v>414.255</c:v>
                </c:pt>
                <c:pt idx="226">
                  <c:v>413.649</c:v>
                </c:pt>
                <c:pt idx="227">
                  <c:v>412.91249999999997</c:v>
                </c:pt>
                <c:pt idx="228">
                  <c:v>412.27049999999997</c:v>
                </c:pt>
                <c:pt idx="229">
                  <c:v>411.53700000000003</c:v>
                </c:pt>
                <c:pt idx="230">
                  <c:v>410.85450000000003</c:v>
                </c:pt>
                <c:pt idx="231">
                  <c:v>410.18999999999994</c:v>
                </c:pt>
                <c:pt idx="232">
                  <c:v>409.46250000000003</c:v>
                </c:pt>
                <c:pt idx="233">
                  <c:v>408.81000000000006</c:v>
                </c:pt>
                <c:pt idx="234">
                  <c:v>408.07500000000005</c:v>
                </c:pt>
                <c:pt idx="235">
                  <c:v>407.39549999999997</c:v>
                </c:pt>
                <c:pt idx="236">
                  <c:v>406.75349999999997</c:v>
                </c:pt>
                <c:pt idx="237">
                  <c:v>406.04699999999997</c:v>
                </c:pt>
                <c:pt idx="238">
                  <c:v>405.43500000000006</c:v>
                </c:pt>
                <c:pt idx="239">
                  <c:v>404.76299999999998</c:v>
                </c:pt>
                <c:pt idx="240">
                  <c:v>404.15250000000003</c:v>
                </c:pt>
                <c:pt idx="241">
                  <c:v>403.48800000000006</c:v>
                </c:pt>
                <c:pt idx="242">
                  <c:v>402.88350000000003</c:v>
                </c:pt>
                <c:pt idx="243">
                  <c:v>402.303</c:v>
                </c:pt>
                <c:pt idx="244">
                  <c:v>401.65049999999997</c:v>
                </c:pt>
                <c:pt idx="245">
                  <c:v>401.09249999999997</c:v>
                </c:pt>
                <c:pt idx="246">
                  <c:v>400.45049999999998</c:v>
                </c:pt>
                <c:pt idx="247">
                  <c:v>399.87150000000003</c:v>
                </c:pt>
                <c:pt idx="248">
                  <c:v>399.327</c:v>
                </c:pt>
                <c:pt idx="249">
                  <c:v>398.65199999999993</c:v>
                </c:pt>
                <c:pt idx="250">
                  <c:v>398.12849999999997</c:v>
                </c:pt>
                <c:pt idx="251">
                  <c:v>397.51199999999994</c:v>
                </c:pt>
                <c:pt idx="252">
                  <c:v>396.99149999999997</c:v>
                </c:pt>
                <c:pt idx="253">
                  <c:v>396.375</c:v>
                </c:pt>
                <c:pt idx="254">
                  <c:v>395.84249999999997</c:v>
                </c:pt>
                <c:pt idx="255">
                  <c:v>395.274</c:v>
                </c:pt>
                <c:pt idx="256">
                  <c:v>394.69949999999994</c:v>
                </c:pt>
                <c:pt idx="257">
                  <c:v>394.161</c:v>
                </c:pt>
                <c:pt idx="258">
                  <c:v>393.58799999999997</c:v>
                </c:pt>
                <c:pt idx="259">
                  <c:v>393.048</c:v>
                </c:pt>
                <c:pt idx="260">
                  <c:v>392.577</c:v>
                </c:pt>
                <c:pt idx="261">
                  <c:v>391.9425</c:v>
                </c:pt>
                <c:pt idx="262">
                  <c:v>391.48800000000006</c:v>
                </c:pt>
                <c:pt idx="263">
                  <c:v>390.91200000000003</c:v>
                </c:pt>
                <c:pt idx="264">
                  <c:v>390.423</c:v>
                </c:pt>
                <c:pt idx="265">
                  <c:v>389.86200000000002</c:v>
                </c:pt>
                <c:pt idx="266">
                  <c:v>389.38350000000003</c:v>
                </c:pt>
                <c:pt idx="267">
                  <c:v>388.875</c:v>
                </c:pt>
                <c:pt idx="268">
                  <c:v>388.34999999999997</c:v>
                </c:pt>
                <c:pt idx="269">
                  <c:v>387.89549999999997</c:v>
                </c:pt>
                <c:pt idx="270">
                  <c:v>387.375</c:v>
                </c:pt>
                <c:pt idx="271">
                  <c:v>386.90250000000003</c:v>
                </c:pt>
                <c:pt idx="272">
                  <c:v>386.49149999999997</c:v>
                </c:pt>
                <c:pt idx="273">
                  <c:v>385.9425</c:v>
                </c:pt>
                <c:pt idx="274">
                  <c:v>385.524</c:v>
                </c:pt>
                <c:pt idx="275">
                  <c:v>385.02449999999999</c:v>
                </c:pt>
                <c:pt idx="276">
                  <c:v>384.58050000000003</c:v>
                </c:pt>
                <c:pt idx="277">
                  <c:v>384.10050000000001</c:v>
                </c:pt>
                <c:pt idx="278">
                  <c:v>383.625</c:v>
                </c:pt>
                <c:pt idx="279">
                  <c:v>383.19</c:v>
                </c:pt>
                <c:pt idx="280">
                  <c:v>382.6995</c:v>
                </c:pt>
                <c:pt idx="281">
                  <c:v>382.476</c:v>
                </c:pt>
                <c:pt idx="282">
                  <c:v>382.03800000000001</c:v>
                </c:pt>
                <c:pt idx="283">
                  <c:v>381.387</c:v>
                </c:pt>
                <c:pt idx="284">
                  <c:v>380.952</c:v>
                </c:pt>
                <c:pt idx="285">
                  <c:v>380.44349999999997</c:v>
                </c:pt>
                <c:pt idx="286">
                  <c:v>380.02050000000003</c:v>
                </c:pt>
                <c:pt idx="287">
                  <c:v>379.54949999999997</c:v>
                </c:pt>
                <c:pt idx="288">
                  <c:v>379.125</c:v>
                </c:pt>
                <c:pt idx="289">
                  <c:v>378.68700000000001</c:v>
                </c:pt>
                <c:pt idx="290">
                  <c:v>378.48450000000003</c:v>
                </c:pt>
                <c:pt idx="291">
                  <c:v>378.64049999999997</c:v>
                </c:pt>
                <c:pt idx="292">
                  <c:v>378.97500000000002</c:v>
                </c:pt>
                <c:pt idx="293">
                  <c:v>379.40250000000003</c:v>
                </c:pt>
                <c:pt idx="294">
                  <c:v>379.75049999999999</c:v>
                </c:pt>
                <c:pt idx="295">
                  <c:v>380.10449999999997</c:v>
                </c:pt>
                <c:pt idx="296">
                  <c:v>380.43150000000003</c:v>
                </c:pt>
                <c:pt idx="297">
                  <c:v>380.77200000000005</c:v>
                </c:pt>
                <c:pt idx="298">
                  <c:v>380.988</c:v>
                </c:pt>
                <c:pt idx="299">
                  <c:v>381.1995</c:v>
                </c:pt>
                <c:pt idx="300">
                  <c:v>381.351</c:v>
                </c:pt>
                <c:pt idx="301">
                  <c:v>381.42449999999997</c:v>
                </c:pt>
                <c:pt idx="302">
                  <c:v>381.459</c:v>
                </c:pt>
                <c:pt idx="303">
                  <c:v>381.459</c:v>
                </c:pt>
                <c:pt idx="304">
                  <c:v>381.375</c:v>
                </c:pt>
                <c:pt idx="305">
                  <c:v>382.35449999999997</c:v>
                </c:pt>
                <c:pt idx="306">
                  <c:v>383.35050000000001</c:v>
                </c:pt>
                <c:pt idx="307">
                  <c:v>384.678</c:v>
                </c:pt>
                <c:pt idx="308">
                  <c:v>386.05649999999997</c:v>
                </c:pt>
                <c:pt idx="309">
                  <c:v>386.94600000000003</c:v>
                </c:pt>
                <c:pt idx="310">
                  <c:v>387.53250000000003</c:v>
                </c:pt>
                <c:pt idx="311">
                  <c:v>388.15049999999997</c:v>
                </c:pt>
                <c:pt idx="312">
                  <c:v>388.64549999999997</c:v>
                </c:pt>
                <c:pt idx="313">
                  <c:v>389.07449999999994</c:v>
                </c:pt>
                <c:pt idx="314">
                  <c:v>389.322</c:v>
                </c:pt>
                <c:pt idx="315">
                  <c:v>389.589</c:v>
                </c:pt>
                <c:pt idx="316">
                  <c:v>389.84999999999997</c:v>
                </c:pt>
                <c:pt idx="317">
                  <c:v>390.048</c:v>
                </c:pt>
                <c:pt idx="318">
                  <c:v>390.25049999999999</c:v>
                </c:pt>
                <c:pt idx="319">
                  <c:v>390.36300000000006</c:v>
                </c:pt>
                <c:pt idx="320">
                  <c:v>390.411</c:v>
                </c:pt>
                <c:pt idx="321">
                  <c:v>390.42899999999997</c:v>
                </c:pt>
                <c:pt idx="322">
                  <c:v>390.45899999999995</c:v>
                </c:pt>
                <c:pt idx="323">
                  <c:v>390.42450000000002</c:v>
                </c:pt>
                <c:pt idx="324">
                  <c:v>390.411</c:v>
                </c:pt>
                <c:pt idx="325">
                  <c:v>390.45000000000005</c:v>
                </c:pt>
                <c:pt idx="326">
                  <c:v>390.36300000000006</c:v>
                </c:pt>
                <c:pt idx="327">
                  <c:v>390.24149999999997</c:v>
                </c:pt>
                <c:pt idx="328">
                  <c:v>390.17550000000006</c:v>
                </c:pt>
                <c:pt idx="329">
                  <c:v>390.12150000000003</c:v>
                </c:pt>
                <c:pt idx="330">
                  <c:v>389.97450000000003</c:v>
                </c:pt>
                <c:pt idx="331">
                  <c:v>389.87849999999997</c:v>
                </c:pt>
                <c:pt idx="332">
                  <c:v>389.73449999999997</c:v>
                </c:pt>
                <c:pt idx="333">
                  <c:v>389.58600000000001</c:v>
                </c:pt>
                <c:pt idx="334">
                  <c:v>389.37150000000003</c:v>
                </c:pt>
                <c:pt idx="335">
                  <c:v>389.14949999999999</c:v>
                </c:pt>
                <c:pt idx="336">
                  <c:v>388.95899999999995</c:v>
                </c:pt>
                <c:pt idx="337">
                  <c:v>388.65000000000003</c:v>
                </c:pt>
                <c:pt idx="338">
                  <c:v>388.33050000000003</c:v>
                </c:pt>
                <c:pt idx="339">
                  <c:v>388.04100000000005</c:v>
                </c:pt>
                <c:pt idx="340">
                  <c:v>387.75</c:v>
                </c:pt>
                <c:pt idx="341">
                  <c:v>387.43500000000006</c:v>
                </c:pt>
                <c:pt idx="342">
                  <c:v>387.07500000000005</c:v>
                </c:pt>
                <c:pt idx="343">
                  <c:v>386.73449999999997</c:v>
                </c:pt>
                <c:pt idx="344">
                  <c:v>386.44350000000003</c:v>
                </c:pt>
                <c:pt idx="345">
                  <c:v>386.00850000000003</c:v>
                </c:pt>
                <c:pt idx="346">
                  <c:v>385.69350000000003</c:v>
                </c:pt>
                <c:pt idx="347">
                  <c:v>385.30050000000006</c:v>
                </c:pt>
                <c:pt idx="348">
                  <c:v>384.96749999999997</c:v>
                </c:pt>
                <c:pt idx="349">
                  <c:v>384.52500000000003</c:v>
                </c:pt>
                <c:pt idx="350">
                  <c:v>384.16949999999997</c:v>
                </c:pt>
                <c:pt idx="351">
                  <c:v>383.78249999999997</c:v>
                </c:pt>
                <c:pt idx="352">
                  <c:v>383.4255</c:v>
                </c:pt>
                <c:pt idx="353">
                  <c:v>383.10449999999997</c:v>
                </c:pt>
                <c:pt idx="354">
                  <c:v>382.6995</c:v>
                </c:pt>
                <c:pt idx="355">
                  <c:v>382.33050000000003</c:v>
                </c:pt>
                <c:pt idx="356">
                  <c:v>381.99149999999997</c:v>
                </c:pt>
                <c:pt idx="357">
                  <c:v>381.53550000000001</c:v>
                </c:pt>
                <c:pt idx="358">
                  <c:v>381.19349999999997</c:v>
                </c:pt>
                <c:pt idx="359">
                  <c:v>380.70000000000005</c:v>
                </c:pt>
                <c:pt idx="360">
                  <c:v>380.34749999999997</c:v>
                </c:pt>
                <c:pt idx="361">
                  <c:v>379.84950000000003</c:v>
                </c:pt>
                <c:pt idx="362">
                  <c:v>379.40250000000003</c:v>
                </c:pt>
                <c:pt idx="363">
                  <c:v>378.99149999999997</c:v>
                </c:pt>
                <c:pt idx="364">
                  <c:v>378.45000000000005</c:v>
                </c:pt>
                <c:pt idx="365">
                  <c:v>378.024</c:v>
                </c:pt>
                <c:pt idx="366">
                  <c:v>377.50049999999999</c:v>
                </c:pt>
                <c:pt idx="367">
                  <c:v>377.03249999999997</c:v>
                </c:pt>
                <c:pt idx="368">
                  <c:v>376.572</c:v>
                </c:pt>
                <c:pt idx="369">
                  <c:v>375.99149999999997</c:v>
                </c:pt>
                <c:pt idx="370">
                  <c:v>375.53249999999997</c:v>
                </c:pt>
                <c:pt idx="371">
                  <c:v>374.97450000000003</c:v>
                </c:pt>
                <c:pt idx="372">
                  <c:v>374.49149999999997</c:v>
                </c:pt>
                <c:pt idx="373">
                  <c:v>373.875</c:v>
                </c:pt>
                <c:pt idx="374">
                  <c:v>373.33050000000003</c:v>
                </c:pt>
                <c:pt idx="375">
                  <c:v>372.798</c:v>
                </c:pt>
                <c:pt idx="376">
                  <c:v>372.1755</c:v>
                </c:pt>
                <c:pt idx="377">
                  <c:v>371.637</c:v>
                </c:pt>
                <c:pt idx="378">
                  <c:v>371.02499999999998</c:v>
                </c:pt>
                <c:pt idx="379">
                  <c:v>370.428</c:v>
                </c:pt>
                <c:pt idx="380">
                  <c:v>369.84749999999997</c:v>
                </c:pt>
                <c:pt idx="381">
                  <c:v>369.15449999999998</c:v>
                </c:pt>
                <c:pt idx="382">
                  <c:v>368.565</c:v>
                </c:pt>
                <c:pt idx="383">
                  <c:v>367.875</c:v>
                </c:pt>
                <c:pt idx="384">
                  <c:v>367.25850000000003</c:v>
                </c:pt>
                <c:pt idx="385">
                  <c:v>366.52499999999998</c:v>
                </c:pt>
                <c:pt idx="386">
                  <c:v>365.83050000000003</c:v>
                </c:pt>
                <c:pt idx="387">
                  <c:v>365.15250000000003</c:v>
                </c:pt>
                <c:pt idx="388">
                  <c:v>364.39949999999999</c:v>
                </c:pt>
                <c:pt idx="389">
                  <c:v>363.62850000000003</c:v>
                </c:pt>
                <c:pt idx="390">
                  <c:v>362.85</c:v>
                </c:pt>
                <c:pt idx="391">
                  <c:v>362.05650000000003</c:v>
                </c:pt>
                <c:pt idx="392">
                  <c:v>361.30650000000003</c:v>
                </c:pt>
                <c:pt idx="393">
                  <c:v>360.34800000000001</c:v>
                </c:pt>
                <c:pt idx="394">
                  <c:v>359.565</c:v>
                </c:pt>
                <c:pt idx="395">
                  <c:v>358.65</c:v>
                </c:pt>
                <c:pt idx="396">
                  <c:v>357.75</c:v>
                </c:pt>
                <c:pt idx="397">
                  <c:v>356.74950000000001</c:v>
                </c:pt>
                <c:pt idx="398">
                  <c:v>355.839</c:v>
                </c:pt>
                <c:pt idx="399">
                  <c:v>354.87149999999997</c:v>
                </c:pt>
                <c:pt idx="400">
                  <c:v>353.85</c:v>
                </c:pt>
                <c:pt idx="401">
                  <c:v>352.887</c:v>
                </c:pt>
                <c:pt idx="402">
                  <c:v>351.82500000000005</c:v>
                </c:pt>
                <c:pt idx="403">
                  <c:v>350.80650000000003</c:v>
                </c:pt>
                <c:pt idx="404">
                  <c:v>349.863</c:v>
                </c:pt>
                <c:pt idx="405">
                  <c:v>348.75</c:v>
                </c:pt>
                <c:pt idx="406">
                  <c:v>347.87850000000003</c:v>
                </c:pt>
                <c:pt idx="407">
                  <c:v>346.84950000000003</c:v>
                </c:pt>
                <c:pt idx="408">
                  <c:v>345.96750000000003</c:v>
                </c:pt>
                <c:pt idx="409">
                  <c:v>344.95050000000003</c:v>
                </c:pt>
                <c:pt idx="410">
                  <c:v>344.05650000000003</c:v>
                </c:pt>
                <c:pt idx="411">
                  <c:v>343.185</c:v>
                </c:pt>
                <c:pt idx="412">
                  <c:v>342.27449999999999</c:v>
                </c:pt>
                <c:pt idx="413">
                  <c:v>341.44349999999997</c:v>
                </c:pt>
                <c:pt idx="414">
                  <c:v>340.54949999999997</c:v>
                </c:pt>
                <c:pt idx="415">
                  <c:v>339.774</c:v>
                </c:pt>
                <c:pt idx="416">
                  <c:v>339.09749999999997</c:v>
                </c:pt>
                <c:pt idx="417">
                  <c:v>338.19600000000003</c:v>
                </c:pt>
                <c:pt idx="418">
                  <c:v>337.548</c:v>
                </c:pt>
                <c:pt idx="419">
                  <c:v>336.75</c:v>
                </c:pt>
                <c:pt idx="420">
                  <c:v>336.09749999999997</c:v>
                </c:pt>
                <c:pt idx="421">
                  <c:v>335.35050000000001</c:v>
                </c:pt>
                <c:pt idx="422">
                  <c:v>334.69349999999997</c:v>
                </c:pt>
                <c:pt idx="423">
                  <c:v>334.089</c:v>
                </c:pt>
                <c:pt idx="424">
                  <c:v>333.47550000000001</c:v>
                </c:pt>
                <c:pt idx="425">
                  <c:v>332.952</c:v>
                </c:pt>
                <c:pt idx="426">
                  <c:v>332.37450000000001</c:v>
                </c:pt>
                <c:pt idx="427">
                  <c:v>331.887</c:v>
                </c:pt>
                <c:pt idx="428">
                  <c:v>331.40250000000003</c:v>
                </c:pt>
                <c:pt idx="429">
                  <c:v>330.90449999999998</c:v>
                </c:pt>
                <c:pt idx="430">
                  <c:v>330.726</c:v>
                </c:pt>
                <c:pt idx="431">
                  <c:v>330.07500000000005</c:v>
                </c:pt>
                <c:pt idx="432">
                  <c:v>329.685</c:v>
                </c:pt>
                <c:pt idx="433">
                  <c:v>329.27549999999997</c:v>
                </c:pt>
                <c:pt idx="434">
                  <c:v>328.911</c:v>
                </c:pt>
                <c:pt idx="435">
                  <c:v>328.572</c:v>
                </c:pt>
                <c:pt idx="436">
                  <c:v>328.20000000000005</c:v>
                </c:pt>
                <c:pt idx="437">
                  <c:v>327.94349999999997</c:v>
                </c:pt>
                <c:pt idx="438">
                  <c:v>327.62549999999999</c:v>
                </c:pt>
                <c:pt idx="439">
                  <c:v>327.339</c:v>
                </c:pt>
                <c:pt idx="440">
                  <c:v>327.12149999999997</c:v>
                </c:pt>
                <c:pt idx="441">
                  <c:v>326.8125</c:v>
                </c:pt>
                <c:pt idx="442">
                  <c:v>326.613</c:v>
                </c:pt>
                <c:pt idx="443">
                  <c:v>326.39999999999998</c:v>
                </c:pt>
                <c:pt idx="444">
                  <c:v>326.202</c:v>
                </c:pt>
                <c:pt idx="445">
                  <c:v>326.0505</c:v>
                </c:pt>
                <c:pt idx="446">
                  <c:v>325.887</c:v>
                </c:pt>
                <c:pt idx="447">
                  <c:v>325.74149999999997</c:v>
                </c:pt>
                <c:pt idx="448">
                  <c:v>325.64999999999998</c:v>
                </c:pt>
                <c:pt idx="449">
                  <c:v>325.524</c:v>
                </c:pt>
                <c:pt idx="450">
                  <c:v>325.42499999999995</c:v>
                </c:pt>
                <c:pt idx="451">
                  <c:v>325.33050000000003</c:v>
                </c:pt>
                <c:pt idx="452">
                  <c:v>325.28249999999997</c:v>
                </c:pt>
                <c:pt idx="453">
                  <c:v>325.20600000000002</c:v>
                </c:pt>
                <c:pt idx="454">
                  <c:v>325.161</c:v>
                </c:pt>
                <c:pt idx="455">
                  <c:v>325.07550000000003</c:v>
                </c:pt>
                <c:pt idx="456">
                  <c:v>324.99149999999997</c:v>
                </c:pt>
                <c:pt idx="457">
                  <c:v>324.9255</c:v>
                </c:pt>
                <c:pt idx="458">
                  <c:v>324.84749999999997</c:v>
                </c:pt>
                <c:pt idx="459">
                  <c:v>324.726</c:v>
                </c:pt>
                <c:pt idx="460">
                  <c:v>324.64949999999999</c:v>
                </c:pt>
                <c:pt idx="461">
                  <c:v>324.58050000000003</c:v>
                </c:pt>
                <c:pt idx="462">
                  <c:v>324.47550000000001</c:v>
                </c:pt>
                <c:pt idx="463">
                  <c:v>324.387</c:v>
                </c:pt>
                <c:pt idx="464">
                  <c:v>324.24149999999997</c:v>
                </c:pt>
                <c:pt idx="465">
                  <c:v>323.94600000000003</c:v>
                </c:pt>
                <c:pt idx="466">
                  <c:v>323.73450000000003</c:v>
                </c:pt>
                <c:pt idx="467">
                  <c:v>323.4255</c:v>
                </c:pt>
                <c:pt idx="468">
                  <c:v>323.202</c:v>
                </c:pt>
                <c:pt idx="469">
                  <c:v>322.97550000000001</c:v>
                </c:pt>
                <c:pt idx="470">
                  <c:v>322.74149999999997</c:v>
                </c:pt>
                <c:pt idx="471">
                  <c:v>322.524</c:v>
                </c:pt>
                <c:pt idx="472">
                  <c:v>322.3005</c:v>
                </c:pt>
                <c:pt idx="473">
                  <c:v>322.089</c:v>
                </c:pt>
                <c:pt idx="474">
                  <c:v>322.875</c:v>
                </c:pt>
                <c:pt idx="475">
                  <c:v>323.75850000000003</c:v>
                </c:pt>
                <c:pt idx="476">
                  <c:v>324.50850000000003</c:v>
                </c:pt>
                <c:pt idx="477">
                  <c:v>325.11150000000004</c:v>
                </c:pt>
                <c:pt idx="478">
                  <c:v>325.28249999999997</c:v>
                </c:pt>
                <c:pt idx="479">
                  <c:v>325.3005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ED5-4B7A-A185-BA3C3DDB3E54}"/>
            </c:ext>
          </c:extLst>
        </c:ser>
        <c:ser>
          <c:idx val="15"/>
          <c:order val="15"/>
          <c:tx>
            <c:strRef>
              <c:f>'FPSO1 Base'!$R$2</c:f>
              <c:strCache>
                <c:ptCount val="1"/>
                <c:pt idx="0">
                  <c:v>P16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Base'!$R$3:$R$730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342.25049999999999</c:v>
                </c:pt>
                <c:pt idx="47">
                  <c:v>1023.9435000000001</c:v>
                </c:pt>
                <c:pt idx="48">
                  <c:v>952.39949999999999</c:v>
                </c:pt>
                <c:pt idx="49">
                  <c:v>874.33049999999992</c:v>
                </c:pt>
                <c:pt idx="50">
                  <c:v>817.79099999999994</c:v>
                </c:pt>
                <c:pt idx="51">
                  <c:v>766.02449999999999</c:v>
                </c:pt>
                <c:pt idx="52">
                  <c:v>731.61300000000006</c:v>
                </c:pt>
                <c:pt idx="53">
                  <c:v>698.07449999999994</c:v>
                </c:pt>
                <c:pt idx="54">
                  <c:v>657.60450000000003</c:v>
                </c:pt>
                <c:pt idx="55">
                  <c:v>630.29100000000005</c:v>
                </c:pt>
                <c:pt idx="56">
                  <c:v>599.25</c:v>
                </c:pt>
                <c:pt idx="57">
                  <c:v>581.44350000000009</c:v>
                </c:pt>
                <c:pt idx="58">
                  <c:v>562.09950000000003</c:v>
                </c:pt>
                <c:pt idx="59">
                  <c:v>545.85450000000003</c:v>
                </c:pt>
                <c:pt idx="60">
                  <c:v>529.20000000000005</c:v>
                </c:pt>
                <c:pt idx="61">
                  <c:v>514.452</c:v>
                </c:pt>
                <c:pt idx="62">
                  <c:v>499.524</c:v>
                </c:pt>
                <c:pt idx="63">
                  <c:v>484.67550000000006</c:v>
                </c:pt>
                <c:pt idx="64">
                  <c:v>472.04100000000005</c:v>
                </c:pt>
                <c:pt idx="65">
                  <c:v>459.32549999999998</c:v>
                </c:pt>
                <c:pt idx="66">
                  <c:v>448.69350000000003</c:v>
                </c:pt>
                <c:pt idx="67">
                  <c:v>438.96749999999997</c:v>
                </c:pt>
                <c:pt idx="68">
                  <c:v>428.38350000000003</c:v>
                </c:pt>
                <c:pt idx="69">
                  <c:v>420.411</c:v>
                </c:pt>
                <c:pt idx="70">
                  <c:v>411.77549999999997</c:v>
                </c:pt>
                <c:pt idx="71">
                  <c:v>404.49149999999997</c:v>
                </c:pt>
                <c:pt idx="72">
                  <c:v>397.20000000000005</c:v>
                </c:pt>
                <c:pt idx="73">
                  <c:v>390.774</c:v>
                </c:pt>
                <c:pt idx="74">
                  <c:v>384.774</c:v>
                </c:pt>
                <c:pt idx="75">
                  <c:v>378.9255</c:v>
                </c:pt>
                <c:pt idx="76">
                  <c:v>281.298</c:v>
                </c:pt>
                <c:pt idx="77">
                  <c:v>258.40049999999997</c:v>
                </c:pt>
                <c:pt idx="78">
                  <c:v>258.315</c:v>
                </c:pt>
                <c:pt idx="79">
                  <c:v>257.322</c:v>
                </c:pt>
                <c:pt idx="80">
                  <c:v>254.83949999999999</c:v>
                </c:pt>
                <c:pt idx="81">
                  <c:v>252.363</c:v>
                </c:pt>
                <c:pt idx="82">
                  <c:v>249.62549999999999</c:v>
                </c:pt>
                <c:pt idx="83">
                  <c:v>248.298</c:v>
                </c:pt>
                <c:pt idx="84">
                  <c:v>246.9255</c:v>
                </c:pt>
                <c:pt idx="85">
                  <c:v>245.37149999999997</c:v>
                </c:pt>
                <c:pt idx="86">
                  <c:v>243.87149999999997</c:v>
                </c:pt>
                <c:pt idx="87">
                  <c:v>241.84950000000001</c:v>
                </c:pt>
                <c:pt idx="88">
                  <c:v>239.709</c:v>
                </c:pt>
                <c:pt idx="89">
                  <c:v>237.29999999999998</c:v>
                </c:pt>
                <c:pt idx="90">
                  <c:v>233.80650000000003</c:v>
                </c:pt>
                <c:pt idx="91">
                  <c:v>231.072</c:v>
                </c:pt>
                <c:pt idx="92">
                  <c:v>228.36150000000004</c:v>
                </c:pt>
                <c:pt idx="93">
                  <c:v>226.161</c:v>
                </c:pt>
                <c:pt idx="94">
                  <c:v>223.75049999999999</c:v>
                </c:pt>
                <c:pt idx="95">
                  <c:v>221.541</c:v>
                </c:pt>
                <c:pt idx="96">
                  <c:v>219.1995</c:v>
                </c:pt>
                <c:pt idx="97">
                  <c:v>217.065</c:v>
                </c:pt>
                <c:pt idx="98">
                  <c:v>214.887</c:v>
                </c:pt>
                <c:pt idx="99">
                  <c:v>212.59950000000001</c:v>
                </c:pt>
                <c:pt idx="100">
                  <c:v>210.435</c:v>
                </c:pt>
                <c:pt idx="101">
                  <c:v>208.09950000000001</c:v>
                </c:pt>
                <c:pt idx="102">
                  <c:v>203.976</c:v>
                </c:pt>
                <c:pt idx="103">
                  <c:v>201.339</c:v>
                </c:pt>
                <c:pt idx="104">
                  <c:v>198.8835</c:v>
                </c:pt>
                <c:pt idx="105">
                  <c:v>197.1525</c:v>
                </c:pt>
                <c:pt idx="106">
                  <c:v>195.12450000000001</c:v>
                </c:pt>
                <c:pt idx="107">
                  <c:v>193.2585</c:v>
                </c:pt>
                <c:pt idx="108">
                  <c:v>191.35049999999998</c:v>
                </c:pt>
                <c:pt idx="109">
                  <c:v>189.5565</c:v>
                </c:pt>
                <c:pt idx="110">
                  <c:v>187.7655</c:v>
                </c:pt>
                <c:pt idx="111">
                  <c:v>185.97450000000001</c:v>
                </c:pt>
                <c:pt idx="112">
                  <c:v>184.065</c:v>
                </c:pt>
                <c:pt idx="113">
                  <c:v>181.95</c:v>
                </c:pt>
                <c:pt idx="114">
                  <c:v>180.048</c:v>
                </c:pt>
                <c:pt idx="115">
                  <c:v>178.209</c:v>
                </c:pt>
                <c:pt idx="116">
                  <c:v>176.14350000000002</c:v>
                </c:pt>
                <c:pt idx="117">
                  <c:v>174.5565</c:v>
                </c:pt>
                <c:pt idx="118">
                  <c:v>172.6995</c:v>
                </c:pt>
                <c:pt idx="119">
                  <c:v>170.976</c:v>
                </c:pt>
                <c:pt idx="120">
                  <c:v>169.17449999999999</c:v>
                </c:pt>
                <c:pt idx="121">
                  <c:v>167.4915</c:v>
                </c:pt>
                <c:pt idx="122">
                  <c:v>165.822</c:v>
                </c:pt>
                <c:pt idx="123">
                  <c:v>164.14950000000002</c:v>
                </c:pt>
                <c:pt idx="124">
                  <c:v>162.5805</c:v>
                </c:pt>
                <c:pt idx="125">
                  <c:v>160.97549999999998</c:v>
                </c:pt>
                <c:pt idx="126">
                  <c:v>159.435</c:v>
                </c:pt>
                <c:pt idx="127">
                  <c:v>158.0085</c:v>
                </c:pt>
                <c:pt idx="128">
                  <c:v>156.375</c:v>
                </c:pt>
                <c:pt idx="129">
                  <c:v>155.0805</c:v>
                </c:pt>
                <c:pt idx="130">
                  <c:v>153.5745</c:v>
                </c:pt>
                <c:pt idx="131">
                  <c:v>152.202</c:v>
                </c:pt>
                <c:pt idx="132">
                  <c:v>150.77549999999999</c:v>
                </c:pt>
                <c:pt idx="133">
                  <c:v>149.46780000000001</c:v>
                </c:pt>
                <c:pt idx="134">
                  <c:v>148.08870000000002</c:v>
                </c:pt>
                <c:pt idx="135">
                  <c:v>146.74994999999998</c:v>
                </c:pt>
                <c:pt idx="136">
                  <c:v>145.5</c:v>
                </c:pt>
                <c:pt idx="137">
                  <c:v>144.19995</c:v>
                </c:pt>
                <c:pt idx="138">
                  <c:v>142.91129999999998</c:v>
                </c:pt>
                <c:pt idx="139">
                  <c:v>141.70155</c:v>
                </c:pt>
                <c:pt idx="140">
                  <c:v>140.3793</c:v>
                </c:pt>
                <c:pt idx="141">
                  <c:v>139.40325000000001</c:v>
                </c:pt>
                <c:pt idx="142">
                  <c:v>138.02504999999999</c:v>
                </c:pt>
                <c:pt idx="143">
                  <c:v>136.6935</c:v>
                </c:pt>
                <c:pt idx="144">
                  <c:v>135.32505</c:v>
                </c:pt>
                <c:pt idx="145">
                  <c:v>134.15325000000001</c:v>
                </c:pt>
                <c:pt idx="146">
                  <c:v>133.04040000000001</c:v>
                </c:pt>
                <c:pt idx="147">
                  <c:v>131.95005</c:v>
                </c:pt>
                <c:pt idx="148">
                  <c:v>131.08064999999999</c:v>
                </c:pt>
                <c:pt idx="149">
                  <c:v>130.125</c:v>
                </c:pt>
                <c:pt idx="150">
                  <c:v>128.10480000000001</c:v>
                </c:pt>
                <c:pt idx="151">
                  <c:v>127.08870000000002</c:v>
                </c:pt>
                <c:pt idx="152">
                  <c:v>126.21435</c:v>
                </c:pt>
                <c:pt idx="153">
                  <c:v>125.54040000000001</c:v>
                </c:pt>
                <c:pt idx="154">
                  <c:v>124.84995000000001</c:v>
                </c:pt>
                <c:pt idx="155">
                  <c:v>124.18545</c:v>
                </c:pt>
                <c:pt idx="156">
                  <c:v>123.49994999999998</c:v>
                </c:pt>
                <c:pt idx="157">
                  <c:v>122.87909999999999</c:v>
                </c:pt>
                <c:pt idx="158">
                  <c:v>122.25</c:v>
                </c:pt>
                <c:pt idx="159">
                  <c:v>121.67505</c:v>
                </c:pt>
                <c:pt idx="160">
                  <c:v>120.4582995</c:v>
                </c:pt>
                <c:pt idx="161">
                  <c:v>119.253716505</c:v>
                </c:pt>
                <c:pt idx="162">
                  <c:v>118.06117933995</c:v>
                </c:pt>
                <c:pt idx="163">
                  <c:v>116.88056754655049</c:v>
                </c:pt>
                <c:pt idx="164">
                  <c:v>115.71176187108499</c:v>
                </c:pt>
                <c:pt idx="165">
                  <c:v>114.55464425237413</c:v>
                </c:pt>
                <c:pt idx="166">
                  <c:v>113.40909780985039</c:v>
                </c:pt>
                <c:pt idx="167">
                  <c:v>112.2750068317519</c:v>
                </c:pt>
                <c:pt idx="168">
                  <c:v>111.15225676343438</c:v>
                </c:pt>
                <c:pt idx="169">
                  <c:v>110.04073419580004</c:v>
                </c:pt>
                <c:pt idx="170">
                  <c:v>108.94032685384204</c:v>
                </c:pt>
                <c:pt idx="171">
                  <c:v>107.85092358530362</c:v>
                </c:pt>
                <c:pt idx="172">
                  <c:v>106.77241434945059</c:v>
                </c:pt>
                <c:pt idx="173">
                  <c:v>105.70469020595608</c:v>
                </c:pt>
                <c:pt idx="174">
                  <c:v>104.64764330389652</c:v>
                </c:pt>
                <c:pt idx="175">
                  <c:v>103.60116687085755</c:v>
                </c:pt>
                <c:pt idx="176">
                  <c:v>102.56515520214897</c:v>
                </c:pt>
                <c:pt idx="177">
                  <c:v>101.53950365012749</c:v>
                </c:pt>
                <c:pt idx="178">
                  <c:v>100.52410861362621</c:v>
                </c:pt>
                <c:pt idx="179">
                  <c:v>99.518867527489945</c:v>
                </c:pt>
                <c:pt idx="180">
                  <c:v>98.523678852215042</c:v>
                </c:pt>
                <c:pt idx="181">
                  <c:v>97.538442063692884</c:v>
                </c:pt>
                <c:pt idx="182">
                  <c:v>96.563057643055956</c:v>
                </c:pt>
                <c:pt idx="183">
                  <c:v>95.5974270666254</c:v>
                </c:pt>
                <c:pt idx="184">
                  <c:v>94.64145279595914</c:v>
                </c:pt>
                <c:pt idx="185">
                  <c:v>93.69503826799955</c:v>
                </c:pt>
                <c:pt idx="186">
                  <c:v>92.758087885319554</c:v>
                </c:pt>
                <c:pt idx="187">
                  <c:v>91.830507006466362</c:v>
                </c:pt>
                <c:pt idx="188">
                  <c:v>90.912201936401701</c:v>
                </c:pt>
                <c:pt idx="189">
                  <c:v>90.003079917037681</c:v>
                </c:pt>
                <c:pt idx="190">
                  <c:v>89.1030491178673</c:v>
                </c:pt>
                <c:pt idx="191">
                  <c:v>88.212018626688632</c:v>
                </c:pt>
                <c:pt idx="192">
                  <c:v>87.329898440421744</c:v>
                </c:pt>
                <c:pt idx="193">
                  <c:v>86.456599456017528</c:v>
                </c:pt>
                <c:pt idx="194">
                  <c:v>85.592033461457348</c:v>
                </c:pt>
                <c:pt idx="195">
                  <c:v>84.736113126842767</c:v>
                </c:pt>
                <c:pt idx="196">
                  <c:v>83.888751995574339</c:v>
                </c:pt>
                <c:pt idx="197">
                  <c:v>83.049864475618591</c:v>
                </c:pt>
                <c:pt idx="198">
                  <c:v>82.219365830862401</c:v>
                </c:pt>
                <c:pt idx="199">
                  <c:v>81.39717217255378</c:v>
                </c:pt>
                <c:pt idx="200">
                  <c:v>80.583200450828244</c:v>
                </c:pt>
                <c:pt idx="201">
                  <c:v>79.777368446319954</c:v>
                </c:pt>
                <c:pt idx="202">
                  <c:v>78.97959476185676</c:v>
                </c:pt>
                <c:pt idx="203">
                  <c:v>78.189798814238188</c:v>
                </c:pt>
                <c:pt idx="204">
                  <c:v>77.407900826095812</c:v>
                </c:pt>
                <c:pt idx="205">
                  <c:v>76.633821817834857</c:v>
                </c:pt>
                <c:pt idx="206">
                  <c:v>75.867483599656509</c:v>
                </c:pt>
                <c:pt idx="207">
                  <c:v>75.108808763659937</c:v>
                </c:pt>
                <c:pt idx="208">
                  <c:v>74.357720676023334</c:v>
                </c:pt>
                <c:pt idx="209">
                  <c:v>73.614143469263098</c:v>
                </c:pt>
                <c:pt idx="210">
                  <c:v>72.878002034570471</c:v>
                </c:pt>
                <c:pt idx="211">
                  <c:v>72.149222014224762</c:v>
                </c:pt>
                <c:pt idx="212">
                  <c:v>71.427729794082509</c:v>
                </c:pt>
                <c:pt idx="213">
                  <c:v>70.713452496141684</c:v>
                </c:pt>
                <c:pt idx="214">
                  <c:v>70.006317971180266</c:v>
                </c:pt>
                <c:pt idx="215">
                  <c:v>69.306254791468461</c:v>
                </c:pt>
                <c:pt idx="216">
                  <c:v>68.613192243553783</c:v>
                </c:pt>
                <c:pt idx="217">
                  <c:v>67.927060321118248</c:v>
                </c:pt>
                <c:pt idx="218">
                  <c:v>67.247789717907068</c:v>
                </c:pt>
                <c:pt idx="219">
                  <c:v>66.57531182072799</c:v>
                </c:pt>
                <c:pt idx="220">
                  <c:v>65.909558702520712</c:v>
                </c:pt>
                <c:pt idx="221">
                  <c:v>65.250463115495506</c:v>
                </c:pt>
                <c:pt idx="222">
                  <c:v>64.597958484340552</c:v>
                </c:pt>
                <c:pt idx="223">
                  <c:v>63.951978899497149</c:v>
                </c:pt>
                <c:pt idx="224">
                  <c:v>63.312459110502175</c:v>
                </c:pt>
                <c:pt idx="225">
                  <c:v>62.679334519397152</c:v>
                </c:pt>
                <c:pt idx="226">
                  <c:v>62.052541174203178</c:v>
                </c:pt>
                <c:pt idx="227">
                  <c:v>61.432015762461148</c:v>
                </c:pt>
                <c:pt idx="228">
                  <c:v>60.817695604836537</c:v>
                </c:pt>
                <c:pt idx="229">
                  <c:v>60.209518648788169</c:v>
                </c:pt>
                <c:pt idx="230">
                  <c:v>59.607423462300289</c:v>
                </c:pt>
                <c:pt idx="231">
                  <c:v>59.011349227677286</c:v>
                </c:pt>
                <c:pt idx="232">
                  <c:v>58.421235735400515</c:v>
                </c:pt>
                <c:pt idx="233">
                  <c:v>57.83702337804651</c:v>
                </c:pt>
                <c:pt idx="234">
                  <c:v>57.258653144266042</c:v>
                </c:pt>
                <c:pt idx="235">
                  <c:v>56.686066612823382</c:v>
                </c:pt>
                <c:pt idx="236">
                  <c:v>56.119205946695146</c:v>
                </c:pt>
                <c:pt idx="237">
                  <c:v>55.558013887228192</c:v>
                </c:pt>
                <c:pt idx="238">
                  <c:v>55.002433748355912</c:v>
                </c:pt>
                <c:pt idx="239">
                  <c:v>54.452409410872356</c:v>
                </c:pt>
                <c:pt idx="240">
                  <c:v>53.907885316763632</c:v>
                </c:pt>
                <c:pt idx="241">
                  <c:v>53.368806463595995</c:v>
                </c:pt>
                <c:pt idx="242">
                  <c:v>52.835118398960034</c:v>
                </c:pt>
                <c:pt idx="243">
                  <c:v>52.306767214970435</c:v>
                </c:pt>
                <c:pt idx="244">
                  <c:v>51.783699542820727</c:v>
                </c:pt>
                <c:pt idx="245">
                  <c:v>51.265862547392523</c:v>
                </c:pt>
                <c:pt idx="246">
                  <c:v>50.753203921918598</c:v>
                </c:pt>
                <c:pt idx="247">
                  <c:v>50.245671882699412</c:v>
                </c:pt>
                <c:pt idx="248">
                  <c:v>49.743215163872421</c:v>
                </c:pt>
                <c:pt idx="249">
                  <c:v>49.245783012233694</c:v>
                </c:pt>
                <c:pt idx="250">
                  <c:v>48.753325182111354</c:v>
                </c:pt>
                <c:pt idx="251">
                  <c:v>48.265791930290241</c:v>
                </c:pt>
                <c:pt idx="252">
                  <c:v>47.783134010987339</c:v>
                </c:pt>
                <c:pt idx="253">
                  <c:v>47.305302670877467</c:v>
                </c:pt>
                <c:pt idx="254">
                  <c:v>46.832249644168691</c:v>
                </c:pt>
                <c:pt idx="255">
                  <c:v>46.363927147727004</c:v>
                </c:pt>
                <c:pt idx="256">
                  <c:v>45.900287876249735</c:v>
                </c:pt>
                <c:pt idx="257">
                  <c:v>45.441284997487237</c:v>
                </c:pt>
                <c:pt idx="258">
                  <c:v>44.986872147512365</c:v>
                </c:pt>
                <c:pt idx="259">
                  <c:v>44.537003426037238</c:v>
                </c:pt>
                <c:pt idx="260">
                  <c:v>44.091633391776867</c:v>
                </c:pt>
                <c:pt idx="261">
                  <c:v>43.650717057859097</c:v>
                </c:pt>
                <c:pt idx="262">
                  <c:v>43.214209887280504</c:v>
                </c:pt>
                <c:pt idx="263">
                  <c:v>42.782067788407701</c:v>
                </c:pt>
                <c:pt idx="264">
                  <c:v>42.354247110523623</c:v>
                </c:pt>
                <c:pt idx="265">
                  <c:v>41.930704639418387</c:v>
                </c:pt>
                <c:pt idx="266">
                  <c:v>41.511397593024206</c:v>
                </c:pt>
                <c:pt idx="267">
                  <c:v>41.096283617093967</c:v>
                </c:pt>
                <c:pt idx="268">
                  <c:v>40.685320780923028</c:v>
                </c:pt>
                <c:pt idx="269">
                  <c:v>40.278467573113801</c:v>
                </c:pt>
                <c:pt idx="270">
                  <c:v>39.87568289738266</c:v>
                </c:pt>
                <c:pt idx="271">
                  <c:v>39.476926068408837</c:v>
                </c:pt>
                <c:pt idx="272">
                  <c:v>39.082156807724751</c:v>
                </c:pt>
                <c:pt idx="273">
                  <c:v>38.691335239647501</c:v>
                </c:pt>
                <c:pt idx="274">
                  <c:v>38.304421887251024</c:v>
                </c:pt>
                <c:pt idx="275">
                  <c:v>37.921377668378511</c:v>
                </c:pt>
                <c:pt idx="276">
                  <c:v>37.542163891694727</c:v>
                </c:pt>
                <c:pt idx="277">
                  <c:v>37.16674225277778</c:v>
                </c:pt>
                <c:pt idx="278">
                  <c:v>36.795074830250002</c:v>
                </c:pt>
                <c:pt idx="279">
                  <c:v>36.427124081947504</c:v>
                </c:pt>
                <c:pt idx="280">
                  <c:v>36.062852841128027</c:v>
                </c:pt>
                <c:pt idx="281">
                  <c:v>35.702224312716744</c:v>
                </c:pt>
                <c:pt idx="282">
                  <c:v>35.345202069589575</c:v>
                </c:pt>
                <c:pt idx="283">
                  <c:v>34.991750048893678</c:v>
                </c:pt>
                <c:pt idx="284">
                  <c:v>34.641832548404743</c:v>
                </c:pt>
                <c:pt idx="285">
                  <c:v>34.295414222920698</c:v>
                </c:pt>
                <c:pt idx="286">
                  <c:v>33.952460080691488</c:v>
                </c:pt>
                <c:pt idx="287">
                  <c:v>33.61293547988457</c:v>
                </c:pt>
                <c:pt idx="288">
                  <c:v>33.27680612508572</c:v>
                </c:pt>
                <c:pt idx="289">
                  <c:v>32.94403806383486</c:v>
                </c:pt>
                <c:pt idx="290">
                  <c:v>32.614597683196514</c:v>
                </c:pt>
                <c:pt idx="291">
                  <c:v>32.288451706364548</c:v>
                </c:pt>
                <c:pt idx="292">
                  <c:v>31.965567189300902</c:v>
                </c:pt>
                <c:pt idx="293">
                  <c:v>31.645911517407892</c:v>
                </c:pt>
                <c:pt idx="294">
                  <c:v>31.329452402233812</c:v>
                </c:pt>
                <c:pt idx="295">
                  <c:v>31.016157878211473</c:v>
                </c:pt>
                <c:pt idx="296">
                  <c:v>30.705996299429358</c:v>
                </c:pt>
                <c:pt idx="297">
                  <c:v>30.398936336435064</c:v>
                </c:pt>
                <c:pt idx="298">
                  <c:v>30.094946973070712</c:v>
                </c:pt>
                <c:pt idx="299">
                  <c:v>29.793997503340005</c:v>
                </c:pt>
                <c:pt idx="300">
                  <c:v>29.496057528306604</c:v>
                </c:pt>
                <c:pt idx="301">
                  <c:v>29.201096953023537</c:v>
                </c:pt>
                <c:pt idx="302">
                  <c:v>28.909085983493302</c:v>
                </c:pt>
                <c:pt idx="303">
                  <c:v>28.61999512365837</c:v>
                </c:pt>
                <c:pt idx="304">
                  <c:v>28.333795172421787</c:v>
                </c:pt>
                <c:pt idx="305">
                  <c:v>28.05045722069757</c:v>
                </c:pt>
                <c:pt idx="306">
                  <c:v>27.769952648490595</c:v>
                </c:pt>
                <c:pt idx="307">
                  <c:v>27.492253122005689</c:v>
                </c:pt>
                <c:pt idx="308">
                  <c:v>27.217330590785632</c:v>
                </c:pt>
                <c:pt idx="309">
                  <c:v>26.945157284877777</c:v>
                </c:pt>
                <c:pt idx="310">
                  <c:v>26.675705712029</c:v>
                </c:pt>
                <c:pt idx="311">
                  <c:v>26.408948654908709</c:v>
                </c:pt>
                <c:pt idx="312">
                  <c:v>26.144859168359623</c:v>
                </c:pt>
                <c:pt idx="313">
                  <c:v>25.883410576676027</c:v>
                </c:pt>
                <c:pt idx="314">
                  <c:v>25.624576470909268</c:v>
                </c:pt>
                <c:pt idx="315">
                  <c:v>25.368330706200176</c:v>
                </c:pt>
                <c:pt idx="316">
                  <c:v>25.114647399138175</c:v>
                </c:pt>
                <c:pt idx="317">
                  <c:v>24.863500925146791</c:v>
                </c:pt>
                <c:pt idx="318">
                  <c:v>24.614865915895322</c:v>
                </c:pt>
                <c:pt idx="319">
                  <c:v>24.368717256736367</c:v>
                </c:pt>
                <c:pt idx="320">
                  <c:v>24.125030084169005</c:v>
                </c:pt>
                <c:pt idx="321">
                  <c:v>23.883779783327313</c:v>
                </c:pt>
                <c:pt idx="322">
                  <c:v>23.644941985494039</c:v>
                </c:pt>
                <c:pt idx="323">
                  <c:v>23.408492565639097</c:v>
                </c:pt>
                <c:pt idx="324">
                  <c:v>23.174407639982707</c:v>
                </c:pt>
                <c:pt idx="325">
                  <c:v>22.94266356358288</c:v>
                </c:pt>
                <c:pt idx="326">
                  <c:v>22.713236927947051</c:v>
                </c:pt>
                <c:pt idx="327">
                  <c:v>22.486104558667581</c:v>
                </c:pt>
                <c:pt idx="328">
                  <c:v>22.261243513080906</c:v>
                </c:pt>
                <c:pt idx="329">
                  <c:v>22.038631077950097</c:v>
                </c:pt>
                <c:pt idx="330">
                  <c:v>21.818244767170597</c:v>
                </c:pt>
                <c:pt idx="331">
                  <c:v>21.600062319498893</c:v>
                </c:pt>
                <c:pt idx="332">
                  <c:v>21.384061696303903</c:v>
                </c:pt>
                <c:pt idx="333">
                  <c:v>21.170221079340863</c:v>
                </c:pt>
                <c:pt idx="334">
                  <c:v>20.958518868547454</c:v>
                </c:pt>
                <c:pt idx="335">
                  <c:v>20.748933679861981</c:v>
                </c:pt>
                <c:pt idx="336">
                  <c:v>20.541444343063361</c:v>
                </c:pt>
                <c:pt idx="337">
                  <c:v>20.336029899632727</c:v>
                </c:pt>
                <c:pt idx="338">
                  <c:v>20.132669600636401</c:v>
                </c:pt>
                <c:pt idx="339">
                  <c:v>19.931342904630036</c:v>
                </c:pt>
                <c:pt idx="340">
                  <c:v>19.732029475583737</c:v>
                </c:pt>
                <c:pt idx="341">
                  <c:v>19.5347091808279</c:v>
                </c:pt>
                <c:pt idx="342">
                  <c:v>19.33936208901962</c:v>
                </c:pt>
                <c:pt idx="343">
                  <c:v>19.145968468129425</c:v>
                </c:pt>
                <c:pt idx="344">
                  <c:v>18.95450878344813</c:v>
                </c:pt>
                <c:pt idx="345">
                  <c:v>18.764963695613648</c:v>
                </c:pt>
                <c:pt idx="346">
                  <c:v>18.57731405865751</c:v>
                </c:pt>
                <c:pt idx="347">
                  <c:v>18.391540918070934</c:v>
                </c:pt>
                <c:pt idx="348">
                  <c:v>18.207625508890224</c:v>
                </c:pt>
                <c:pt idx="349">
                  <c:v>18.025549253801323</c:v>
                </c:pt>
                <c:pt idx="350">
                  <c:v>17.84529376126331</c:v>
                </c:pt>
                <c:pt idx="351">
                  <c:v>17.666840823650677</c:v>
                </c:pt>
                <c:pt idx="352">
                  <c:v>17.490172415414172</c:v>
                </c:pt>
                <c:pt idx="353">
                  <c:v>17.315270691260029</c:v>
                </c:pt>
                <c:pt idx="354">
                  <c:v>17.142117984347429</c:v>
                </c:pt>
                <c:pt idx="355">
                  <c:v>16.970696804503955</c:v>
                </c:pt>
                <c:pt idx="356">
                  <c:v>16.800989836458914</c:v>
                </c:pt>
                <c:pt idx="357">
                  <c:v>16.632979938094326</c:v>
                </c:pt>
                <c:pt idx="358">
                  <c:v>16.466650138713383</c:v>
                </c:pt>
                <c:pt idx="359">
                  <c:v>16.301983637326249</c:v>
                </c:pt>
                <c:pt idx="360">
                  <c:v>16.138963800952986</c:v>
                </c:pt>
                <c:pt idx="361">
                  <c:v>15.977574162943457</c:v>
                </c:pt>
                <c:pt idx="362">
                  <c:v>15.817798421314022</c:v>
                </c:pt>
                <c:pt idx="363">
                  <c:v>15.659620437100882</c:v>
                </c:pt>
                <c:pt idx="364">
                  <c:v>15.503024232729873</c:v>
                </c:pt>
                <c:pt idx="365">
                  <c:v>15.347993990402573</c:v>
                </c:pt>
                <c:pt idx="366">
                  <c:v>15.194514050498547</c:v>
                </c:pt>
                <c:pt idx="367">
                  <c:v>15.042568909993562</c:v>
                </c:pt>
                <c:pt idx="368">
                  <c:v>14.892143220893626</c:v>
                </c:pt>
                <c:pt idx="369">
                  <c:v>14.743221788684689</c:v>
                </c:pt>
                <c:pt idx="370">
                  <c:v>14.595789570797843</c:v>
                </c:pt>
                <c:pt idx="371">
                  <c:v>14.449831675089865</c:v>
                </c:pt>
                <c:pt idx="372">
                  <c:v>14.305333358338967</c:v>
                </c:pt>
                <c:pt idx="373">
                  <c:v>14.162280024755576</c:v>
                </c:pt>
                <c:pt idx="374">
                  <c:v>14.020657224508021</c:v>
                </c:pt>
                <c:pt idx="375">
                  <c:v>13.88045065226294</c:v>
                </c:pt>
                <c:pt idx="376">
                  <c:v>13.741646145740312</c:v>
                </c:pt>
                <c:pt idx="377">
                  <c:v>13.604229684282908</c:v>
                </c:pt>
                <c:pt idx="378">
                  <c:v>13.468187387440079</c:v>
                </c:pt>
                <c:pt idx="379">
                  <c:v>13.333505513565678</c:v>
                </c:pt>
                <c:pt idx="380">
                  <c:v>13.200170458430021</c:v>
                </c:pt>
                <c:pt idx="381">
                  <c:v>13.06816875384572</c:v>
                </c:pt>
                <c:pt idx="382">
                  <c:v>12.937487066307263</c:v>
                </c:pt>
                <c:pt idx="383">
                  <c:v>12.80811219564419</c:v>
                </c:pt>
                <c:pt idx="384">
                  <c:v>12.680031073687749</c:v>
                </c:pt>
                <c:pt idx="385">
                  <c:v>12.553230762950871</c:v>
                </c:pt>
                <c:pt idx="386">
                  <c:v>12.427698455321362</c:v>
                </c:pt>
                <c:pt idx="387">
                  <c:v>12.303421470768148</c:v>
                </c:pt>
                <c:pt idx="388">
                  <c:v>12.180387256060467</c:v>
                </c:pt>
                <c:pt idx="389">
                  <c:v>12.058583383499862</c:v>
                </c:pt>
                <c:pt idx="390">
                  <c:v>11.937997549664862</c:v>
                </c:pt>
                <c:pt idx="391">
                  <c:v>11.818617574168213</c:v>
                </c:pt>
                <c:pt idx="392">
                  <c:v>11.700431398426531</c:v>
                </c:pt>
                <c:pt idx="393">
                  <c:v>11.583427084442265</c:v>
                </c:pt>
                <c:pt idx="394">
                  <c:v>11.467592813597843</c:v>
                </c:pt>
                <c:pt idx="395">
                  <c:v>11.352916885461864</c:v>
                </c:pt>
                <c:pt idx="396">
                  <c:v>11.239387716607245</c:v>
                </c:pt>
                <c:pt idx="397">
                  <c:v>11.126993839441173</c:v>
                </c:pt>
                <c:pt idx="398">
                  <c:v>11.015723901046762</c:v>
                </c:pt>
                <c:pt idx="399">
                  <c:v>10.905566662036295</c:v>
                </c:pt>
                <c:pt idx="400">
                  <c:v>10.796510995415931</c:v>
                </c:pt>
                <c:pt idx="401">
                  <c:v>10.688545885461771</c:v>
                </c:pt>
                <c:pt idx="402">
                  <c:v>10.581660426607153</c:v>
                </c:pt>
                <c:pt idx="403">
                  <c:v>10.475843822341082</c:v>
                </c:pt>
                <c:pt idx="404">
                  <c:v>10.37108538411767</c:v>
                </c:pt>
                <c:pt idx="405">
                  <c:v>10.267374530276493</c:v>
                </c:pt>
                <c:pt idx="406">
                  <c:v>10.164700784973729</c:v>
                </c:pt>
                <c:pt idx="407">
                  <c:v>10.063053777123992</c:v>
                </c:pt>
                <c:pt idx="408">
                  <c:v>9.9624232393527521</c:v>
                </c:pt>
                <c:pt idx="409">
                  <c:v>9.8627990069592251</c:v>
                </c:pt>
                <c:pt idx="410">
                  <c:v>9.7641710168896321</c:v>
                </c:pt>
                <c:pt idx="411">
                  <c:v>9.6665293067207365</c:v>
                </c:pt>
                <c:pt idx="412">
                  <c:v>9.5698640136535289</c:v>
                </c:pt>
                <c:pt idx="413">
                  <c:v>9.4741653735169944</c:v>
                </c:pt>
                <c:pt idx="414">
                  <c:v>9.3794237197818244</c:v>
                </c:pt>
                <c:pt idx="415">
                  <c:v>9.2856294825840067</c:v>
                </c:pt>
                <c:pt idx="416">
                  <c:v>9.1927731877581671</c:v>
                </c:pt>
                <c:pt idx="417">
                  <c:v>9.1008454558805845</c:v>
                </c:pt>
                <c:pt idx="418">
                  <c:v>9.0098370013217792</c:v>
                </c:pt>
                <c:pt idx="419">
                  <c:v>8.9197386313085616</c:v>
                </c:pt>
                <c:pt idx="420">
                  <c:v>8.8305412449954765</c:v>
                </c:pt>
                <c:pt idx="421">
                  <c:v>8.7422358325455214</c:v>
                </c:pt>
                <c:pt idx="422">
                  <c:v>8.6548134742200666</c:v>
                </c:pt>
                <c:pt idx="423">
                  <c:v>8.5682653394778665</c:v>
                </c:pt>
                <c:pt idx="424">
                  <c:v>8.482582686083088</c:v>
                </c:pt>
                <c:pt idx="425">
                  <c:v>8.3977568592222571</c:v>
                </c:pt>
                <c:pt idx="426">
                  <c:v>8.3137792906300341</c:v>
                </c:pt>
                <c:pt idx="427">
                  <c:v>8.2306414977237328</c:v>
                </c:pt>
                <c:pt idx="428">
                  <c:v>8.1483350827464953</c:v>
                </c:pt>
                <c:pt idx="429">
                  <c:v>8.06685173191903</c:v>
                </c:pt>
                <c:pt idx="430">
                  <c:v>7.9861832145998397</c:v>
                </c:pt>
                <c:pt idx="431">
                  <c:v>7.9063213824538412</c:v>
                </c:pt>
                <c:pt idx="432">
                  <c:v>7.827258168629303</c:v>
                </c:pt>
                <c:pt idx="433">
                  <c:v>7.74898558694301</c:v>
                </c:pt>
                <c:pt idx="434">
                  <c:v>7.6714957310735796</c:v>
                </c:pt>
                <c:pt idx="435">
                  <c:v>7.5947807737628441</c:v>
                </c:pt>
                <c:pt idx="436">
                  <c:v>7.518832966025216</c:v>
                </c:pt>
                <c:pt idx="437">
                  <c:v>7.4436446363649642</c:v>
                </c:pt>
                <c:pt idx="438">
                  <c:v>7.3692081900013147</c:v>
                </c:pt>
                <c:pt idx="439">
                  <c:v>7.2955161081013014</c:v>
                </c:pt>
                <c:pt idx="440">
                  <c:v>7.2225609470202885</c:v>
                </c:pt>
                <c:pt idx="441">
                  <c:v>7.1503353375500858</c:v>
                </c:pt>
                <c:pt idx="442">
                  <c:v>7.0788319841745846</c:v>
                </c:pt>
                <c:pt idx="443">
                  <c:v>7.0080436643328383</c:v>
                </c:pt>
                <c:pt idx="444">
                  <c:v>6.9379632276895098</c:v>
                </c:pt>
                <c:pt idx="445">
                  <c:v>6.8685835954126144</c:v>
                </c:pt>
                <c:pt idx="446">
                  <c:v>6.7998977594584886</c:v>
                </c:pt>
                <c:pt idx="447">
                  <c:v>6.7318987818639036</c:v>
                </c:pt>
                <c:pt idx="448">
                  <c:v>6.6645797940452649</c:v>
                </c:pt>
                <c:pt idx="449">
                  <c:v>6.5979339961048122</c:v>
                </c:pt>
                <c:pt idx="450">
                  <c:v>6.531954656143764</c:v>
                </c:pt>
                <c:pt idx="451">
                  <c:v>6.4666351095823265</c:v>
                </c:pt>
                <c:pt idx="452">
                  <c:v>6.401968758486503</c:v>
                </c:pt>
                <c:pt idx="453">
                  <c:v>6.3379490709016384</c:v>
                </c:pt>
                <c:pt idx="454">
                  <c:v>6.2745695801926216</c:v>
                </c:pt>
                <c:pt idx="455">
                  <c:v>6.2118238843906957</c:v>
                </c:pt>
                <c:pt idx="456">
                  <c:v>6.1497056455467884</c:v>
                </c:pt>
                <c:pt idx="457">
                  <c:v>6.0882085890913205</c:v>
                </c:pt>
                <c:pt idx="458">
                  <c:v>6.0273265032004071</c:v>
                </c:pt>
                <c:pt idx="459">
                  <c:v>5.9670532381684032</c:v>
                </c:pt>
                <c:pt idx="460">
                  <c:v>5.907382705786719</c:v>
                </c:pt>
                <c:pt idx="461">
                  <c:v>5.8483088787288517</c:v>
                </c:pt>
                <c:pt idx="462">
                  <c:v>5.7898257899415633</c:v>
                </c:pt>
                <c:pt idx="463">
                  <c:v>5.7319275320421479</c:v>
                </c:pt>
                <c:pt idx="464">
                  <c:v>5.6746082567217266</c:v>
                </c:pt>
                <c:pt idx="465">
                  <c:v>5.6178621741545092</c:v>
                </c:pt>
                <c:pt idx="466">
                  <c:v>5.5616835524129637</c:v>
                </c:pt>
                <c:pt idx="467">
                  <c:v>5.5060667168888342</c:v>
                </c:pt>
                <c:pt idx="468">
                  <c:v>5.451006049719946</c:v>
                </c:pt>
                <c:pt idx="469">
                  <c:v>5.3964959892227462</c:v>
                </c:pt>
                <c:pt idx="470">
                  <c:v>5.3425310293305186</c:v>
                </c:pt>
                <c:pt idx="471">
                  <c:v>5.289105719037213</c:v>
                </c:pt>
                <c:pt idx="472">
                  <c:v>5.2362146618468408</c:v>
                </c:pt>
                <c:pt idx="473">
                  <c:v>5.1838525152283728</c:v>
                </c:pt>
                <c:pt idx="474">
                  <c:v>5.1320139900760893</c:v>
                </c:pt>
                <c:pt idx="475">
                  <c:v>5.0806938501753285</c:v>
                </c:pt>
                <c:pt idx="476">
                  <c:v>5.0298869116735752</c:v>
                </c:pt>
                <c:pt idx="477">
                  <c:v>4.9795880425568395</c:v>
                </c:pt>
                <c:pt idx="478">
                  <c:v>4.929792162131271</c:v>
                </c:pt>
                <c:pt idx="479">
                  <c:v>4.8804942405099583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ED5-4B7A-A185-BA3C3DDB3E54}"/>
            </c:ext>
          </c:extLst>
        </c:ser>
        <c:ser>
          <c:idx val="16"/>
          <c:order val="16"/>
          <c:tx>
            <c:strRef>
              <c:f>'FPSO1 Base'!$S$2</c:f>
              <c:strCache>
                <c:ptCount val="1"/>
                <c:pt idx="0">
                  <c:v>P17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Base'!$S$3:$S$730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569.40000000000009</c:v>
                </c:pt>
                <c:pt idx="47">
                  <c:v>1710.09</c:v>
                </c:pt>
                <c:pt idx="48">
                  <c:v>1159.1624999999999</c:v>
                </c:pt>
                <c:pt idx="49">
                  <c:v>1029.8220000000001</c:v>
                </c:pt>
                <c:pt idx="50">
                  <c:v>947.91599999999994</c:v>
                </c:pt>
                <c:pt idx="51">
                  <c:v>884.1869999999999</c:v>
                </c:pt>
                <c:pt idx="52">
                  <c:v>848.02049999999997</c:v>
                </c:pt>
                <c:pt idx="53">
                  <c:v>816</c:v>
                </c:pt>
                <c:pt idx="54">
                  <c:v>780.43499999999995</c:v>
                </c:pt>
                <c:pt idx="55">
                  <c:v>758.673</c:v>
                </c:pt>
                <c:pt idx="56">
                  <c:v>736.5809999999999</c:v>
                </c:pt>
                <c:pt idx="57">
                  <c:v>726.03600000000006</c:v>
                </c:pt>
                <c:pt idx="58">
                  <c:v>715.27500000000009</c:v>
                </c:pt>
                <c:pt idx="59">
                  <c:v>707.02049999999997</c:v>
                </c:pt>
                <c:pt idx="60">
                  <c:v>699.51299999999992</c:v>
                </c:pt>
                <c:pt idx="61">
                  <c:v>693.52049999999997</c:v>
                </c:pt>
                <c:pt idx="62">
                  <c:v>687.54449999999997</c:v>
                </c:pt>
                <c:pt idx="63">
                  <c:v>681.92550000000006</c:v>
                </c:pt>
                <c:pt idx="64">
                  <c:v>677.40750000000003</c:v>
                </c:pt>
                <c:pt idx="65">
                  <c:v>673.06200000000001</c:v>
                </c:pt>
                <c:pt idx="66">
                  <c:v>669.81000000000006</c:v>
                </c:pt>
                <c:pt idx="67">
                  <c:v>666.43500000000006</c:v>
                </c:pt>
                <c:pt idx="68">
                  <c:v>662.49149999999997</c:v>
                </c:pt>
                <c:pt idx="69">
                  <c:v>659.35950000000003</c:v>
                </c:pt>
                <c:pt idx="70">
                  <c:v>655.78800000000001</c:v>
                </c:pt>
                <c:pt idx="71">
                  <c:v>652.53600000000006</c:v>
                </c:pt>
                <c:pt idx="72">
                  <c:v>648.94949999999994</c:v>
                </c:pt>
                <c:pt idx="73">
                  <c:v>645.43500000000006</c:v>
                </c:pt>
                <c:pt idx="74">
                  <c:v>641.86649999999997</c:v>
                </c:pt>
                <c:pt idx="75">
                  <c:v>638.05050000000006</c:v>
                </c:pt>
                <c:pt idx="76">
                  <c:v>558.85950000000003</c:v>
                </c:pt>
                <c:pt idx="77">
                  <c:v>547.57500000000005</c:v>
                </c:pt>
                <c:pt idx="78">
                  <c:v>545.83050000000003</c:v>
                </c:pt>
                <c:pt idx="79">
                  <c:v>542.90250000000003</c:v>
                </c:pt>
                <c:pt idx="80">
                  <c:v>538.6875</c:v>
                </c:pt>
                <c:pt idx="81">
                  <c:v>535.16100000000006</c:v>
                </c:pt>
                <c:pt idx="82">
                  <c:v>531.36300000000006</c:v>
                </c:pt>
                <c:pt idx="83">
                  <c:v>528.89549999999997</c:v>
                </c:pt>
                <c:pt idx="84">
                  <c:v>526.125</c:v>
                </c:pt>
                <c:pt idx="85">
                  <c:v>523.30649999999991</c:v>
                </c:pt>
                <c:pt idx="86">
                  <c:v>520.53600000000006</c:v>
                </c:pt>
                <c:pt idx="87">
                  <c:v>517.33799999999997</c:v>
                </c:pt>
                <c:pt idx="88">
                  <c:v>514.06499999999994</c:v>
                </c:pt>
                <c:pt idx="89">
                  <c:v>510.46199999999999</c:v>
                </c:pt>
                <c:pt idx="90">
                  <c:v>504.97950000000003</c:v>
                </c:pt>
                <c:pt idx="91">
                  <c:v>501.60450000000003</c:v>
                </c:pt>
                <c:pt idx="92">
                  <c:v>498.05099999999999</c:v>
                </c:pt>
                <c:pt idx="93">
                  <c:v>495</c:v>
                </c:pt>
                <c:pt idx="94">
                  <c:v>491.54999999999995</c:v>
                </c:pt>
                <c:pt idx="95">
                  <c:v>488.45550000000003</c:v>
                </c:pt>
                <c:pt idx="96">
                  <c:v>485.08799999999997</c:v>
                </c:pt>
                <c:pt idx="97">
                  <c:v>481.947</c:v>
                </c:pt>
                <c:pt idx="98">
                  <c:v>478.851</c:v>
                </c:pt>
                <c:pt idx="99">
                  <c:v>475.57500000000005</c:v>
                </c:pt>
                <c:pt idx="100">
                  <c:v>472.548</c:v>
                </c:pt>
                <c:pt idx="101">
                  <c:v>469.39949999999999</c:v>
                </c:pt>
                <c:pt idx="102">
                  <c:v>462.64050000000003</c:v>
                </c:pt>
                <c:pt idx="103">
                  <c:v>459.87150000000003</c:v>
                </c:pt>
                <c:pt idx="104">
                  <c:v>457.1925</c:v>
                </c:pt>
                <c:pt idx="105">
                  <c:v>455.08050000000003</c:v>
                </c:pt>
                <c:pt idx="106">
                  <c:v>452.67450000000002</c:v>
                </c:pt>
                <c:pt idx="107">
                  <c:v>450.53250000000003</c:v>
                </c:pt>
                <c:pt idx="108">
                  <c:v>448.32449999999994</c:v>
                </c:pt>
                <c:pt idx="109">
                  <c:v>446.298</c:v>
                </c:pt>
                <c:pt idx="110">
                  <c:v>444.375</c:v>
                </c:pt>
                <c:pt idx="111">
                  <c:v>442.43700000000001</c:v>
                </c:pt>
                <c:pt idx="112">
                  <c:v>440.45550000000003</c:v>
                </c:pt>
                <c:pt idx="113">
                  <c:v>438.375</c:v>
                </c:pt>
                <c:pt idx="114">
                  <c:v>436.51199999999994</c:v>
                </c:pt>
                <c:pt idx="115">
                  <c:v>434.85450000000003</c:v>
                </c:pt>
                <c:pt idx="116">
                  <c:v>433.07100000000003</c:v>
                </c:pt>
                <c:pt idx="117">
                  <c:v>431.77049999999997</c:v>
                </c:pt>
                <c:pt idx="118">
                  <c:v>430.34999999999997</c:v>
                </c:pt>
                <c:pt idx="119">
                  <c:v>429.19350000000003</c:v>
                </c:pt>
                <c:pt idx="120">
                  <c:v>428.05050000000006</c:v>
                </c:pt>
                <c:pt idx="121">
                  <c:v>427.125</c:v>
                </c:pt>
                <c:pt idx="122">
                  <c:v>426.26550000000003</c:v>
                </c:pt>
                <c:pt idx="123">
                  <c:v>425.53800000000001</c:v>
                </c:pt>
                <c:pt idx="124">
                  <c:v>424.947</c:v>
                </c:pt>
                <c:pt idx="125">
                  <c:v>424.42499999999995</c:v>
                </c:pt>
                <c:pt idx="126">
                  <c:v>423.96749999999997</c:v>
                </c:pt>
                <c:pt idx="127">
                  <c:v>423.59249999999997</c:v>
                </c:pt>
                <c:pt idx="128">
                  <c:v>423.28199999999998</c:v>
                </c:pt>
                <c:pt idx="129">
                  <c:v>423.048</c:v>
                </c:pt>
                <c:pt idx="130">
                  <c:v>422.83799999999997</c:v>
                </c:pt>
                <c:pt idx="131">
                  <c:v>422.697</c:v>
                </c:pt>
                <c:pt idx="132">
                  <c:v>422.53800000000001</c:v>
                </c:pt>
                <c:pt idx="133">
                  <c:v>422.39549999999997</c:v>
                </c:pt>
                <c:pt idx="134">
                  <c:v>422.25</c:v>
                </c:pt>
                <c:pt idx="135">
                  <c:v>422.07449999999994</c:v>
                </c:pt>
                <c:pt idx="136">
                  <c:v>421.875</c:v>
                </c:pt>
                <c:pt idx="137">
                  <c:v>421.60050000000001</c:v>
                </c:pt>
                <c:pt idx="138">
                  <c:v>421.28250000000003</c:v>
                </c:pt>
                <c:pt idx="139">
                  <c:v>420.89549999999997</c:v>
                </c:pt>
                <c:pt idx="140">
                  <c:v>420.38850000000002</c:v>
                </c:pt>
                <c:pt idx="141">
                  <c:v>421.63350000000003</c:v>
                </c:pt>
                <c:pt idx="142">
                  <c:v>422.72550000000001</c:v>
                </c:pt>
                <c:pt idx="143">
                  <c:v>423.22950000000003</c:v>
                </c:pt>
                <c:pt idx="144">
                  <c:v>423.47550000000001</c:v>
                </c:pt>
                <c:pt idx="145">
                  <c:v>423.411</c:v>
                </c:pt>
                <c:pt idx="146">
                  <c:v>423.09749999999997</c:v>
                </c:pt>
                <c:pt idx="147">
                  <c:v>422.625</c:v>
                </c:pt>
                <c:pt idx="148">
                  <c:v>422.02049999999997</c:v>
                </c:pt>
                <c:pt idx="149">
                  <c:v>421.20000000000005</c:v>
                </c:pt>
                <c:pt idx="150">
                  <c:v>417.16949999999997</c:v>
                </c:pt>
                <c:pt idx="151">
                  <c:v>415.98449999999997</c:v>
                </c:pt>
                <c:pt idx="152">
                  <c:v>415.03199999999998</c:v>
                </c:pt>
                <c:pt idx="153">
                  <c:v>414.06000000000006</c:v>
                </c:pt>
                <c:pt idx="154">
                  <c:v>412.83750000000003</c:v>
                </c:pt>
                <c:pt idx="155">
                  <c:v>411.59249999999997</c:v>
                </c:pt>
                <c:pt idx="156">
                  <c:v>410.17499999999995</c:v>
                </c:pt>
                <c:pt idx="157">
                  <c:v>408.726</c:v>
                </c:pt>
                <c:pt idx="158">
                  <c:v>407.202</c:v>
                </c:pt>
                <c:pt idx="159">
                  <c:v>405.51299999999998</c:v>
                </c:pt>
                <c:pt idx="160">
                  <c:v>443.976</c:v>
                </c:pt>
                <c:pt idx="161">
                  <c:v>437.59950000000003</c:v>
                </c:pt>
                <c:pt idx="162">
                  <c:v>430.41600000000005</c:v>
                </c:pt>
                <c:pt idx="163">
                  <c:v>426.47249999999997</c:v>
                </c:pt>
                <c:pt idx="164">
                  <c:v>422.98649999999998</c:v>
                </c:pt>
                <c:pt idx="165">
                  <c:v>420.339</c:v>
                </c:pt>
                <c:pt idx="166">
                  <c:v>417.17550000000006</c:v>
                </c:pt>
                <c:pt idx="167">
                  <c:v>413.85450000000003</c:v>
                </c:pt>
                <c:pt idx="168">
                  <c:v>410.23800000000006</c:v>
                </c:pt>
                <c:pt idx="169">
                  <c:v>406.899</c:v>
                </c:pt>
                <c:pt idx="170">
                  <c:v>403.572</c:v>
                </c:pt>
                <c:pt idx="171">
                  <c:v>400.11300000000006</c:v>
                </c:pt>
                <c:pt idx="172">
                  <c:v>396.99149999999997</c:v>
                </c:pt>
                <c:pt idx="173">
                  <c:v>393.70049999999998</c:v>
                </c:pt>
                <c:pt idx="174">
                  <c:v>390.64050000000003</c:v>
                </c:pt>
                <c:pt idx="175">
                  <c:v>387.798</c:v>
                </c:pt>
                <c:pt idx="176">
                  <c:v>384.46800000000002</c:v>
                </c:pt>
                <c:pt idx="177">
                  <c:v>381.85950000000003</c:v>
                </c:pt>
                <c:pt idx="178">
                  <c:v>378.87450000000001</c:v>
                </c:pt>
                <c:pt idx="179">
                  <c:v>376.209</c:v>
                </c:pt>
                <c:pt idx="180">
                  <c:v>373.38750000000005</c:v>
                </c:pt>
                <c:pt idx="181">
                  <c:v>370.77750000000003</c:v>
                </c:pt>
                <c:pt idx="182">
                  <c:v>368.238</c:v>
                </c:pt>
                <c:pt idx="183">
                  <c:v>365.613</c:v>
                </c:pt>
                <c:pt idx="184">
                  <c:v>363.26549999999997</c:v>
                </c:pt>
                <c:pt idx="185">
                  <c:v>360.738</c:v>
                </c:pt>
                <c:pt idx="186">
                  <c:v>347.10449999999997</c:v>
                </c:pt>
                <c:pt idx="187">
                  <c:v>344.286</c:v>
                </c:pt>
                <c:pt idx="188">
                  <c:v>342.46500000000003</c:v>
                </c:pt>
                <c:pt idx="189">
                  <c:v>340.839</c:v>
                </c:pt>
                <c:pt idx="190">
                  <c:v>338.96249999999998</c:v>
                </c:pt>
                <c:pt idx="191">
                  <c:v>337.23450000000003</c:v>
                </c:pt>
                <c:pt idx="192">
                  <c:v>335.33699999999999</c:v>
                </c:pt>
                <c:pt idx="193">
                  <c:v>333.54449999999997</c:v>
                </c:pt>
                <c:pt idx="194">
                  <c:v>331.76549999999997</c:v>
                </c:pt>
                <c:pt idx="195">
                  <c:v>329.88750000000005</c:v>
                </c:pt>
                <c:pt idx="196">
                  <c:v>328.197</c:v>
                </c:pt>
                <c:pt idx="197">
                  <c:v>326.36249999999995</c:v>
                </c:pt>
                <c:pt idx="198">
                  <c:v>324.65250000000003</c:v>
                </c:pt>
                <c:pt idx="199">
                  <c:v>323.06849999999997</c:v>
                </c:pt>
                <c:pt idx="200">
                  <c:v>321.17400000000004</c:v>
                </c:pt>
                <c:pt idx="201">
                  <c:v>319.68150000000003</c:v>
                </c:pt>
                <c:pt idx="202">
                  <c:v>317.93700000000001</c:v>
                </c:pt>
                <c:pt idx="203">
                  <c:v>316.37850000000003</c:v>
                </c:pt>
                <c:pt idx="204">
                  <c:v>314.66250000000002</c:v>
                </c:pt>
                <c:pt idx="205">
                  <c:v>313.089</c:v>
                </c:pt>
                <c:pt idx="206">
                  <c:v>311.51549999999997</c:v>
                </c:pt>
                <c:pt idx="207">
                  <c:v>309.89999999999998</c:v>
                </c:pt>
                <c:pt idx="208">
                  <c:v>308.41949999999997</c:v>
                </c:pt>
                <c:pt idx="209">
                  <c:v>306.81299999999999</c:v>
                </c:pt>
                <c:pt idx="210">
                  <c:v>305.334</c:v>
                </c:pt>
                <c:pt idx="211">
                  <c:v>303.94349999999997</c:v>
                </c:pt>
                <c:pt idx="212">
                  <c:v>302.30399999999997</c:v>
                </c:pt>
                <c:pt idx="213">
                  <c:v>301.00350000000003</c:v>
                </c:pt>
                <c:pt idx="214">
                  <c:v>299.51250000000005</c:v>
                </c:pt>
                <c:pt idx="215">
                  <c:v>298.149</c:v>
                </c:pt>
                <c:pt idx="216">
                  <c:v>296.66250000000002</c:v>
                </c:pt>
                <c:pt idx="217">
                  <c:v>295.28249999999997</c:v>
                </c:pt>
                <c:pt idx="218">
                  <c:v>293.90250000000003</c:v>
                </c:pt>
                <c:pt idx="219">
                  <c:v>292.45050000000003</c:v>
                </c:pt>
                <c:pt idx="220">
                  <c:v>291.13350000000003</c:v>
                </c:pt>
                <c:pt idx="221">
                  <c:v>289.71299999999997</c:v>
                </c:pt>
                <c:pt idx="222">
                  <c:v>288.375</c:v>
                </c:pt>
                <c:pt idx="223">
                  <c:v>287.12850000000003</c:v>
                </c:pt>
                <c:pt idx="224">
                  <c:v>285.66899999999998</c:v>
                </c:pt>
                <c:pt idx="225">
                  <c:v>284.50350000000003</c:v>
                </c:pt>
                <c:pt idx="226">
                  <c:v>283.15049999999997</c:v>
                </c:pt>
                <c:pt idx="227">
                  <c:v>281.952</c:v>
                </c:pt>
                <c:pt idx="228">
                  <c:v>280.61249999999995</c:v>
                </c:pt>
                <c:pt idx="229">
                  <c:v>279.375</c:v>
                </c:pt>
                <c:pt idx="230">
                  <c:v>278.15250000000003</c:v>
                </c:pt>
                <c:pt idx="231">
                  <c:v>276.87450000000001</c:v>
                </c:pt>
                <c:pt idx="232">
                  <c:v>275.685</c:v>
                </c:pt>
                <c:pt idx="233">
                  <c:v>274.43700000000001</c:v>
                </c:pt>
                <c:pt idx="234">
                  <c:v>273.24149999999997</c:v>
                </c:pt>
                <c:pt idx="235">
                  <c:v>272.15250000000003</c:v>
                </c:pt>
                <c:pt idx="236">
                  <c:v>270.90449999999998</c:v>
                </c:pt>
                <c:pt idx="237">
                  <c:v>269.78249999999997</c:v>
                </c:pt>
                <c:pt idx="238">
                  <c:v>268.57500000000005</c:v>
                </c:pt>
                <c:pt idx="239">
                  <c:v>267.48450000000003</c:v>
                </c:pt>
                <c:pt idx="240">
                  <c:v>266.29949999999997</c:v>
                </c:pt>
                <c:pt idx="241">
                  <c:v>265.185</c:v>
                </c:pt>
                <c:pt idx="242">
                  <c:v>264.072</c:v>
                </c:pt>
                <c:pt idx="243">
                  <c:v>262.95000000000005</c:v>
                </c:pt>
                <c:pt idx="244">
                  <c:v>261.89550000000003</c:v>
                </c:pt>
                <c:pt idx="245">
                  <c:v>260.74950000000001</c:v>
                </c:pt>
                <c:pt idx="246">
                  <c:v>259.71750000000003</c:v>
                </c:pt>
                <c:pt idx="247">
                  <c:v>258.702</c:v>
                </c:pt>
                <c:pt idx="248">
                  <c:v>257.57100000000003</c:v>
                </c:pt>
                <c:pt idx="249">
                  <c:v>256.64550000000003</c:v>
                </c:pt>
                <c:pt idx="250">
                  <c:v>255.5745</c:v>
                </c:pt>
                <c:pt idx="251">
                  <c:v>254.613</c:v>
                </c:pt>
                <c:pt idx="252">
                  <c:v>253.57500000000002</c:v>
                </c:pt>
                <c:pt idx="253">
                  <c:v>252.62850000000003</c:v>
                </c:pt>
                <c:pt idx="254">
                  <c:v>251.661</c:v>
                </c:pt>
                <c:pt idx="255">
                  <c:v>250.6995</c:v>
                </c:pt>
                <c:pt idx="256">
                  <c:v>249.75</c:v>
                </c:pt>
                <c:pt idx="257">
                  <c:v>248.8245</c:v>
                </c:pt>
                <c:pt idx="258">
                  <c:v>247.935</c:v>
                </c:pt>
                <c:pt idx="259">
                  <c:v>247.065</c:v>
                </c:pt>
                <c:pt idx="260">
                  <c:v>246.1335</c:v>
                </c:pt>
                <c:pt idx="261">
                  <c:v>245.298</c:v>
                </c:pt>
                <c:pt idx="262">
                  <c:v>244.42499999999998</c:v>
                </c:pt>
                <c:pt idx="263">
                  <c:v>243.62850000000003</c:v>
                </c:pt>
                <c:pt idx="264">
                  <c:v>242.72550000000001</c:v>
                </c:pt>
                <c:pt idx="265">
                  <c:v>241.959</c:v>
                </c:pt>
                <c:pt idx="266">
                  <c:v>241.113</c:v>
                </c:pt>
                <c:pt idx="267">
                  <c:v>240.32550000000003</c:v>
                </c:pt>
                <c:pt idx="268">
                  <c:v>239.541</c:v>
                </c:pt>
                <c:pt idx="269">
                  <c:v>238.77449999999999</c:v>
                </c:pt>
                <c:pt idx="270">
                  <c:v>238.01549999999997</c:v>
                </c:pt>
                <c:pt idx="271">
                  <c:v>237.339</c:v>
                </c:pt>
                <c:pt idx="272">
                  <c:v>236.54399999999998</c:v>
                </c:pt>
                <c:pt idx="273">
                  <c:v>235.911</c:v>
                </c:pt>
                <c:pt idx="274">
                  <c:v>235.17449999999997</c:v>
                </c:pt>
                <c:pt idx="275">
                  <c:v>234.5805</c:v>
                </c:pt>
                <c:pt idx="276">
                  <c:v>233.89949999999999</c:v>
                </c:pt>
                <c:pt idx="277">
                  <c:v>233.274</c:v>
                </c:pt>
                <c:pt idx="278">
                  <c:v>232.69349999999997</c:v>
                </c:pt>
                <c:pt idx="279">
                  <c:v>232.09950000000001</c:v>
                </c:pt>
                <c:pt idx="280">
                  <c:v>231.678</c:v>
                </c:pt>
                <c:pt idx="281">
                  <c:v>231.1755</c:v>
                </c:pt>
                <c:pt idx="282">
                  <c:v>230.541</c:v>
                </c:pt>
                <c:pt idx="283">
                  <c:v>230.0805</c:v>
                </c:pt>
                <c:pt idx="284">
                  <c:v>229.65450000000001</c:v>
                </c:pt>
                <c:pt idx="285">
                  <c:v>229.28249999999997</c:v>
                </c:pt>
                <c:pt idx="286">
                  <c:v>228.89999999999998</c:v>
                </c:pt>
                <c:pt idx="287">
                  <c:v>228.55650000000003</c:v>
                </c:pt>
                <c:pt idx="288">
                  <c:v>228.22500000000002</c:v>
                </c:pt>
                <c:pt idx="289">
                  <c:v>229.30650000000003</c:v>
                </c:pt>
                <c:pt idx="290">
                  <c:v>230.685</c:v>
                </c:pt>
                <c:pt idx="291">
                  <c:v>231.97500000000002</c:v>
                </c:pt>
                <c:pt idx="292">
                  <c:v>232.815</c:v>
                </c:pt>
                <c:pt idx="293">
                  <c:v>233.4495</c:v>
                </c:pt>
                <c:pt idx="294">
                  <c:v>233.928</c:v>
                </c:pt>
                <c:pt idx="295">
                  <c:v>234.411</c:v>
                </c:pt>
                <c:pt idx="296">
                  <c:v>234.8835</c:v>
                </c:pt>
                <c:pt idx="297">
                  <c:v>235.2585</c:v>
                </c:pt>
                <c:pt idx="298">
                  <c:v>235.62450000000001</c:v>
                </c:pt>
                <c:pt idx="299">
                  <c:v>236.0085</c:v>
                </c:pt>
                <c:pt idx="300">
                  <c:v>236.37450000000001</c:v>
                </c:pt>
                <c:pt idx="301">
                  <c:v>236.7585</c:v>
                </c:pt>
                <c:pt idx="302">
                  <c:v>237.14550000000003</c:v>
                </c:pt>
                <c:pt idx="303">
                  <c:v>237.52499999999998</c:v>
                </c:pt>
                <c:pt idx="304">
                  <c:v>238.62149999999997</c:v>
                </c:pt>
                <c:pt idx="305">
                  <c:v>239.85000000000002</c:v>
                </c:pt>
                <c:pt idx="306">
                  <c:v>241.3305</c:v>
                </c:pt>
                <c:pt idx="307">
                  <c:v>242.976</c:v>
                </c:pt>
                <c:pt idx="308">
                  <c:v>244.125</c:v>
                </c:pt>
                <c:pt idx="309">
                  <c:v>244.935</c:v>
                </c:pt>
                <c:pt idx="310">
                  <c:v>245.92499999999998</c:v>
                </c:pt>
                <c:pt idx="311">
                  <c:v>246.774</c:v>
                </c:pt>
                <c:pt idx="312">
                  <c:v>247.57500000000002</c:v>
                </c:pt>
                <c:pt idx="313">
                  <c:v>248.226</c:v>
                </c:pt>
                <c:pt idx="314">
                  <c:v>248.85449999999997</c:v>
                </c:pt>
                <c:pt idx="315">
                  <c:v>249.5745</c:v>
                </c:pt>
                <c:pt idx="316">
                  <c:v>250.185</c:v>
                </c:pt>
                <c:pt idx="317">
                  <c:v>250.79999999999998</c:v>
                </c:pt>
                <c:pt idx="318">
                  <c:v>251.322</c:v>
                </c:pt>
                <c:pt idx="319">
                  <c:v>251.709</c:v>
                </c:pt>
                <c:pt idx="320">
                  <c:v>252.21449999999999</c:v>
                </c:pt>
                <c:pt idx="321">
                  <c:v>252.60449999999997</c:v>
                </c:pt>
                <c:pt idx="322">
                  <c:v>253.02449999999999</c:v>
                </c:pt>
                <c:pt idx="323">
                  <c:v>253.4025</c:v>
                </c:pt>
                <c:pt idx="324">
                  <c:v>253.6995</c:v>
                </c:pt>
                <c:pt idx="325">
                  <c:v>254.10449999999997</c:v>
                </c:pt>
                <c:pt idx="326">
                  <c:v>254.4195</c:v>
                </c:pt>
                <c:pt idx="327">
                  <c:v>254.67449999999997</c:v>
                </c:pt>
                <c:pt idx="328">
                  <c:v>254.976</c:v>
                </c:pt>
                <c:pt idx="329">
                  <c:v>255.22500000000002</c:v>
                </c:pt>
                <c:pt idx="330">
                  <c:v>255.459</c:v>
                </c:pt>
                <c:pt idx="331">
                  <c:v>255.678</c:v>
                </c:pt>
                <c:pt idx="332">
                  <c:v>255.87900000000002</c:v>
                </c:pt>
                <c:pt idx="333">
                  <c:v>256.065</c:v>
                </c:pt>
                <c:pt idx="334">
                  <c:v>256.24950000000001</c:v>
                </c:pt>
                <c:pt idx="335">
                  <c:v>256.40250000000003</c:v>
                </c:pt>
                <c:pt idx="336">
                  <c:v>256.54949999999997</c:v>
                </c:pt>
                <c:pt idx="337">
                  <c:v>256.66949999999997</c:v>
                </c:pt>
                <c:pt idx="338">
                  <c:v>256.815</c:v>
                </c:pt>
                <c:pt idx="339">
                  <c:v>256.92449999999997</c:v>
                </c:pt>
                <c:pt idx="340">
                  <c:v>257.05650000000003</c:v>
                </c:pt>
                <c:pt idx="341">
                  <c:v>257.14949999999999</c:v>
                </c:pt>
                <c:pt idx="342">
                  <c:v>257.274</c:v>
                </c:pt>
                <c:pt idx="343">
                  <c:v>257.34749999999997</c:v>
                </c:pt>
                <c:pt idx="344">
                  <c:v>257.46449999999999</c:v>
                </c:pt>
                <c:pt idx="345">
                  <c:v>257.565</c:v>
                </c:pt>
                <c:pt idx="346">
                  <c:v>257.625</c:v>
                </c:pt>
                <c:pt idx="347">
                  <c:v>257.73450000000003</c:v>
                </c:pt>
                <c:pt idx="348">
                  <c:v>257.8245</c:v>
                </c:pt>
                <c:pt idx="349">
                  <c:v>257.85449999999997</c:v>
                </c:pt>
                <c:pt idx="350">
                  <c:v>257.90250000000003</c:v>
                </c:pt>
                <c:pt idx="351">
                  <c:v>258</c:v>
                </c:pt>
                <c:pt idx="352">
                  <c:v>258.024</c:v>
                </c:pt>
                <c:pt idx="353">
                  <c:v>258.04949999999997</c:v>
                </c:pt>
                <c:pt idx="354">
                  <c:v>258.09749999999997</c:v>
                </c:pt>
                <c:pt idx="355">
                  <c:v>258.12149999999997</c:v>
                </c:pt>
                <c:pt idx="356">
                  <c:v>258.13350000000003</c:v>
                </c:pt>
                <c:pt idx="357">
                  <c:v>258.19349999999997</c:v>
                </c:pt>
                <c:pt idx="358">
                  <c:v>258.1755</c:v>
                </c:pt>
                <c:pt idx="359">
                  <c:v>258.19349999999997</c:v>
                </c:pt>
                <c:pt idx="360">
                  <c:v>258.1755</c:v>
                </c:pt>
                <c:pt idx="361">
                  <c:v>258.19349999999997</c:v>
                </c:pt>
                <c:pt idx="362">
                  <c:v>258.19349999999997</c:v>
                </c:pt>
                <c:pt idx="363">
                  <c:v>258.1755</c:v>
                </c:pt>
                <c:pt idx="364">
                  <c:v>258.16949999999997</c:v>
                </c:pt>
                <c:pt idx="365">
                  <c:v>258.12450000000001</c:v>
                </c:pt>
                <c:pt idx="366">
                  <c:v>258.12149999999997</c:v>
                </c:pt>
                <c:pt idx="367">
                  <c:v>258.048</c:v>
                </c:pt>
                <c:pt idx="368">
                  <c:v>258.02699999999999</c:v>
                </c:pt>
                <c:pt idx="369">
                  <c:v>257.976</c:v>
                </c:pt>
                <c:pt idx="370">
                  <c:v>257.89949999999999</c:v>
                </c:pt>
                <c:pt idx="371">
                  <c:v>257.85449999999997</c:v>
                </c:pt>
                <c:pt idx="372">
                  <c:v>257.77499999999998</c:v>
                </c:pt>
                <c:pt idx="373">
                  <c:v>257.661</c:v>
                </c:pt>
                <c:pt idx="374">
                  <c:v>257.589</c:v>
                </c:pt>
                <c:pt idx="375">
                  <c:v>257.50049999999999</c:v>
                </c:pt>
                <c:pt idx="376">
                  <c:v>257.37149999999997</c:v>
                </c:pt>
                <c:pt idx="377">
                  <c:v>257.25</c:v>
                </c:pt>
                <c:pt idx="378">
                  <c:v>257.12850000000003</c:v>
                </c:pt>
                <c:pt idx="379">
                  <c:v>257.00850000000003</c:v>
                </c:pt>
                <c:pt idx="380">
                  <c:v>256.86150000000004</c:v>
                </c:pt>
                <c:pt idx="381">
                  <c:v>256.69349999999997</c:v>
                </c:pt>
                <c:pt idx="382">
                  <c:v>256.57500000000005</c:v>
                </c:pt>
                <c:pt idx="383">
                  <c:v>256.35449999999997</c:v>
                </c:pt>
                <c:pt idx="384">
                  <c:v>256.22550000000001</c:v>
                </c:pt>
                <c:pt idx="385">
                  <c:v>256.01549999999997</c:v>
                </c:pt>
                <c:pt idx="386">
                  <c:v>255.8475</c:v>
                </c:pt>
                <c:pt idx="387">
                  <c:v>255.62549999999999</c:v>
                </c:pt>
                <c:pt idx="388">
                  <c:v>255.435</c:v>
                </c:pt>
                <c:pt idx="389">
                  <c:v>255.22500000000002</c:v>
                </c:pt>
                <c:pt idx="390">
                  <c:v>255</c:v>
                </c:pt>
                <c:pt idx="391">
                  <c:v>254.80650000000003</c:v>
                </c:pt>
                <c:pt idx="392">
                  <c:v>254.54399999999998</c:v>
                </c:pt>
                <c:pt idx="393">
                  <c:v>254.3475</c:v>
                </c:pt>
                <c:pt idx="394">
                  <c:v>254.0745</c:v>
                </c:pt>
                <c:pt idx="395">
                  <c:v>253.839</c:v>
                </c:pt>
                <c:pt idx="396">
                  <c:v>253.57500000000002</c:v>
                </c:pt>
                <c:pt idx="397">
                  <c:v>253.30650000000003</c:v>
                </c:pt>
                <c:pt idx="398">
                  <c:v>253.041</c:v>
                </c:pt>
                <c:pt idx="399">
                  <c:v>252.75</c:v>
                </c:pt>
                <c:pt idx="400">
                  <c:v>252.5085</c:v>
                </c:pt>
                <c:pt idx="401">
                  <c:v>252.1755</c:v>
                </c:pt>
                <c:pt idx="402">
                  <c:v>251.9025</c:v>
                </c:pt>
                <c:pt idx="403">
                  <c:v>251.661</c:v>
                </c:pt>
                <c:pt idx="404">
                  <c:v>251.33100000000002</c:v>
                </c:pt>
                <c:pt idx="405">
                  <c:v>251.05650000000003</c:v>
                </c:pt>
                <c:pt idx="406">
                  <c:v>250.72500000000002</c:v>
                </c:pt>
                <c:pt idx="407">
                  <c:v>250.476</c:v>
                </c:pt>
                <c:pt idx="408">
                  <c:v>250.15049999999999</c:v>
                </c:pt>
                <c:pt idx="409">
                  <c:v>249.822</c:v>
                </c:pt>
                <c:pt idx="410">
                  <c:v>249.53249999999997</c:v>
                </c:pt>
                <c:pt idx="411">
                  <c:v>249.1755</c:v>
                </c:pt>
                <c:pt idx="412">
                  <c:v>248.87850000000003</c:v>
                </c:pt>
                <c:pt idx="413">
                  <c:v>248.54999999999998</c:v>
                </c:pt>
                <c:pt idx="414">
                  <c:v>248.178</c:v>
                </c:pt>
                <c:pt idx="415">
                  <c:v>247.911</c:v>
                </c:pt>
                <c:pt idx="416">
                  <c:v>247.5</c:v>
                </c:pt>
                <c:pt idx="417">
                  <c:v>247.209</c:v>
                </c:pt>
                <c:pt idx="418">
                  <c:v>246.85050000000001</c:v>
                </c:pt>
                <c:pt idx="419">
                  <c:v>246.5085</c:v>
                </c:pt>
                <c:pt idx="420">
                  <c:v>246.14999999999998</c:v>
                </c:pt>
                <c:pt idx="421">
                  <c:v>245.78249999999997</c:v>
                </c:pt>
                <c:pt idx="422">
                  <c:v>245.46750000000003</c:v>
                </c:pt>
                <c:pt idx="423">
                  <c:v>245.0745</c:v>
                </c:pt>
                <c:pt idx="424">
                  <c:v>244.71750000000003</c:v>
                </c:pt>
                <c:pt idx="425">
                  <c:v>244.37549999999999</c:v>
                </c:pt>
                <c:pt idx="426">
                  <c:v>243.9915</c:v>
                </c:pt>
                <c:pt idx="427">
                  <c:v>243.678</c:v>
                </c:pt>
                <c:pt idx="428">
                  <c:v>243.285</c:v>
                </c:pt>
                <c:pt idx="429">
                  <c:v>243.024</c:v>
                </c:pt>
                <c:pt idx="430">
                  <c:v>242.57550000000003</c:v>
                </c:pt>
                <c:pt idx="431">
                  <c:v>242.202</c:v>
                </c:pt>
                <c:pt idx="432">
                  <c:v>241.84950000000001</c:v>
                </c:pt>
                <c:pt idx="433">
                  <c:v>241.476</c:v>
                </c:pt>
                <c:pt idx="434">
                  <c:v>241.089</c:v>
                </c:pt>
                <c:pt idx="435">
                  <c:v>240.72450000000001</c:v>
                </c:pt>
                <c:pt idx="436">
                  <c:v>240.387</c:v>
                </c:pt>
                <c:pt idx="437">
                  <c:v>239.97450000000001</c:v>
                </c:pt>
                <c:pt idx="438">
                  <c:v>239.637</c:v>
                </c:pt>
                <c:pt idx="439">
                  <c:v>239.274</c:v>
                </c:pt>
                <c:pt idx="440">
                  <c:v>238.90199999999999</c:v>
                </c:pt>
                <c:pt idx="441">
                  <c:v>238.572</c:v>
                </c:pt>
                <c:pt idx="442">
                  <c:v>238.20000000000002</c:v>
                </c:pt>
                <c:pt idx="443">
                  <c:v>237.87149999999997</c:v>
                </c:pt>
                <c:pt idx="444">
                  <c:v>237.47550000000001</c:v>
                </c:pt>
                <c:pt idx="445">
                  <c:v>237.14550000000003</c:v>
                </c:pt>
                <c:pt idx="446">
                  <c:v>236.78249999999997</c:v>
                </c:pt>
                <c:pt idx="447">
                  <c:v>236.37450000000001</c:v>
                </c:pt>
                <c:pt idx="448">
                  <c:v>236.03249999999997</c:v>
                </c:pt>
                <c:pt idx="449">
                  <c:v>235.64999999999998</c:v>
                </c:pt>
                <c:pt idx="450">
                  <c:v>235.2585</c:v>
                </c:pt>
                <c:pt idx="451">
                  <c:v>234.94349999999997</c:v>
                </c:pt>
                <c:pt idx="452">
                  <c:v>234.5085</c:v>
                </c:pt>
                <c:pt idx="453">
                  <c:v>234.21750000000003</c:v>
                </c:pt>
                <c:pt idx="454">
                  <c:v>233.8005</c:v>
                </c:pt>
                <c:pt idx="455">
                  <c:v>233.44349999999997</c:v>
                </c:pt>
                <c:pt idx="456">
                  <c:v>233.0505</c:v>
                </c:pt>
                <c:pt idx="457">
                  <c:v>232.64550000000003</c:v>
                </c:pt>
                <c:pt idx="458">
                  <c:v>232.28249999999997</c:v>
                </c:pt>
                <c:pt idx="459">
                  <c:v>231.85050000000001</c:v>
                </c:pt>
                <c:pt idx="460">
                  <c:v>231.5085</c:v>
                </c:pt>
                <c:pt idx="461">
                  <c:v>231.07500000000002</c:v>
                </c:pt>
                <c:pt idx="462">
                  <c:v>230.709</c:v>
                </c:pt>
                <c:pt idx="463">
                  <c:v>230.37149999999997</c:v>
                </c:pt>
                <c:pt idx="464">
                  <c:v>229.929</c:v>
                </c:pt>
                <c:pt idx="465">
                  <c:v>229.5975</c:v>
                </c:pt>
                <c:pt idx="466">
                  <c:v>229.20000000000002</c:v>
                </c:pt>
                <c:pt idx="467">
                  <c:v>228.8475</c:v>
                </c:pt>
                <c:pt idx="468">
                  <c:v>228.42449999999997</c:v>
                </c:pt>
                <c:pt idx="469">
                  <c:v>228.072</c:v>
                </c:pt>
                <c:pt idx="470">
                  <c:v>227.685</c:v>
                </c:pt>
                <c:pt idx="471">
                  <c:v>227.29949999999997</c:v>
                </c:pt>
                <c:pt idx="472">
                  <c:v>226.911</c:v>
                </c:pt>
                <c:pt idx="473">
                  <c:v>227.625</c:v>
                </c:pt>
                <c:pt idx="474">
                  <c:v>228.315</c:v>
                </c:pt>
                <c:pt idx="475">
                  <c:v>228.363</c:v>
                </c:pt>
                <c:pt idx="476">
                  <c:v>228</c:v>
                </c:pt>
                <c:pt idx="477">
                  <c:v>227.39550000000003</c:v>
                </c:pt>
                <c:pt idx="478">
                  <c:v>226.62450000000001</c:v>
                </c:pt>
                <c:pt idx="479">
                  <c:v>225.94349999999997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ED5-4B7A-A185-BA3C3DDB3E54}"/>
            </c:ext>
          </c:extLst>
        </c:ser>
        <c:ser>
          <c:idx val="17"/>
          <c:order val="17"/>
          <c:tx>
            <c:strRef>
              <c:f>'FPSO1 Base'!$T$2</c:f>
              <c:strCache>
                <c:ptCount val="1"/>
                <c:pt idx="0">
                  <c:v>P18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Base'!$T$3:$T$730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1539.9750000000001</c:v>
                </c:pt>
                <c:pt idx="47">
                  <c:v>3167.5950000000003</c:v>
                </c:pt>
                <c:pt idx="48">
                  <c:v>3048.21</c:v>
                </c:pt>
                <c:pt idx="49">
                  <c:v>2914.335</c:v>
                </c:pt>
                <c:pt idx="50">
                  <c:v>2752.89</c:v>
                </c:pt>
                <c:pt idx="51">
                  <c:v>2612.2950000000001</c:v>
                </c:pt>
                <c:pt idx="52">
                  <c:v>2526.9299999999998</c:v>
                </c:pt>
                <c:pt idx="53">
                  <c:v>2440.0500000000002</c:v>
                </c:pt>
                <c:pt idx="54">
                  <c:v>2322.75</c:v>
                </c:pt>
                <c:pt idx="55">
                  <c:v>2219.5050000000001</c:v>
                </c:pt>
                <c:pt idx="56">
                  <c:v>2102.16</c:v>
                </c:pt>
                <c:pt idx="57">
                  <c:v>2034.405</c:v>
                </c:pt>
                <c:pt idx="58">
                  <c:v>1963.8150000000001</c:v>
                </c:pt>
                <c:pt idx="59">
                  <c:v>1905.96</c:v>
                </c:pt>
                <c:pt idx="60">
                  <c:v>1848.4499999999998</c:v>
                </c:pt>
                <c:pt idx="61">
                  <c:v>1797.4349999999999</c:v>
                </c:pt>
                <c:pt idx="62">
                  <c:v>1748.0249999999999</c:v>
                </c:pt>
                <c:pt idx="63">
                  <c:v>1698.165</c:v>
                </c:pt>
                <c:pt idx="64">
                  <c:v>1654.5749999999998</c:v>
                </c:pt>
                <c:pt idx="65">
                  <c:v>1610.88</c:v>
                </c:pt>
                <c:pt idx="66">
                  <c:v>1573.095</c:v>
                </c:pt>
                <c:pt idx="67">
                  <c:v>1537.6349999999998</c:v>
                </c:pt>
                <c:pt idx="68">
                  <c:v>1497.6990000000001</c:v>
                </c:pt>
                <c:pt idx="69">
                  <c:v>1466.0715</c:v>
                </c:pt>
                <c:pt idx="70">
                  <c:v>1429.4190000000001</c:v>
                </c:pt>
                <c:pt idx="71">
                  <c:v>1396.578</c:v>
                </c:pt>
                <c:pt idx="72">
                  <c:v>1362.6</c:v>
                </c:pt>
                <c:pt idx="73">
                  <c:v>1331.6669999999999</c:v>
                </c:pt>
                <c:pt idx="74">
                  <c:v>1301.7945</c:v>
                </c:pt>
                <c:pt idx="75">
                  <c:v>1272.2505000000001</c:v>
                </c:pt>
                <c:pt idx="76">
                  <c:v>1150.845</c:v>
                </c:pt>
                <c:pt idx="77">
                  <c:v>1117.4625000000001</c:v>
                </c:pt>
                <c:pt idx="78">
                  <c:v>1094.3955000000001</c:v>
                </c:pt>
                <c:pt idx="79">
                  <c:v>1074.3810000000001</c:v>
                </c:pt>
                <c:pt idx="80">
                  <c:v>1052.6054999999999</c:v>
                </c:pt>
                <c:pt idx="81">
                  <c:v>1035.75</c:v>
                </c:pt>
                <c:pt idx="82">
                  <c:v>1017.3119999999999</c:v>
                </c:pt>
                <c:pt idx="83">
                  <c:v>1002.4349999999999</c:v>
                </c:pt>
                <c:pt idx="84">
                  <c:v>987.15600000000006</c:v>
                </c:pt>
                <c:pt idx="85">
                  <c:v>973.34850000000006</c:v>
                </c:pt>
                <c:pt idx="86">
                  <c:v>960.25350000000003</c:v>
                </c:pt>
                <c:pt idx="87">
                  <c:v>946.74300000000005</c:v>
                </c:pt>
                <c:pt idx="88">
                  <c:v>934.44600000000014</c:v>
                </c:pt>
                <c:pt idx="89">
                  <c:v>921.53699999999992</c:v>
                </c:pt>
                <c:pt idx="90">
                  <c:v>906.32100000000014</c:v>
                </c:pt>
                <c:pt idx="91">
                  <c:v>895.41599999999994</c:v>
                </c:pt>
                <c:pt idx="92">
                  <c:v>884.08800000000008</c:v>
                </c:pt>
                <c:pt idx="93">
                  <c:v>874.66350000000011</c:v>
                </c:pt>
                <c:pt idx="94">
                  <c:v>864.33750000000009</c:v>
                </c:pt>
                <c:pt idx="95">
                  <c:v>855.27150000000006</c:v>
                </c:pt>
                <c:pt idx="96">
                  <c:v>845.76900000000001</c:v>
                </c:pt>
                <c:pt idx="97">
                  <c:v>837.1395</c:v>
                </c:pt>
                <c:pt idx="98">
                  <c:v>828.79200000000003</c:v>
                </c:pt>
                <c:pt idx="99">
                  <c:v>820.34999999999991</c:v>
                </c:pt>
                <c:pt idx="100">
                  <c:v>812.77049999999997</c:v>
                </c:pt>
                <c:pt idx="101">
                  <c:v>804.75600000000009</c:v>
                </c:pt>
                <c:pt idx="102">
                  <c:v>791.33999999999992</c:v>
                </c:pt>
                <c:pt idx="103">
                  <c:v>784.51200000000006</c:v>
                </c:pt>
                <c:pt idx="104">
                  <c:v>777.16049999999996</c:v>
                </c:pt>
                <c:pt idx="105">
                  <c:v>771.28500000000008</c:v>
                </c:pt>
                <c:pt idx="106">
                  <c:v>764.59349999999995</c:v>
                </c:pt>
                <c:pt idx="107">
                  <c:v>758.66100000000006</c:v>
                </c:pt>
                <c:pt idx="108">
                  <c:v>752.37450000000001</c:v>
                </c:pt>
                <c:pt idx="109">
                  <c:v>746.60699999999997</c:v>
                </c:pt>
                <c:pt idx="110">
                  <c:v>741.00600000000009</c:v>
                </c:pt>
                <c:pt idx="111">
                  <c:v>735.21900000000005</c:v>
                </c:pt>
                <c:pt idx="112">
                  <c:v>729.702</c:v>
                </c:pt>
                <c:pt idx="113">
                  <c:v>723.85050000000001</c:v>
                </c:pt>
                <c:pt idx="114">
                  <c:v>718.476</c:v>
                </c:pt>
                <c:pt idx="115">
                  <c:v>713.52149999999995</c:v>
                </c:pt>
                <c:pt idx="116">
                  <c:v>707.9190000000001</c:v>
                </c:pt>
                <c:pt idx="117">
                  <c:v>703.476</c:v>
                </c:pt>
                <c:pt idx="118">
                  <c:v>698.40599999999995</c:v>
                </c:pt>
                <c:pt idx="119">
                  <c:v>693.8655</c:v>
                </c:pt>
                <c:pt idx="120">
                  <c:v>689.05649999999991</c:v>
                </c:pt>
                <c:pt idx="121">
                  <c:v>684.6345</c:v>
                </c:pt>
                <c:pt idx="122">
                  <c:v>680.28600000000006</c:v>
                </c:pt>
                <c:pt idx="123">
                  <c:v>675.8565000000001</c:v>
                </c:pt>
                <c:pt idx="124">
                  <c:v>671.89049999999997</c:v>
                </c:pt>
                <c:pt idx="125">
                  <c:v>667.75049999999999</c:v>
                </c:pt>
                <c:pt idx="126">
                  <c:v>663.9615</c:v>
                </c:pt>
                <c:pt idx="127">
                  <c:v>660.45299999999997</c:v>
                </c:pt>
                <c:pt idx="128">
                  <c:v>656.46449999999993</c:v>
                </c:pt>
                <c:pt idx="129">
                  <c:v>653.31600000000003</c:v>
                </c:pt>
                <c:pt idx="130">
                  <c:v>649.73099999999999</c:v>
                </c:pt>
                <c:pt idx="131">
                  <c:v>646.548</c:v>
                </c:pt>
                <c:pt idx="132">
                  <c:v>643.20000000000005</c:v>
                </c:pt>
                <c:pt idx="133">
                  <c:v>640.101</c:v>
                </c:pt>
                <c:pt idx="134">
                  <c:v>637.101</c:v>
                </c:pt>
                <c:pt idx="135">
                  <c:v>634.01250000000005</c:v>
                </c:pt>
                <c:pt idx="136">
                  <c:v>631.28250000000003</c:v>
                </c:pt>
                <c:pt idx="137">
                  <c:v>628.36200000000008</c:v>
                </c:pt>
                <c:pt idx="138">
                  <c:v>625.69350000000009</c:v>
                </c:pt>
                <c:pt idx="139">
                  <c:v>623.202</c:v>
                </c:pt>
                <c:pt idx="140">
                  <c:v>620.47050000000002</c:v>
                </c:pt>
                <c:pt idx="141">
                  <c:v>618.71399999999994</c:v>
                </c:pt>
                <c:pt idx="142">
                  <c:v>616.71299999999997</c:v>
                </c:pt>
                <c:pt idx="143">
                  <c:v>614.976</c:v>
                </c:pt>
                <c:pt idx="144">
                  <c:v>613.3125</c:v>
                </c:pt>
                <c:pt idx="145">
                  <c:v>611.85450000000003</c:v>
                </c:pt>
                <c:pt idx="146">
                  <c:v>610.46399999999994</c:v>
                </c:pt>
                <c:pt idx="147">
                  <c:v>609.02549999999997</c:v>
                </c:pt>
                <c:pt idx="148">
                  <c:v>607.66949999999997</c:v>
                </c:pt>
                <c:pt idx="149">
                  <c:v>606.21299999999997</c:v>
                </c:pt>
                <c:pt idx="150">
                  <c:v>600.351</c:v>
                </c:pt>
                <c:pt idx="151">
                  <c:v>598.77750000000003</c:v>
                </c:pt>
                <c:pt idx="152">
                  <c:v>597.57600000000002</c:v>
                </c:pt>
                <c:pt idx="153">
                  <c:v>596.50350000000003</c:v>
                </c:pt>
                <c:pt idx="154">
                  <c:v>595.27500000000009</c:v>
                </c:pt>
                <c:pt idx="155">
                  <c:v>594.072</c:v>
                </c:pt>
                <c:pt idx="156">
                  <c:v>592.82549999999992</c:v>
                </c:pt>
                <c:pt idx="157">
                  <c:v>591.60450000000003</c:v>
                </c:pt>
                <c:pt idx="158">
                  <c:v>590.41949999999997</c:v>
                </c:pt>
                <c:pt idx="159">
                  <c:v>589.16249999999991</c:v>
                </c:pt>
                <c:pt idx="160">
                  <c:v>650.298</c:v>
                </c:pt>
                <c:pt idx="161">
                  <c:v>655.8</c:v>
                </c:pt>
                <c:pt idx="162">
                  <c:v>657.88350000000003</c:v>
                </c:pt>
                <c:pt idx="163">
                  <c:v>659.44350000000009</c:v>
                </c:pt>
                <c:pt idx="164">
                  <c:v>661.25850000000003</c:v>
                </c:pt>
                <c:pt idx="165">
                  <c:v>662.47950000000003</c:v>
                </c:pt>
                <c:pt idx="166">
                  <c:v>663.82500000000005</c:v>
                </c:pt>
                <c:pt idx="167">
                  <c:v>664.86300000000006</c:v>
                </c:pt>
                <c:pt idx="168">
                  <c:v>665.91300000000001</c:v>
                </c:pt>
                <c:pt idx="169">
                  <c:v>666.94350000000009</c:v>
                </c:pt>
                <c:pt idx="170">
                  <c:v>667.851</c:v>
                </c:pt>
                <c:pt idx="171">
                  <c:v>668.7</c:v>
                </c:pt>
                <c:pt idx="172">
                  <c:v>669.38699999999994</c:v>
                </c:pt>
                <c:pt idx="173">
                  <c:v>670.01250000000005</c:v>
                </c:pt>
                <c:pt idx="174">
                  <c:v>670.53600000000006</c:v>
                </c:pt>
                <c:pt idx="175">
                  <c:v>670.947</c:v>
                </c:pt>
                <c:pt idx="176">
                  <c:v>671.38350000000003</c:v>
                </c:pt>
                <c:pt idx="177">
                  <c:v>671.66100000000006</c:v>
                </c:pt>
                <c:pt idx="178">
                  <c:v>671.91300000000001</c:v>
                </c:pt>
                <c:pt idx="179">
                  <c:v>672.10950000000003</c:v>
                </c:pt>
                <c:pt idx="180">
                  <c:v>672.26250000000005</c:v>
                </c:pt>
                <c:pt idx="181">
                  <c:v>672.351</c:v>
                </c:pt>
                <c:pt idx="182">
                  <c:v>672.41100000000006</c:v>
                </c:pt>
                <c:pt idx="183">
                  <c:v>672.42450000000008</c:v>
                </c:pt>
                <c:pt idx="184">
                  <c:v>672.399</c:v>
                </c:pt>
                <c:pt idx="185">
                  <c:v>672.31200000000001</c:v>
                </c:pt>
                <c:pt idx="186">
                  <c:v>653.45550000000003</c:v>
                </c:pt>
                <c:pt idx="187">
                  <c:v>652.56000000000006</c:v>
                </c:pt>
                <c:pt idx="188">
                  <c:v>653.54700000000003</c:v>
                </c:pt>
                <c:pt idx="189">
                  <c:v>654.16949999999997</c:v>
                </c:pt>
                <c:pt idx="190">
                  <c:v>654.73800000000006</c:v>
                </c:pt>
                <c:pt idx="191">
                  <c:v>655.13699999999994</c:v>
                </c:pt>
                <c:pt idx="192">
                  <c:v>655.47450000000003</c:v>
                </c:pt>
                <c:pt idx="193">
                  <c:v>655.72950000000003</c:v>
                </c:pt>
                <c:pt idx="194">
                  <c:v>655.875</c:v>
                </c:pt>
                <c:pt idx="195">
                  <c:v>655.97550000000001</c:v>
                </c:pt>
                <c:pt idx="196">
                  <c:v>655.98450000000003</c:v>
                </c:pt>
                <c:pt idx="197">
                  <c:v>655.93799999999999</c:v>
                </c:pt>
                <c:pt idx="198">
                  <c:v>655.81499999999994</c:v>
                </c:pt>
                <c:pt idx="199">
                  <c:v>655.64549999999997</c:v>
                </c:pt>
                <c:pt idx="200">
                  <c:v>655.4190000000001</c:v>
                </c:pt>
                <c:pt idx="201">
                  <c:v>655.16100000000006</c:v>
                </c:pt>
                <c:pt idx="202">
                  <c:v>654.82500000000005</c:v>
                </c:pt>
                <c:pt idx="203">
                  <c:v>654.47249999999997</c:v>
                </c:pt>
                <c:pt idx="204">
                  <c:v>654.03749999999991</c:v>
                </c:pt>
                <c:pt idx="205">
                  <c:v>653.54100000000005</c:v>
                </c:pt>
                <c:pt idx="206">
                  <c:v>653.00850000000003</c:v>
                </c:pt>
                <c:pt idx="207">
                  <c:v>652.37549999999999</c:v>
                </c:pt>
                <c:pt idx="208">
                  <c:v>651.76199999999994</c:v>
                </c:pt>
                <c:pt idx="209">
                  <c:v>651.06299999999999</c:v>
                </c:pt>
                <c:pt idx="210">
                  <c:v>650.322</c:v>
                </c:pt>
                <c:pt idx="211">
                  <c:v>649.62149999999997</c:v>
                </c:pt>
                <c:pt idx="212">
                  <c:v>648.73649999999998</c:v>
                </c:pt>
                <c:pt idx="213">
                  <c:v>647.98800000000006</c:v>
                </c:pt>
                <c:pt idx="214">
                  <c:v>647.05050000000006</c:v>
                </c:pt>
                <c:pt idx="215">
                  <c:v>646.18500000000006</c:v>
                </c:pt>
                <c:pt idx="216">
                  <c:v>645.22499999999991</c:v>
                </c:pt>
                <c:pt idx="217">
                  <c:v>644.26199999999994</c:v>
                </c:pt>
                <c:pt idx="218">
                  <c:v>643.30649999999991</c:v>
                </c:pt>
                <c:pt idx="219">
                  <c:v>642.25049999999999</c:v>
                </c:pt>
                <c:pt idx="220">
                  <c:v>641.28600000000006</c:v>
                </c:pt>
                <c:pt idx="221">
                  <c:v>640.23749999999995</c:v>
                </c:pt>
                <c:pt idx="222">
                  <c:v>639.19350000000009</c:v>
                </c:pt>
                <c:pt idx="223">
                  <c:v>638.21399999999994</c:v>
                </c:pt>
                <c:pt idx="224">
                  <c:v>637.0440000000001</c:v>
                </c:pt>
                <c:pt idx="225">
                  <c:v>636.09749999999997</c:v>
                </c:pt>
                <c:pt idx="226">
                  <c:v>634.98749999999995</c:v>
                </c:pt>
                <c:pt idx="227">
                  <c:v>633.95550000000003</c:v>
                </c:pt>
                <c:pt idx="228">
                  <c:v>632.83799999999997</c:v>
                </c:pt>
                <c:pt idx="229">
                  <c:v>631.76549999999997</c:v>
                </c:pt>
                <c:pt idx="230">
                  <c:v>630.702</c:v>
                </c:pt>
                <c:pt idx="231">
                  <c:v>629.56200000000001</c:v>
                </c:pt>
                <c:pt idx="232">
                  <c:v>628.548</c:v>
                </c:pt>
                <c:pt idx="233">
                  <c:v>627.43799999999999</c:v>
                </c:pt>
                <c:pt idx="234">
                  <c:v>626.37149999999997</c:v>
                </c:pt>
                <c:pt idx="235">
                  <c:v>625.36649999999997</c:v>
                </c:pt>
                <c:pt idx="236">
                  <c:v>624.20699999999999</c:v>
                </c:pt>
                <c:pt idx="237">
                  <c:v>623.23800000000006</c:v>
                </c:pt>
                <c:pt idx="238">
                  <c:v>622.13699999999994</c:v>
                </c:pt>
                <c:pt idx="239">
                  <c:v>621.15750000000003</c:v>
                </c:pt>
                <c:pt idx="240">
                  <c:v>620.07449999999994</c:v>
                </c:pt>
                <c:pt idx="241">
                  <c:v>619.06499999999994</c:v>
                </c:pt>
                <c:pt idx="242">
                  <c:v>618.09749999999997</c:v>
                </c:pt>
                <c:pt idx="243">
                  <c:v>617.02500000000009</c:v>
                </c:pt>
                <c:pt idx="244">
                  <c:v>616.08899999999994</c:v>
                </c:pt>
                <c:pt idx="245">
                  <c:v>615.01199999999994</c:v>
                </c:pt>
                <c:pt idx="246">
                  <c:v>614.04449999999997</c:v>
                </c:pt>
                <c:pt idx="247">
                  <c:v>613.11300000000006</c:v>
                </c:pt>
                <c:pt idx="248">
                  <c:v>611.98649999999998</c:v>
                </c:pt>
                <c:pt idx="249">
                  <c:v>611.11649999999997</c:v>
                </c:pt>
                <c:pt idx="250">
                  <c:v>610.07549999999992</c:v>
                </c:pt>
                <c:pt idx="251">
                  <c:v>609.12149999999997</c:v>
                </c:pt>
                <c:pt idx="252">
                  <c:v>608.05050000000006</c:v>
                </c:pt>
                <c:pt idx="253">
                  <c:v>607.077</c:v>
                </c:pt>
                <c:pt idx="254">
                  <c:v>606.06000000000006</c:v>
                </c:pt>
                <c:pt idx="255">
                  <c:v>605.01299999999992</c:v>
                </c:pt>
                <c:pt idx="256">
                  <c:v>604.01549999999997</c:v>
                </c:pt>
                <c:pt idx="257">
                  <c:v>602.93700000000001</c:v>
                </c:pt>
                <c:pt idx="258">
                  <c:v>601.91100000000006</c:v>
                </c:pt>
                <c:pt idx="259">
                  <c:v>600.99149999999997</c:v>
                </c:pt>
                <c:pt idx="260">
                  <c:v>599.83949999999993</c:v>
                </c:pt>
                <c:pt idx="261">
                  <c:v>598.947</c:v>
                </c:pt>
                <c:pt idx="262">
                  <c:v>597.88799999999992</c:v>
                </c:pt>
                <c:pt idx="263">
                  <c:v>596.91600000000005</c:v>
                </c:pt>
                <c:pt idx="264">
                  <c:v>595.875</c:v>
                </c:pt>
                <c:pt idx="265">
                  <c:v>594.89549999999997</c:v>
                </c:pt>
                <c:pt idx="266">
                  <c:v>593.90250000000003</c:v>
                </c:pt>
                <c:pt idx="267">
                  <c:v>592.86300000000006</c:v>
                </c:pt>
                <c:pt idx="268">
                  <c:v>591.89549999999997</c:v>
                </c:pt>
                <c:pt idx="269">
                  <c:v>590.82449999999994</c:v>
                </c:pt>
                <c:pt idx="270">
                  <c:v>589.827</c:v>
                </c:pt>
                <c:pt idx="271">
                  <c:v>588.91949999999997</c:v>
                </c:pt>
                <c:pt idx="272">
                  <c:v>587.79899999999998</c:v>
                </c:pt>
                <c:pt idx="273">
                  <c:v>586.91100000000006</c:v>
                </c:pt>
                <c:pt idx="274">
                  <c:v>585.88799999999992</c:v>
                </c:pt>
                <c:pt idx="275">
                  <c:v>584.93999999999994</c:v>
                </c:pt>
                <c:pt idx="276">
                  <c:v>583.92450000000008</c:v>
                </c:pt>
                <c:pt idx="277">
                  <c:v>582.99149999999997</c:v>
                </c:pt>
                <c:pt idx="278">
                  <c:v>582.06000000000006</c:v>
                </c:pt>
                <c:pt idx="279">
                  <c:v>581.12549999999999</c:v>
                </c:pt>
                <c:pt idx="280">
                  <c:v>580.548</c:v>
                </c:pt>
                <c:pt idx="281">
                  <c:v>579.66300000000001</c:v>
                </c:pt>
                <c:pt idx="282">
                  <c:v>578.601</c:v>
                </c:pt>
                <c:pt idx="283">
                  <c:v>577.803</c:v>
                </c:pt>
                <c:pt idx="284">
                  <c:v>576.97050000000002</c:v>
                </c:pt>
                <c:pt idx="285">
                  <c:v>576.26549999999997</c:v>
                </c:pt>
                <c:pt idx="286">
                  <c:v>575.50049999999999</c:v>
                </c:pt>
                <c:pt idx="287">
                  <c:v>574.83899999999994</c:v>
                </c:pt>
                <c:pt idx="288">
                  <c:v>574.125</c:v>
                </c:pt>
                <c:pt idx="289">
                  <c:v>574.99649999999997</c:v>
                </c:pt>
                <c:pt idx="290">
                  <c:v>575.601</c:v>
                </c:pt>
                <c:pt idx="291">
                  <c:v>576.85050000000001</c:v>
                </c:pt>
                <c:pt idx="292">
                  <c:v>578.31000000000006</c:v>
                </c:pt>
                <c:pt idx="293">
                  <c:v>579.72450000000003</c:v>
                </c:pt>
                <c:pt idx="294">
                  <c:v>580.37850000000003</c:v>
                </c:pt>
                <c:pt idx="295">
                  <c:v>580.452</c:v>
                </c:pt>
                <c:pt idx="296">
                  <c:v>580.59300000000007</c:v>
                </c:pt>
                <c:pt idx="297">
                  <c:v>580.66949999999997</c:v>
                </c:pt>
                <c:pt idx="298">
                  <c:v>580.75049999999999</c:v>
                </c:pt>
                <c:pt idx="299">
                  <c:v>580.74149999999997</c:v>
                </c:pt>
                <c:pt idx="300">
                  <c:v>580.65000000000009</c:v>
                </c:pt>
                <c:pt idx="301">
                  <c:v>580.524</c:v>
                </c:pt>
                <c:pt idx="302">
                  <c:v>580.30649999999991</c:v>
                </c:pt>
                <c:pt idx="303">
                  <c:v>579.92550000000006</c:v>
                </c:pt>
                <c:pt idx="304">
                  <c:v>579.41100000000006</c:v>
                </c:pt>
                <c:pt idx="305">
                  <c:v>578.89949999999999</c:v>
                </c:pt>
                <c:pt idx="306">
                  <c:v>578.34749999999997</c:v>
                </c:pt>
                <c:pt idx="307">
                  <c:v>577.93500000000006</c:v>
                </c:pt>
                <c:pt idx="308">
                  <c:v>577.71449999999993</c:v>
                </c:pt>
                <c:pt idx="309">
                  <c:v>577.452</c:v>
                </c:pt>
                <c:pt idx="310">
                  <c:v>577.07549999999992</c:v>
                </c:pt>
                <c:pt idx="311">
                  <c:v>576.65250000000003</c:v>
                </c:pt>
                <c:pt idx="312">
                  <c:v>576.15000000000009</c:v>
                </c:pt>
                <c:pt idx="313">
                  <c:v>575.54100000000005</c:v>
                </c:pt>
                <c:pt idx="314">
                  <c:v>574.83899999999994</c:v>
                </c:pt>
                <c:pt idx="315">
                  <c:v>574.00049999999999</c:v>
                </c:pt>
                <c:pt idx="316">
                  <c:v>573.16949999999997</c:v>
                </c:pt>
                <c:pt idx="317">
                  <c:v>572.12549999999999</c:v>
                </c:pt>
                <c:pt idx="318">
                  <c:v>571.11300000000006</c:v>
                </c:pt>
                <c:pt idx="319">
                  <c:v>570.09749999999997</c:v>
                </c:pt>
                <c:pt idx="320">
                  <c:v>568.74149999999997</c:v>
                </c:pt>
                <c:pt idx="321">
                  <c:v>567.60450000000003</c:v>
                </c:pt>
                <c:pt idx="322">
                  <c:v>566.17499999999995</c:v>
                </c:pt>
                <c:pt idx="323">
                  <c:v>564.798</c:v>
                </c:pt>
                <c:pt idx="324">
                  <c:v>563.625</c:v>
                </c:pt>
                <c:pt idx="325">
                  <c:v>561.726</c:v>
                </c:pt>
                <c:pt idx="326">
                  <c:v>560.08050000000003</c:v>
                </c:pt>
                <c:pt idx="327">
                  <c:v>558.25049999999999</c:v>
                </c:pt>
                <c:pt idx="328">
                  <c:v>556.524</c:v>
                </c:pt>
                <c:pt idx="329">
                  <c:v>554.625</c:v>
                </c:pt>
                <c:pt idx="330">
                  <c:v>552.774</c:v>
                </c:pt>
                <c:pt idx="331">
                  <c:v>550.86300000000006</c:v>
                </c:pt>
                <c:pt idx="332">
                  <c:v>548.74199999999996</c:v>
                </c:pt>
                <c:pt idx="333">
                  <c:v>546.84749999999997</c:v>
                </c:pt>
                <c:pt idx="334">
                  <c:v>544.69949999999994</c:v>
                </c:pt>
                <c:pt idx="335">
                  <c:v>542.63699999999994</c:v>
                </c:pt>
                <c:pt idx="336">
                  <c:v>540.42450000000008</c:v>
                </c:pt>
                <c:pt idx="337">
                  <c:v>538.20899999999995</c:v>
                </c:pt>
                <c:pt idx="338">
                  <c:v>536.00850000000003</c:v>
                </c:pt>
                <c:pt idx="339">
                  <c:v>533.65049999999997</c:v>
                </c:pt>
                <c:pt idx="340">
                  <c:v>531.43500000000006</c:v>
                </c:pt>
                <c:pt idx="341">
                  <c:v>529.04999999999995</c:v>
                </c:pt>
                <c:pt idx="342">
                  <c:v>526.71749999999997</c:v>
                </c:pt>
                <c:pt idx="343">
                  <c:v>524.56499999999994</c:v>
                </c:pt>
                <c:pt idx="344">
                  <c:v>522</c:v>
                </c:pt>
                <c:pt idx="345">
                  <c:v>519.91949999999997</c:v>
                </c:pt>
                <c:pt idx="346">
                  <c:v>517.5</c:v>
                </c:pt>
                <c:pt idx="347">
                  <c:v>515.274</c:v>
                </c:pt>
                <c:pt idx="348">
                  <c:v>512.87549999999999</c:v>
                </c:pt>
                <c:pt idx="349">
                  <c:v>510.62849999999997</c:v>
                </c:pt>
                <c:pt idx="350">
                  <c:v>508.40250000000003</c:v>
                </c:pt>
                <c:pt idx="351">
                  <c:v>505.99950000000001</c:v>
                </c:pt>
                <c:pt idx="352">
                  <c:v>503.75850000000003</c:v>
                </c:pt>
                <c:pt idx="353">
                  <c:v>501.42450000000002</c:v>
                </c:pt>
                <c:pt idx="354">
                  <c:v>499.20899999999995</c:v>
                </c:pt>
                <c:pt idx="355">
                  <c:v>497.15250000000003</c:v>
                </c:pt>
                <c:pt idx="356">
                  <c:v>494.73150000000004</c:v>
                </c:pt>
                <c:pt idx="357">
                  <c:v>492.822</c:v>
                </c:pt>
                <c:pt idx="358">
                  <c:v>490.62450000000001</c:v>
                </c:pt>
                <c:pt idx="359">
                  <c:v>488.63699999999994</c:v>
                </c:pt>
                <c:pt idx="360">
                  <c:v>486.47550000000001</c:v>
                </c:pt>
                <c:pt idx="361">
                  <c:v>484.452</c:v>
                </c:pt>
                <c:pt idx="362">
                  <c:v>482.51550000000003</c:v>
                </c:pt>
                <c:pt idx="363">
                  <c:v>480.45000000000005</c:v>
                </c:pt>
                <c:pt idx="364">
                  <c:v>478.59749999999997</c:v>
                </c:pt>
                <c:pt idx="365">
                  <c:v>476.57549999999998</c:v>
                </c:pt>
                <c:pt idx="366">
                  <c:v>474.702</c:v>
                </c:pt>
                <c:pt idx="367">
                  <c:v>472.93500000000006</c:v>
                </c:pt>
                <c:pt idx="368">
                  <c:v>470.86649999999997</c:v>
                </c:pt>
                <c:pt idx="369">
                  <c:v>469.18500000000006</c:v>
                </c:pt>
                <c:pt idx="370">
                  <c:v>467.25</c:v>
                </c:pt>
                <c:pt idx="371">
                  <c:v>465.45899999999995</c:v>
                </c:pt>
                <c:pt idx="372">
                  <c:v>463.52549999999997</c:v>
                </c:pt>
                <c:pt idx="373">
                  <c:v>461.68500000000006</c:v>
                </c:pt>
                <c:pt idx="374">
                  <c:v>459.822</c:v>
                </c:pt>
                <c:pt idx="375">
                  <c:v>457.84950000000003</c:v>
                </c:pt>
                <c:pt idx="376">
                  <c:v>456.048</c:v>
                </c:pt>
                <c:pt idx="377">
                  <c:v>454.07549999999998</c:v>
                </c:pt>
                <c:pt idx="378">
                  <c:v>452.15250000000003</c:v>
                </c:pt>
                <c:pt idx="379">
                  <c:v>450.31499999999994</c:v>
                </c:pt>
                <c:pt idx="380">
                  <c:v>448.18950000000001</c:v>
                </c:pt>
                <c:pt idx="381">
                  <c:v>446.322</c:v>
                </c:pt>
                <c:pt idx="382">
                  <c:v>444.27449999999999</c:v>
                </c:pt>
                <c:pt idx="383">
                  <c:v>442.35450000000003</c:v>
                </c:pt>
                <c:pt idx="384">
                  <c:v>440.20049999999998</c:v>
                </c:pt>
                <c:pt idx="385">
                  <c:v>438.16949999999997</c:v>
                </c:pt>
                <c:pt idx="386">
                  <c:v>436.13699999999994</c:v>
                </c:pt>
                <c:pt idx="387">
                  <c:v>433.99950000000001</c:v>
                </c:pt>
                <c:pt idx="388">
                  <c:v>431.976</c:v>
                </c:pt>
                <c:pt idx="389">
                  <c:v>429.77549999999997</c:v>
                </c:pt>
                <c:pt idx="390">
                  <c:v>427.71749999999997</c:v>
                </c:pt>
                <c:pt idx="391">
                  <c:v>425.78250000000003</c:v>
                </c:pt>
                <c:pt idx="392">
                  <c:v>423.50850000000003</c:v>
                </c:pt>
                <c:pt idx="393">
                  <c:v>421.64549999999997</c:v>
                </c:pt>
                <c:pt idx="394">
                  <c:v>419.50049999999999</c:v>
                </c:pt>
                <c:pt idx="395">
                  <c:v>417.48449999999997</c:v>
                </c:pt>
                <c:pt idx="396">
                  <c:v>415.37549999999999</c:v>
                </c:pt>
                <c:pt idx="397">
                  <c:v>413.37150000000003</c:v>
                </c:pt>
                <c:pt idx="398">
                  <c:v>411.411</c:v>
                </c:pt>
                <c:pt idx="399">
                  <c:v>409.32449999999994</c:v>
                </c:pt>
                <c:pt idx="400">
                  <c:v>407.46749999999997</c:v>
                </c:pt>
                <c:pt idx="401">
                  <c:v>405.40049999999997</c:v>
                </c:pt>
                <c:pt idx="402">
                  <c:v>403.524</c:v>
                </c:pt>
                <c:pt idx="403">
                  <c:v>401.75850000000003</c:v>
                </c:pt>
                <c:pt idx="404">
                  <c:v>399.66900000000004</c:v>
                </c:pt>
                <c:pt idx="405">
                  <c:v>398.08050000000003</c:v>
                </c:pt>
                <c:pt idx="406">
                  <c:v>396.17550000000006</c:v>
                </c:pt>
                <c:pt idx="407">
                  <c:v>394.428</c:v>
                </c:pt>
                <c:pt idx="408">
                  <c:v>392.57549999999998</c:v>
                </c:pt>
                <c:pt idx="409">
                  <c:v>390.87150000000003</c:v>
                </c:pt>
                <c:pt idx="410">
                  <c:v>389.178</c:v>
                </c:pt>
                <c:pt idx="411">
                  <c:v>387.34950000000003</c:v>
                </c:pt>
                <c:pt idx="412">
                  <c:v>385.76550000000003</c:v>
                </c:pt>
                <c:pt idx="413">
                  <c:v>384</c:v>
                </c:pt>
                <c:pt idx="414">
                  <c:v>382.37850000000003</c:v>
                </c:pt>
                <c:pt idx="415">
                  <c:v>380.87850000000003</c:v>
                </c:pt>
                <c:pt idx="416">
                  <c:v>379.09800000000001</c:v>
                </c:pt>
                <c:pt idx="417">
                  <c:v>377.637</c:v>
                </c:pt>
                <c:pt idx="418">
                  <c:v>376.00049999999999</c:v>
                </c:pt>
                <c:pt idx="419">
                  <c:v>374.49149999999997</c:v>
                </c:pt>
                <c:pt idx="420">
                  <c:v>372.82500000000005</c:v>
                </c:pt>
                <c:pt idx="421">
                  <c:v>371.274</c:v>
                </c:pt>
                <c:pt idx="422">
                  <c:v>369.726</c:v>
                </c:pt>
                <c:pt idx="423">
                  <c:v>368.14949999999999</c:v>
                </c:pt>
                <c:pt idx="424">
                  <c:v>366.702</c:v>
                </c:pt>
                <c:pt idx="425">
                  <c:v>365.12549999999999</c:v>
                </c:pt>
                <c:pt idx="426">
                  <c:v>363.65250000000003</c:v>
                </c:pt>
                <c:pt idx="427">
                  <c:v>362.25</c:v>
                </c:pt>
                <c:pt idx="428">
                  <c:v>360.69900000000001</c:v>
                </c:pt>
                <c:pt idx="429">
                  <c:v>359.709</c:v>
                </c:pt>
                <c:pt idx="430">
                  <c:v>357.9255</c:v>
                </c:pt>
                <c:pt idx="431">
                  <c:v>356.565</c:v>
                </c:pt>
                <c:pt idx="432">
                  <c:v>355.125</c:v>
                </c:pt>
                <c:pt idx="433">
                  <c:v>353.75850000000003</c:v>
                </c:pt>
                <c:pt idx="434">
                  <c:v>352.452</c:v>
                </c:pt>
                <c:pt idx="435">
                  <c:v>351.02549999999997</c:v>
                </c:pt>
                <c:pt idx="436">
                  <c:v>349.791</c:v>
                </c:pt>
                <c:pt idx="437">
                  <c:v>348.40049999999997</c:v>
                </c:pt>
                <c:pt idx="438">
                  <c:v>347.10449999999997</c:v>
                </c:pt>
                <c:pt idx="439">
                  <c:v>345.91949999999997</c:v>
                </c:pt>
                <c:pt idx="440">
                  <c:v>344.51850000000002</c:v>
                </c:pt>
                <c:pt idx="441">
                  <c:v>343.428</c:v>
                </c:pt>
                <c:pt idx="442">
                  <c:v>342.10050000000001</c:v>
                </c:pt>
                <c:pt idx="443">
                  <c:v>340.935</c:v>
                </c:pt>
                <c:pt idx="444">
                  <c:v>339.70050000000003</c:v>
                </c:pt>
                <c:pt idx="445">
                  <c:v>338.49149999999997</c:v>
                </c:pt>
                <c:pt idx="446">
                  <c:v>337.30650000000003</c:v>
                </c:pt>
                <c:pt idx="447">
                  <c:v>336.07500000000005</c:v>
                </c:pt>
                <c:pt idx="448">
                  <c:v>334.98450000000003</c:v>
                </c:pt>
                <c:pt idx="449">
                  <c:v>333.75</c:v>
                </c:pt>
                <c:pt idx="450">
                  <c:v>332.613</c:v>
                </c:pt>
                <c:pt idx="451">
                  <c:v>331.548</c:v>
                </c:pt>
                <c:pt idx="452">
                  <c:v>330.32100000000003</c:v>
                </c:pt>
                <c:pt idx="453">
                  <c:v>329.298</c:v>
                </c:pt>
                <c:pt idx="454">
                  <c:v>328.15049999999997</c:v>
                </c:pt>
                <c:pt idx="455">
                  <c:v>327.09749999999997</c:v>
                </c:pt>
                <c:pt idx="456">
                  <c:v>325.99950000000001</c:v>
                </c:pt>
                <c:pt idx="457">
                  <c:v>324.94349999999997</c:v>
                </c:pt>
                <c:pt idx="458">
                  <c:v>323.90250000000003</c:v>
                </c:pt>
                <c:pt idx="459">
                  <c:v>322.79999999999995</c:v>
                </c:pt>
                <c:pt idx="460">
                  <c:v>321.822</c:v>
                </c:pt>
                <c:pt idx="461">
                  <c:v>320.74950000000001</c:v>
                </c:pt>
                <c:pt idx="462">
                  <c:v>319.76549999999997</c:v>
                </c:pt>
                <c:pt idx="463">
                  <c:v>318.84749999999997</c:v>
                </c:pt>
                <c:pt idx="464">
                  <c:v>317.73149999999998</c:v>
                </c:pt>
                <c:pt idx="465">
                  <c:v>316.863</c:v>
                </c:pt>
                <c:pt idx="466">
                  <c:v>315.87450000000001</c:v>
                </c:pt>
                <c:pt idx="467">
                  <c:v>314.928</c:v>
                </c:pt>
                <c:pt idx="468">
                  <c:v>313.97550000000001</c:v>
                </c:pt>
                <c:pt idx="469">
                  <c:v>313.041</c:v>
                </c:pt>
                <c:pt idx="470">
                  <c:v>312.14550000000003</c:v>
                </c:pt>
                <c:pt idx="471">
                  <c:v>311.17499999999995</c:v>
                </c:pt>
                <c:pt idx="472">
                  <c:v>310.33050000000003</c:v>
                </c:pt>
                <c:pt idx="473">
                  <c:v>308.95050000000003</c:v>
                </c:pt>
                <c:pt idx="474">
                  <c:v>307.64550000000003</c:v>
                </c:pt>
                <c:pt idx="475">
                  <c:v>306.55650000000003</c:v>
                </c:pt>
                <c:pt idx="476">
                  <c:v>305.66399999999999</c:v>
                </c:pt>
                <c:pt idx="477">
                  <c:v>305.03249999999997</c:v>
                </c:pt>
                <c:pt idx="478">
                  <c:v>304.37549999999999</c:v>
                </c:pt>
                <c:pt idx="479">
                  <c:v>303.75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ED5-4B7A-A185-BA3C3DDB3E54}"/>
            </c:ext>
          </c:extLst>
        </c:ser>
        <c:ser>
          <c:idx val="18"/>
          <c:order val="18"/>
          <c:tx>
            <c:strRef>
              <c:f>'FPSO1 Base'!$U$2</c:f>
              <c:strCache>
                <c:ptCount val="1"/>
                <c:pt idx="0">
                  <c:v>P19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Base'!$U$3:$U$730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1133.913</c:v>
                </c:pt>
                <c:pt idx="49">
                  <c:v>1593.0149999999999</c:v>
                </c:pt>
                <c:pt idx="50">
                  <c:v>1489.923</c:v>
                </c:pt>
                <c:pt idx="51">
                  <c:v>1453.6379999999999</c:v>
                </c:pt>
                <c:pt idx="52">
                  <c:v>1450.7055</c:v>
                </c:pt>
                <c:pt idx="53">
                  <c:v>1452.3375000000001</c:v>
                </c:pt>
                <c:pt idx="54">
                  <c:v>1440.6405</c:v>
                </c:pt>
                <c:pt idx="55">
                  <c:v>1420.7294999999999</c:v>
                </c:pt>
                <c:pt idx="56">
                  <c:v>1393.1924999999999</c:v>
                </c:pt>
                <c:pt idx="57">
                  <c:v>1377.3029999999999</c:v>
                </c:pt>
                <c:pt idx="58">
                  <c:v>1360.8000000000002</c:v>
                </c:pt>
                <c:pt idx="59">
                  <c:v>1347.4349999999999</c:v>
                </c:pt>
                <c:pt idx="60">
                  <c:v>1334.2379999999998</c:v>
                </c:pt>
                <c:pt idx="61">
                  <c:v>1322.7465</c:v>
                </c:pt>
                <c:pt idx="62">
                  <c:v>1311.9435000000001</c:v>
                </c:pt>
                <c:pt idx="63">
                  <c:v>1301.1374999999998</c:v>
                </c:pt>
                <c:pt idx="64">
                  <c:v>1291.7774999999999</c:v>
                </c:pt>
                <c:pt idx="65">
                  <c:v>1281.9630000000002</c:v>
                </c:pt>
                <c:pt idx="66">
                  <c:v>1274.0325</c:v>
                </c:pt>
                <c:pt idx="67">
                  <c:v>1265.9760000000001</c:v>
                </c:pt>
                <c:pt idx="68">
                  <c:v>1256.652</c:v>
                </c:pt>
                <c:pt idx="69">
                  <c:v>1249.3425</c:v>
                </c:pt>
                <c:pt idx="70">
                  <c:v>1240.9005000000002</c:v>
                </c:pt>
                <c:pt idx="71">
                  <c:v>1233.1575</c:v>
                </c:pt>
                <c:pt idx="72">
                  <c:v>1224.7379999999998</c:v>
                </c:pt>
                <c:pt idx="73">
                  <c:v>1216.7535</c:v>
                </c:pt>
                <c:pt idx="74">
                  <c:v>1208.6610000000001</c:v>
                </c:pt>
                <c:pt idx="75">
                  <c:v>1200</c:v>
                </c:pt>
                <c:pt idx="76">
                  <c:v>1191.8955000000001</c:v>
                </c:pt>
                <c:pt idx="77">
                  <c:v>1145.538</c:v>
                </c:pt>
                <c:pt idx="78">
                  <c:v>1116.7739999999999</c:v>
                </c:pt>
                <c:pt idx="79">
                  <c:v>1097.3595</c:v>
                </c:pt>
                <c:pt idx="80">
                  <c:v>1079.2635</c:v>
                </c:pt>
                <c:pt idx="81">
                  <c:v>1067.0564999999999</c:v>
                </c:pt>
                <c:pt idx="82">
                  <c:v>1054.5374999999999</c:v>
                </c:pt>
                <c:pt idx="83">
                  <c:v>1044.2294999999999</c:v>
                </c:pt>
                <c:pt idx="84">
                  <c:v>1033.8494999999998</c:v>
                </c:pt>
                <c:pt idx="85">
                  <c:v>1024.56</c:v>
                </c:pt>
                <c:pt idx="86">
                  <c:v>1015.6455</c:v>
                </c:pt>
                <c:pt idx="87">
                  <c:v>1006.6005</c:v>
                </c:pt>
                <c:pt idx="88">
                  <c:v>998.45549999999992</c:v>
                </c:pt>
                <c:pt idx="89">
                  <c:v>989.6880000000001</c:v>
                </c:pt>
                <c:pt idx="90">
                  <c:v>977.89049999999997</c:v>
                </c:pt>
                <c:pt idx="91">
                  <c:v>969.73799999999994</c:v>
                </c:pt>
                <c:pt idx="92">
                  <c:v>961.07400000000007</c:v>
                </c:pt>
                <c:pt idx="93">
                  <c:v>953.54099999999994</c:v>
                </c:pt>
                <c:pt idx="94">
                  <c:v>945.11250000000007</c:v>
                </c:pt>
                <c:pt idx="95">
                  <c:v>937.452</c:v>
                </c:pt>
                <c:pt idx="96">
                  <c:v>929.23799999999994</c:v>
                </c:pt>
                <c:pt idx="97">
                  <c:v>921.59249999999997</c:v>
                </c:pt>
                <c:pt idx="98">
                  <c:v>914.04450000000008</c:v>
                </c:pt>
                <c:pt idx="99">
                  <c:v>906.27449999999999</c:v>
                </c:pt>
                <c:pt idx="100">
                  <c:v>899.23799999999994</c:v>
                </c:pt>
                <c:pt idx="101">
                  <c:v>891.75</c:v>
                </c:pt>
                <c:pt idx="102">
                  <c:v>878.38350000000014</c:v>
                </c:pt>
                <c:pt idx="103">
                  <c:v>871.86299999999994</c:v>
                </c:pt>
                <c:pt idx="104">
                  <c:v>865.07100000000014</c:v>
                </c:pt>
                <c:pt idx="105">
                  <c:v>859.572</c:v>
                </c:pt>
                <c:pt idx="106">
                  <c:v>853.30049999999994</c:v>
                </c:pt>
                <c:pt idx="107">
                  <c:v>847.62149999999997</c:v>
                </c:pt>
                <c:pt idx="108">
                  <c:v>841.54950000000008</c:v>
                </c:pt>
                <c:pt idx="109">
                  <c:v>835.93499999999995</c:v>
                </c:pt>
                <c:pt idx="110">
                  <c:v>830.37149999999997</c:v>
                </c:pt>
                <c:pt idx="111">
                  <c:v>824.625</c:v>
                </c:pt>
                <c:pt idx="112">
                  <c:v>819.45900000000006</c:v>
                </c:pt>
                <c:pt idx="113">
                  <c:v>813.97499999999991</c:v>
                </c:pt>
                <c:pt idx="114">
                  <c:v>808.88700000000006</c:v>
                </c:pt>
                <c:pt idx="115">
                  <c:v>804.24149999999986</c:v>
                </c:pt>
                <c:pt idx="116">
                  <c:v>798.88350000000014</c:v>
                </c:pt>
                <c:pt idx="117">
                  <c:v>794.66100000000006</c:v>
                </c:pt>
                <c:pt idx="118">
                  <c:v>789.77550000000008</c:v>
                </c:pt>
                <c:pt idx="119">
                  <c:v>785.41950000000008</c:v>
                </c:pt>
                <c:pt idx="120">
                  <c:v>780.67500000000007</c:v>
                </c:pt>
                <c:pt idx="121">
                  <c:v>776.34750000000008</c:v>
                </c:pt>
                <c:pt idx="122">
                  <c:v>772.04099999999994</c:v>
                </c:pt>
                <c:pt idx="123">
                  <c:v>767.59950000000003</c:v>
                </c:pt>
                <c:pt idx="124">
                  <c:v>763.548</c:v>
                </c:pt>
                <c:pt idx="125">
                  <c:v>759.25049999999999</c:v>
                </c:pt>
                <c:pt idx="126">
                  <c:v>755.25</c:v>
                </c:pt>
                <c:pt idx="127">
                  <c:v>751.524</c:v>
                </c:pt>
                <c:pt idx="128">
                  <c:v>747.21449999999993</c:v>
                </c:pt>
                <c:pt idx="129">
                  <c:v>743.80649999999991</c:v>
                </c:pt>
                <c:pt idx="130">
                  <c:v>739.90049999999997</c:v>
                </c:pt>
                <c:pt idx="131">
                  <c:v>736.30649999999991</c:v>
                </c:pt>
                <c:pt idx="132">
                  <c:v>732.57449999999994</c:v>
                </c:pt>
                <c:pt idx="133">
                  <c:v>729</c:v>
                </c:pt>
                <c:pt idx="134">
                  <c:v>725.39549999999997</c:v>
                </c:pt>
                <c:pt idx="135">
                  <c:v>721.60050000000001</c:v>
                </c:pt>
                <c:pt idx="136">
                  <c:v>718.28250000000003</c:v>
                </c:pt>
                <c:pt idx="137">
                  <c:v>714.64949999999999</c:v>
                </c:pt>
                <c:pt idx="138">
                  <c:v>711.41100000000006</c:v>
                </c:pt>
                <c:pt idx="139">
                  <c:v>708.26549999999997</c:v>
                </c:pt>
                <c:pt idx="140">
                  <c:v>704.89649999999995</c:v>
                </c:pt>
                <c:pt idx="141">
                  <c:v>701.976</c:v>
                </c:pt>
                <c:pt idx="142">
                  <c:v>698.77500000000009</c:v>
                </c:pt>
                <c:pt idx="143">
                  <c:v>695.87850000000003</c:v>
                </c:pt>
                <c:pt idx="144">
                  <c:v>692.77500000000009</c:v>
                </c:pt>
                <c:pt idx="145">
                  <c:v>689.90250000000003</c:v>
                </c:pt>
                <c:pt idx="146">
                  <c:v>687.09749999999997</c:v>
                </c:pt>
                <c:pt idx="147">
                  <c:v>684.12450000000001</c:v>
                </c:pt>
                <c:pt idx="148">
                  <c:v>681.53250000000003</c:v>
                </c:pt>
                <c:pt idx="149">
                  <c:v>678.72450000000003</c:v>
                </c:pt>
                <c:pt idx="150">
                  <c:v>671.56499999999994</c:v>
                </c:pt>
                <c:pt idx="151">
                  <c:v>669.024</c:v>
                </c:pt>
                <c:pt idx="152">
                  <c:v>666.61649999999997</c:v>
                </c:pt>
                <c:pt idx="153">
                  <c:v>664.62149999999997</c:v>
                </c:pt>
                <c:pt idx="154">
                  <c:v>662.35050000000001</c:v>
                </c:pt>
                <c:pt idx="155">
                  <c:v>660.29100000000005</c:v>
                </c:pt>
                <c:pt idx="156">
                  <c:v>658.05</c:v>
                </c:pt>
                <c:pt idx="157">
                  <c:v>656.05649999999991</c:v>
                </c:pt>
                <c:pt idx="158">
                  <c:v>654</c:v>
                </c:pt>
                <c:pt idx="159">
                  <c:v>651.92550000000006</c:v>
                </c:pt>
                <c:pt idx="160">
                  <c:v>650.00850000000003</c:v>
                </c:pt>
                <c:pt idx="161">
                  <c:v>648.375</c:v>
                </c:pt>
                <c:pt idx="162">
                  <c:v>646.13699999999994</c:v>
                </c:pt>
                <c:pt idx="163">
                  <c:v>644.34749999999997</c:v>
                </c:pt>
                <c:pt idx="164">
                  <c:v>642.32100000000003</c:v>
                </c:pt>
                <c:pt idx="165">
                  <c:v>640.74149999999997</c:v>
                </c:pt>
                <c:pt idx="166">
                  <c:v>638.84999999999991</c:v>
                </c:pt>
                <c:pt idx="167">
                  <c:v>637.20899999999995</c:v>
                </c:pt>
                <c:pt idx="168">
                  <c:v>635.40000000000009</c:v>
                </c:pt>
                <c:pt idx="169">
                  <c:v>633.726</c:v>
                </c:pt>
                <c:pt idx="170">
                  <c:v>632.05649999999991</c:v>
                </c:pt>
                <c:pt idx="171">
                  <c:v>630.25049999999999</c:v>
                </c:pt>
                <c:pt idx="172">
                  <c:v>628.69350000000009</c:v>
                </c:pt>
                <c:pt idx="173">
                  <c:v>626.95049999999992</c:v>
                </c:pt>
                <c:pt idx="174">
                  <c:v>769.30649999999991</c:v>
                </c:pt>
                <c:pt idx="175">
                  <c:v>783.84750000000008</c:v>
                </c:pt>
                <c:pt idx="176">
                  <c:v>780.88350000000014</c:v>
                </c:pt>
                <c:pt idx="177">
                  <c:v>778.25850000000014</c:v>
                </c:pt>
                <c:pt idx="178">
                  <c:v>774.57450000000006</c:v>
                </c:pt>
                <c:pt idx="179">
                  <c:v>770.80649999999991</c:v>
                </c:pt>
                <c:pt idx="180">
                  <c:v>766.45049999999992</c:v>
                </c:pt>
                <c:pt idx="181">
                  <c:v>762.26549999999997</c:v>
                </c:pt>
                <c:pt idx="182">
                  <c:v>758.12850000000003</c:v>
                </c:pt>
                <c:pt idx="183">
                  <c:v>753.94949999999994</c:v>
                </c:pt>
                <c:pt idx="184">
                  <c:v>750.21749999999997</c:v>
                </c:pt>
                <c:pt idx="185">
                  <c:v>746.42550000000006</c:v>
                </c:pt>
                <c:pt idx="186">
                  <c:v>720.89549999999997</c:v>
                </c:pt>
                <c:pt idx="187">
                  <c:v>716.12850000000003</c:v>
                </c:pt>
                <c:pt idx="188">
                  <c:v>713.25</c:v>
                </c:pt>
                <c:pt idx="189">
                  <c:v>709.37850000000003</c:v>
                </c:pt>
                <c:pt idx="190">
                  <c:v>702.49950000000001</c:v>
                </c:pt>
                <c:pt idx="191">
                  <c:v>696.36300000000006</c:v>
                </c:pt>
                <c:pt idx="192">
                  <c:v>690.02549999999997</c:v>
                </c:pt>
                <c:pt idx="193">
                  <c:v>684.38699999999994</c:v>
                </c:pt>
                <c:pt idx="194">
                  <c:v>678.99149999999997</c:v>
                </c:pt>
                <c:pt idx="195">
                  <c:v>673.47450000000003</c:v>
                </c:pt>
                <c:pt idx="196">
                  <c:v>668.73450000000003</c:v>
                </c:pt>
                <c:pt idx="197">
                  <c:v>664.22550000000001</c:v>
                </c:pt>
                <c:pt idx="198">
                  <c:v>660.50850000000003</c:v>
                </c:pt>
                <c:pt idx="199">
                  <c:v>657.12149999999997</c:v>
                </c:pt>
                <c:pt idx="200">
                  <c:v>653.25</c:v>
                </c:pt>
                <c:pt idx="201">
                  <c:v>650.178</c:v>
                </c:pt>
                <c:pt idx="202">
                  <c:v>646.67550000000006</c:v>
                </c:pt>
                <c:pt idx="203">
                  <c:v>643.548</c:v>
                </c:pt>
                <c:pt idx="204">
                  <c:v>640.54950000000008</c:v>
                </c:pt>
                <c:pt idx="205">
                  <c:v>637.98450000000003</c:v>
                </c:pt>
                <c:pt idx="206">
                  <c:v>635.54100000000005</c:v>
                </c:pt>
                <c:pt idx="207">
                  <c:v>632.95049999999992</c:v>
                </c:pt>
                <c:pt idx="208">
                  <c:v>630.65250000000003</c:v>
                </c:pt>
                <c:pt idx="209">
                  <c:v>628.15049999999997</c:v>
                </c:pt>
                <c:pt idx="210">
                  <c:v>625.81499999999994</c:v>
                </c:pt>
                <c:pt idx="211">
                  <c:v>623.61300000000006</c:v>
                </c:pt>
                <c:pt idx="212">
                  <c:v>621.0809999999999</c:v>
                </c:pt>
                <c:pt idx="213">
                  <c:v>618.96749999999997</c:v>
                </c:pt>
                <c:pt idx="214">
                  <c:v>616.60050000000001</c:v>
                </c:pt>
                <c:pt idx="215">
                  <c:v>614.39549999999997</c:v>
                </c:pt>
                <c:pt idx="216">
                  <c:v>612</c:v>
                </c:pt>
                <c:pt idx="217">
                  <c:v>609.75</c:v>
                </c:pt>
                <c:pt idx="218">
                  <c:v>607.524</c:v>
                </c:pt>
                <c:pt idx="219">
                  <c:v>605.14949999999999</c:v>
                </c:pt>
                <c:pt idx="220">
                  <c:v>603.072</c:v>
                </c:pt>
                <c:pt idx="221">
                  <c:v>600.77549999999997</c:v>
                </c:pt>
                <c:pt idx="222">
                  <c:v>598.59749999999997</c:v>
                </c:pt>
                <c:pt idx="223">
                  <c:v>596.56499999999994</c:v>
                </c:pt>
                <c:pt idx="224">
                  <c:v>594.1875</c:v>
                </c:pt>
                <c:pt idx="225">
                  <c:v>592.30649999999991</c:v>
                </c:pt>
                <c:pt idx="226">
                  <c:v>590.12549999999999</c:v>
                </c:pt>
                <c:pt idx="227">
                  <c:v>588.072</c:v>
                </c:pt>
                <c:pt idx="228">
                  <c:v>585.92550000000006</c:v>
                </c:pt>
                <c:pt idx="229">
                  <c:v>583.91100000000006</c:v>
                </c:pt>
                <c:pt idx="230">
                  <c:v>581.952</c:v>
                </c:pt>
                <c:pt idx="231">
                  <c:v>579.87450000000001</c:v>
                </c:pt>
                <c:pt idx="232">
                  <c:v>578.00850000000003</c:v>
                </c:pt>
                <c:pt idx="233">
                  <c:v>576</c:v>
                </c:pt>
                <c:pt idx="234">
                  <c:v>574.11300000000006</c:v>
                </c:pt>
                <c:pt idx="235">
                  <c:v>572.322</c:v>
                </c:pt>
                <c:pt idx="236">
                  <c:v>570.33600000000001</c:v>
                </c:pt>
                <c:pt idx="237">
                  <c:v>568.74149999999997</c:v>
                </c:pt>
                <c:pt idx="238">
                  <c:v>567.12450000000001</c:v>
                </c:pt>
                <c:pt idx="239">
                  <c:v>565.69350000000009</c:v>
                </c:pt>
                <c:pt idx="240">
                  <c:v>564.12450000000001</c:v>
                </c:pt>
                <c:pt idx="241">
                  <c:v>562.62149999999997</c:v>
                </c:pt>
                <c:pt idx="242">
                  <c:v>561.19350000000009</c:v>
                </c:pt>
                <c:pt idx="243">
                  <c:v>559.65000000000009</c:v>
                </c:pt>
                <c:pt idx="244">
                  <c:v>558.19350000000009</c:v>
                </c:pt>
                <c:pt idx="245">
                  <c:v>556.65000000000009</c:v>
                </c:pt>
                <c:pt idx="246">
                  <c:v>555.21749999999997</c:v>
                </c:pt>
                <c:pt idx="247">
                  <c:v>553.81499999999994</c:v>
                </c:pt>
                <c:pt idx="248">
                  <c:v>552.1875</c:v>
                </c:pt>
                <c:pt idx="249">
                  <c:v>550.83899999999994</c:v>
                </c:pt>
                <c:pt idx="250">
                  <c:v>549.29999999999995</c:v>
                </c:pt>
                <c:pt idx="251">
                  <c:v>547.88699999999994</c:v>
                </c:pt>
                <c:pt idx="252">
                  <c:v>546.34950000000003</c:v>
                </c:pt>
                <c:pt idx="253">
                  <c:v>544.98450000000003</c:v>
                </c:pt>
                <c:pt idx="254">
                  <c:v>543.58050000000003</c:v>
                </c:pt>
                <c:pt idx="255">
                  <c:v>542.07449999999994</c:v>
                </c:pt>
                <c:pt idx="256">
                  <c:v>540.702</c:v>
                </c:pt>
                <c:pt idx="257">
                  <c:v>539.05050000000006</c:v>
                </c:pt>
                <c:pt idx="258">
                  <c:v>537.50850000000003</c:v>
                </c:pt>
                <c:pt idx="259">
                  <c:v>536.05649999999991</c:v>
                </c:pt>
                <c:pt idx="260">
                  <c:v>534.34800000000007</c:v>
                </c:pt>
                <c:pt idx="261">
                  <c:v>532.95899999999995</c:v>
                </c:pt>
                <c:pt idx="262">
                  <c:v>531.42450000000008</c:v>
                </c:pt>
                <c:pt idx="263">
                  <c:v>529.95899999999995</c:v>
                </c:pt>
                <c:pt idx="264">
                  <c:v>528.47550000000001</c:v>
                </c:pt>
                <c:pt idx="265">
                  <c:v>527.12850000000003</c:v>
                </c:pt>
                <c:pt idx="266">
                  <c:v>525.798</c:v>
                </c:pt>
                <c:pt idx="267">
                  <c:v>524.44949999999994</c:v>
                </c:pt>
                <c:pt idx="268">
                  <c:v>523.23450000000003</c:v>
                </c:pt>
                <c:pt idx="269">
                  <c:v>521.89949999999999</c:v>
                </c:pt>
                <c:pt idx="270">
                  <c:v>520.74149999999997</c:v>
                </c:pt>
                <c:pt idx="271">
                  <c:v>519.60450000000003</c:v>
                </c:pt>
                <c:pt idx="272">
                  <c:v>518.3309999999999</c:v>
                </c:pt>
                <c:pt idx="273">
                  <c:v>517.28250000000003</c:v>
                </c:pt>
                <c:pt idx="274">
                  <c:v>516.07500000000005</c:v>
                </c:pt>
                <c:pt idx="275">
                  <c:v>514.95899999999995</c:v>
                </c:pt>
                <c:pt idx="276">
                  <c:v>513.72450000000003</c:v>
                </c:pt>
                <c:pt idx="277">
                  <c:v>512.63699999999994</c:v>
                </c:pt>
                <c:pt idx="278">
                  <c:v>511.452</c:v>
                </c:pt>
                <c:pt idx="279">
                  <c:v>510.25049999999999</c:v>
                </c:pt>
                <c:pt idx="280">
                  <c:v>509.37150000000003</c:v>
                </c:pt>
                <c:pt idx="281">
                  <c:v>508.17450000000002</c:v>
                </c:pt>
                <c:pt idx="282">
                  <c:v>506.63699999999994</c:v>
                </c:pt>
                <c:pt idx="283">
                  <c:v>505.428</c:v>
                </c:pt>
                <c:pt idx="284">
                  <c:v>504.07800000000003</c:v>
                </c:pt>
                <c:pt idx="285">
                  <c:v>502.911</c:v>
                </c:pt>
                <c:pt idx="286">
                  <c:v>501.59999999999997</c:v>
                </c:pt>
                <c:pt idx="287">
                  <c:v>500.46749999999997</c:v>
                </c:pt>
                <c:pt idx="288">
                  <c:v>499.24950000000001</c:v>
                </c:pt>
                <c:pt idx="289">
                  <c:v>606.19350000000009</c:v>
                </c:pt>
                <c:pt idx="290">
                  <c:v>610.572</c:v>
                </c:pt>
                <c:pt idx="291">
                  <c:v>606.25049999999999</c:v>
                </c:pt>
                <c:pt idx="292">
                  <c:v>602.49149999999997</c:v>
                </c:pt>
                <c:pt idx="293">
                  <c:v>599.32500000000005</c:v>
                </c:pt>
                <c:pt idx="294">
                  <c:v>596.51549999999997</c:v>
                </c:pt>
                <c:pt idx="295">
                  <c:v>593.80649999999991</c:v>
                </c:pt>
                <c:pt idx="296">
                  <c:v>590.3309999999999</c:v>
                </c:pt>
                <c:pt idx="297">
                  <c:v>587.46749999999997</c:v>
                </c:pt>
                <c:pt idx="298">
                  <c:v>584.14949999999999</c:v>
                </c:pt>
                <c:pt idx="299">
                  <c:v>581.10450000000003</c:v>
                </c:pt>
                <c:pt idx="300">
                  <c:v>577.95000000000005</c:v>
                </c:pt>
                <c:pt idx="301">
                  <c:v>575.03250000000003</c:v>
                </c:pt>
                <c:pt idx="302">
                  <c:v>572.25</c:v>
                </c:pt>
                <c:pt idx="303">
                  <c:v>569.42550000000006</c:v>
                </c:pt>
                <c:pt idx="304">
                  <c:v>593.63699999999994</c:v>
                </c:pt>
                <c:pt idx="305">
                  <c:v>594.87450000000001</c:v>
                </c:pt>
                <c:pt idx="306">
                  <c:v>593.58899999999994</c:v>
                </c:pt>
                <c:pt idx="307">
                  <c:v>592.13699999999994</c:v>
                </c:pt>
                <c:pt idx="308">
                  <c:v>590.5440000000001</c:v>
                </c:pt>
                <c:pt idx="309">
                  <c:v>589.23450000000003</c:v>
                </c:pt>
                <c:pt idx="310">
                  <c:v>587.67450000000008</c:v>
                </c:pt>
                <c:pt idx="311">
                  <c:v>586.20899999999995</c:v>
                </c:pt>
                <c:pt idx="312">
                  <c:v>584.65049999999997</c:v>
                </c:pt>
                <c:pt idx="313">
                  <c:v>583.13699999999994</c:v>
                </c:pt>
                <c:pt idx="314">
                  <c:v>581.70899999999995</c:v>
                </c:pt>
                <c:pt idx="315">
                  <c:v>580.22550000000001</c:v>
                </c:pt>
                <c:pt idx="316">
                  <c:v>578.85450000000003</c:v>
                </c:pt>
                <c:pt idx="317">
                  <c:v>577.45049999999992</c:v>
                </c:pt>
                <c:pt idx="318">
                  <c:v>576.12149999999997</c:v>
                </c:pt>
                <c:pt idx="319">
                  <c:v>574.93500000000006</c:v>
                </c:pt>
                <c:pt idx="320">
                  <c:v>573.53550000000007</c:v>
                </c:pt>
                <c:pt idx="321">
                  <c:v>572.44350000000009</c:v>
                </c:pt>
                <c:pt idx="322">
                  <c:v>571.17450000000008</c:v>
                </c:pt>
                <c:pt idx="323">
                  <c:v>570</c:v>
                </c:pt>
                <c:pt idx="324">
                  <c:v>569.12549999999999</c:v>
                </c:pt>
                <c:pt idx="325">
                  <c:v>567.702</c:v>
                </c:pt>
                <c:pt idx="326">
                  <c:v>566.54100000000005</c:v>
                </c:pt>
                <c:pt idx="327">
                  <c:v>565.22550000000001</c:v>
                </c:pt>
                <c:pt idx="328">
                  <c:v>564.048</c:v>
                </c:pt>
                <c:pt idx="329">
                  <c:v>562.77449999999999</c:v>
                </c:pt>
                <c:pt idx="330">
                  <c:v>561.58050000000003</c:v>
                </c:pt>
                <c:pt idx="331">
                  <c:v>560.44350000000009</c:v>
                </c:pt>
                <c:pt idx="332">
                  <c:v>559.16399999999999</c:v>
                </c:pt>
                <c:pt idx="333">
                  <c:v>558.12149999999997</c:v>
                </c:pt>
                <c:pt idx="334">
                  <c:v>556.92450000000008</c:v>
                </c:pt>
                <c:pt idx="335">
                  <c:v>555.87149999999997</c:v>
                </c:pt>
                <c:pt idx="336">
                  <c:v>554.70000000000005</c:v>
                </c:pt>
                <c:pt idx="337">
                  <c:v>553.66949999999997</c:v>
                </c:pt>
                <c:pt idx="338">
                  <c:v>552.60450000000003</c:v>
                </c:pt>
                <c:pt idx="339">
                  <c:v>551.47499999999991</c:v>
                </c:pt>
                <c:pt idx="340">
                  <c:v>550.476</c:v>
                </c:pt>
                <c:pt idx="341">
                  <c:v>549.375</c:v>
                </c:pt>
                <c:pt idx="342">
                  <c:v>548.298</c:v>
                </c:pt>
                <c:pt idx="343">
                  <c:v>547.30649999999991</c:v>
                </c:pt>
                <c:pt idx="344">
                  <c:v>546.13350000000003</c:v>
                </c:pt>
                <c:pt idx="345">
                  <c:v>545.15250000000003</c:v>
                </c:pt>
                <c:pt idx="346">
                  <c:v>544.07549999999992</c:v>
                </c:pt>
                <c:pt idx="347">
                  <c:v>543.048</c:v>
                </c:pt>
                <c:pt idx="348">
                  <c:v>541.97550000000001</c:v>
                </c:pt>
                <c:pt idx="349">
                  <c:v>540.99149999999997</c:v>
                </c:pt>
                <c:pt idx="350">
                  <c:v>539.90250000000003</c:v>
                </c:pt>
                <c:pt idx="351">
                  <c:v>538.90049999999997</c:v>
                </c:pt>
                <c:pt idx="352">
                  <c:v>537.91949999999997</c:v>
                </c:pt>
                <c:pt idx="353">
                  <c:v>536.87549999999999</c:v>
                </c:pt>
                <c:pt idx="354">
                  <c:v>535.88699999999994</c:v>
                </c:pt>
                <c:pt idx="355">
                  <c:v>534.96749999999997</c:v>
                </c:pt>
                <c:pt idx="356">
                  <c:v>533.86649999999997</c:v>
                </c:pt>
                <c:pt idx="357">
                  <c:v>533.03250000000003</c:v>
                </c:pt>
                <c:pt idx="358">
                  <c:v>532.00049999999999</c:v>
                </c:pt>
                <c:pt idx="359">
                  <c:v>531.072</c:v>
                </c:pt>
                <c:pt idx="360">
                  <c:v>530.07449999999994</c:v>
                </c:pt>
                <c:pt idx="361">
                  <c:v>529.16100000000006</c:v>
                </c:pt>
                <c:pt idx="362">
                  <c:v>528.19350000000009</c:v>
                </c:pt>
                <c:pt idx="363">
                  <c:v>527.22450000000003</c:v>
                </c:pt>
                <c:pt idx="364">
                  <c:v>526.33050000000003</c:v>
                </c:pt>
                <c:pt idx="365">
                  <c:v>525.375</c:v>
                </c:pt>
                <c:pt idx="366">
                  <c:v>524.46749999999997</c:v>
                </c:pt>
                <c:pt idx="367">
                  <c:v>523.66949999999997</c:v>
                </c:pt>
                <c:pt idx="368">
                  <c:v>522.6690000000001</c:v>
                </c:pt>
                <c:pt idx="369">
                  <c:v>521.90250000000003</c:v>
                </c:pt>
                <c:pt idx="370">
                  <c:v>520.99950000000001</c:v>
                </c:pt>
                <c:pt idx="371">
                  <c:v>520.18500000000006</c:v>
                </c:pt>
                <c:pt idx="372">
                  <c:v>519.27449999999999</c:v>
                </c:pt>
                <c:pt idx="373">
                  <c:v>518.46749999999997</c:v>
                </c:pt>
                <c:pt idx="374">
                  <c:v>517.59749999999997</c:v>
                </c:pt>
                <c:pt idx="375">
                  <c:v>516.72450000000003</c:v>
                </c:pt>
                <c:pt idx="376">
                  <c:v>515.952</c:v>
                </c:pt>
                <c:pt idx="377">
                  <c:v>515.07449999999994</c:v>
                </c:pt>
                <c:pt idx="378">
                  <c:v>514.25850000000003</c:v>
                </c:pt>
                <c:pt idx="379">
                  <c:v>513.48450000000003</c:v>
                </c:pt>
                <c:pt idx="380">
                  <c:v>512.61149999999998</c:v>
                </c:pt>
                <c:pt idx="381">
                  <c:v>511.86300000000006</c:v>
                </c:pt>
                <c:pt idx="382">
                  <c:v>511.02449999999999</c:v>
                </c:pt>
                <c:pt idx="383">
                  <c:v>510.26550000000003</c:v>
                </c:pt>
                <c:pt idx="384">
                  <c:v>509.42550000000006</c:v>
                </c:pt>
                <c:pt idx="385">
                  <c:v>508.69350000000003</c:v>
                </c:pt>
                <c:pt idx="386">
                  <c:v>507.84749999999997</c:v>
                </c:pt>
                <c:pt idx="387">
                  <c:v>507</c:v>
                </c:pt>
                <c:pt idx="388">
                  <c:v>506.202</c:v>
                </c:pt>
                <c:pt idx="389">
                  <c:v>505.30050000000006</c:v>
                </c:pt>
                <c:pt idx="390">
                  <c:v>504.43500000000006</c:v>
                </c:pt>
                <c:pt idx="391">
                  <c:v>503.61300000000006</c:v>
                </c:pt>
                <c:pt idx="392">
                  <c:v>502.66050000000007</c:v>
                </c:pt>
                <c:pt idx="393">
                  <c:v>501.94350000000003</c:v>
                </c:pt>
                <c:pt idx="394">
                  <c:v>501.10050000000001</c:v>
                </c:pt>
                <c:pt idx="395">
                  <c:v>500.298</c:v>
                </c:pt>
                <c:pt idx="396">
                  <c:v>499.47450000000003</c:v>
                </c:pt>
                <c:pt idx="397">
                  <c:v>498.702</c:v>
                </c:pt>
                <c:pt idx="398">
                  <c:v>497.952</c:v>
                </c:pt>
                <c:pt idx="399">
                  <c:v>497.17499999999995</c:v>
                </c:pt>
                <c:pt idx="400">
                  <c:v>496.452</c:v>
                </c:pt>
                <c:pt idx="401">
                  <c:v>495.64949999999999</c:v>
                </c:pt>
                <c:pt idx="402">
                  <c:v>494.75850000000003</c:v>
                </c:pt>
                <c:pt idx="403">
                  <c:v>493.98449999999997</c:v>
                </c:pt>
                <c:pt idx="404">
                  <c:v>492.99149999999997</c:v>
                </c:pt>
                <c:pt idx="405">
                  <c:v>492.26550000000003</c:v>
                </c:pt>
                <c:pt idx="406">
                  <c:v>491.42550000000006</c:v>
                </c:pt>
                <c:pt idx="407">
                  <c:v>490.69350000000003</c:v>
                </c:pt>
                <c:pt idx="408">
                  <c:v>489.92550000000006</c:v>
                </c:pt>
                <c:pt idx="409">
                  <c:v>489.21749999999997</c:v>
                </c:pt>
                <c:pt idx="410">
                  <c:v>488.54100000000005</c:v>
                </c:pt>
                <c:pt idx="411">
                  <c:v>487.79999999999995</c:v>
                </c:pt>
                <c:pt idx="412">
                  <c:v>487.161</c:v>
                </c:pt>
                <c:pt idx="413">
                  <c:v>486.42450000000002</c:v>
                </c:pt>
                <c:pt idx="414">
                  <c:v>485.70899999999995</c:v>
                </c:pt>
                <c:pt idx="415">
                  <c:v>485.08050000000003</c:v>
                </c:pt>
                <c:pt idx="416">
                  <c:v>484.25850000000003</c:v>
                </c:pt>
                <c:pt idx="417">
                  <c:v>483.58050000000003</c:v>
                </c:pt>
                <c:pt idx="418">
                  <c:v>482.77500000000003</c:v>
                </c:pt>
                <c:pt idx="419">
                  <c:v>482.05649999999997</c:v>
                </c:pt>
                <c:pt idx="420">
                  <c:v>481.27500000000003</c:v>
                </c:pt>
                <c:pt idx="421">
                  <c:v>480.58050000000003</c:v>
                </c:pt>
                <c:pt idx="422">
                  <c:v>479.87849999999997</c:v>
                </c:pt>
                <c:pt idx="423">
                  <c:v>479.14949999999999</c:v>
                </c:pt>
                <c:pt idx="424">
                  <c:v>478.572</c:v>
                </c:pt>
                <c:pt idx="425">
                  <c:v>477.85050000000001</c:v>
                </c:pt>
                <c:pt idx="426">
                  <c:v>477.19350000000003</c:v>
                </c:pt>
                <c:pt idx="427">
                  <c:v>476.61300000000006</c:v>
                </c:pt>
                <c:pt idx="428">
                  <c:v>475.88850000000002</c:v>
                </c:pt>
                <c:pt idx="429">
                  <c:v>475.452</c:v>
                </c:pt>
                <c:pt idx="430">
                  <c:v>474.62549999999999</c:v>
                </c:pt>
                <c:pt idx="431">
                  <c:v>473.928</c:v>
                </c:pt>
                <c:pt idx="432">
                  <c:v>473.17499999999995</c:v>
                </c:pt>
                <c:pt idx="433">
                  <c:v>472.5</c:v>
                </c:pt>
                <c:pt idx="434">
                  <c:v>471.84749999999997</c:v>
                </c:pt>
                <c:pt idx="435">
                  <c:v>471.15000000000003</c:v>
                </c:pt>
                <c:pt idx="436">
                  <c:v>470.51550000000003</c:v>
                </c:pt>
                <c:pt idx="437">
                  <c:v>469.90049999999997</c:v>
                </c:pt>
                <c:pt idx="438">
                  <c:v>469.23449999999997</c:v>
                </c:pt>
                <c:pt idx="439">
                  <c:v>468.62849999999997</c:v>
                </c:pt>
                <c:pt idx="440">
                  <c:v>467.8125</c:v>
                </c:pt>
                <c:pt idx="441">
                  <c:v>467.12849999999997</c:v>
                </c:pt>
                <c:pt idx="442">
                  <c:v>466.39949999999999</c:v>
                </c:pt>
                <c:pt idx="443">
                  <c:v>465.43500000000006</c:v>
                </c:pt>
                <c:pt idx="444">
                  <c:v>464.07449999999994</c:v>
                </c:pt>
                <c:pt idx="445">
                  <c:v>462.798</c:v>
                </c:pt>
                <c:pt idx="446">
                  <c:v>461.56499999999994</c:v>
                </c:pt>
                <c:pt idx="447">
                  <c:v>460.42499999999995</c:v>
                </c:pt>
                <c:pt idx="448">
                  <c:v>459.36300000000006</c:v>
                </c:pt>
                <c:pt idx="449">
                  <c:v>458.22450000000003</c:v>
                </c:pt>
                <c:pt idx="450">
                  <c:v>457.161</c:v>
                </c:pt>
                <c:pt idx="451">
                  <c:v>460.30649999999997</c:v>
                </c:pt>
                <c:pt idx="452">
                  <c:v>460.01849999999996</c:v>
                </c:pt>
                <c:pt idx="453">
                  <c:v>459.48449999999997</c:v>
                </c:pt>
                <c:pt idx="454">
                  <c:v>458.84999999999997</c:v>
                </c:pt>
                <c:pt idx="455">
                  <c:v>458.274</c:v>
                </c:pt>
                <c:pt idx="456">
                  <c:v>457.65000000000003</c:v>
                </c:pt>
                <c:pt idx="457">
                  <c:v>456.96749999999997</c:v>
                </c:pt>
                <c:pt idx="458">
                  <c:v>456.43500000000006</c:v>
                </c:pt>
                <c:pt idx="459">
                  <c:v>455.70000000000005</c:v>
                </c:pt>
                <c:pt idx="460">
                  <c:v>455.03250000000003</c:v>
                </c:pt>
                <c:pt idx="461">
                  <c:v>454.39949999999999</c:v>
                </c:pt>
                <c:pt idx="462">
                  <c:v>453.822</c:v>
                </c:pt>
                <c:pt idx="463">
                  <c:v>453.14549999999997</c:v>
                </c:pt>
                <c:pt idx="464">
                  <c:v>452.41050000000007</c:v>
                </c:pt>
                <c:pt idx="465">
                  <c:v>451.93500000000006</c:v>
                </c:pt>
                <c:pt idx="466">
                  <c:v>451.20000000000005</c:v>
                </c:pt>
                <c:pt idx="467">
                  <c:v>450.62849999999997</c:v>
                </c:pt>
                <c:pt idx="468">
                  <c:v>450</c:v>
                </c:pt>
                <c:pt idx="469">
                  <c:v>449.37150000000003</c:v>
                </c:pt>
                <c:pt idx="470">
                  <c:v>448.839</c:v>
                </c:pt>
                <c:pt idx="471">
                  <c:v>448.15049999999997</c:v>
                </c:pt>
                <c:pt idx="472">
                  <c:v>447.53250000000003</c:v>
                </c:pt>
                <c:pt idx="473">
                  <c:v>446.95049999999998</c:v>
                </c:pt>
                <c:pt idx="474">
                  <c:v>446.322</c:v>
                </c:pt>
                <c:pt idx="475">
                  <c:v>445.74149999999997</c:v>
                </c:pt>
                <c:pt idx="476">
                  <c:v>444.98249999999996</c:v>
                </c:pt>
                <c:pt idx="477">
                  <c:v>444.43500000000006</c:v>
                </c:pt>
                <c:pt idx="478">
                  <c:v>443.74950000000001</c:v>
                </c:pt>
                <c:pt idx="479">
                  <c:v>443.12849999999997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ED5-4B7A-A185-BA3C3DDB3E54}"/>
            </c:ext>
          </c:extLst>
        </c:ser>
        <c:ser>
          <c:idx val="19"/>
          <c:order val="19"/>
          <c:tx>
            <c:strRef>
              <c:f>'FPSO1 Base'!$V$2</c:f>
              <c:strCache>
                <c:ptCount val="1"/>
                <c:pt idx="0">
                  <c:v>P20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Base'!$V$3:$V$730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188.20050000000001</c:v>
                </c:pt>
                <c:pt idx="54">
                  <c:v>1316.952</c:v>
                </c:pt>
                <c:pt idx="55">
                  <c:v>1120.0155</c:v>
                </c:pt>
                <c:pt idx="56">
                  <c:v>1090.4460000000001</c:v>
                </c:pt>
                <c:pt idx="57">
                  <c:v>1090.5975000000001</c:v>
                </c:pt>
                <c:pt idx="58">
                  <c:v>1093.7505000000001</c:v>
                </c:pt>
                <c:pt idx="59">
                  <c:v>1097.6610000000001</c:v>
                </c:pt>
                <c:pt idx="60">
                  <c:v>1101.7004999999999</c:v>
                </c:pt>
                <c:pt idx="61">
                  <c:v>1105.0155</c:v>
                </c:pt>
                <c:pt idx="62">
                  <c:v>1107.6779999999999</c:v>
                </c:pt>
                <c:pt idx="63">
                  <c:v>1109.8004999999998</c:v>
                </c:pt>
                <c:pt idx="64">
                  <c:v>1111.2090000000001</c:v>
                </c:pt>
                <c:pt idx="65">
                  <c:v>1112.1495</c:v>
                </c:pt>
                <c:pt idx="66">
                  <c:v>1113.7260000000001</c:v>
                </c:pt>
                <c:pt idx="67">
                  <c:v>1114.3064999999999</c:v>
                </c:pt>
                <c:pt idx="68">
                  <c:v>1114.6605</c:v>
                </c:pt>
                <c:pt idx="69">
                  <c:v>1114.7414999999999</c:v>
                </c:pt>
                <c:pt idx="70">
                  <c:v>1114.7505000000001</c:v>
                </c:pt>
                <c:pt idx="71">
                  <c:v>1114.7414999999999</c:v>
                </c:pt>
                <c:pt idx="72">
                  <c:v>1114.5495000000001</c:v>
                </c:pt>
                <c:pt idx="73">
                  <c:v>1114.3544999999999</c:v>
                </c:pt>
                <c:pt idx="74">
                  <c:v>1114.1610000000001</c:v>
                </c:pt>
                <c:pt idx="75">
                  <c:v>1113.8505</c:v>
                </c:pt>
                <c:pt idx="76">
                  <c:v>1113.6779999999999</c:v>
                </c:pt>
                <c:pt idx="77">
                  <c:v>1113.3494999999998</c:v>
                </c:pt>
                <c:pt idx="78">
                  <c:v>1115.8064999999999</c:v>
                </c:pt>
                <c:pt idx="79">
                  <c:v>1115.5155</c:v>
                </c:pt>
                <c:pt idx="80">
                  <c:v>1114.7684999999999</c:v>
                </c:pt>
                <c:pt idx="81">
                  <c:v>1114.1129999999998</c:v>
                </c:pt>
                <c:pt idx="82">
                  <c:v>1113.4499999999998</c:v>
                </c:pt>
                <c:pt idx="83">
                  <c:v>1112.8064999999999</c:v>
                </c:pt>
                <c:pt idx="84">
                  <c:v>1112.2004999999999</c:v>
                </c:pt>
                <c:pt idx="85">
                  <c:v>1111.548</c:v>
                </c:pt>
                <c:pt idx="86">
                  <c:v>1110.8715</c:v>
                </c:pt>
                <c:pt idx="87">
                  <c:v>1110.2505000000001</c:v>
                </c:pt>
                <c:pt idx="88">
                  <c:v>1109.5650000000001</c:v>
                </c:pt>
                <c:pt idx="89">
                  <c:v>1108.8494999999998</c:v>
                </c:pt>
                <c:pt idx="90">
                  <c:v>1103.3715</c:v>
                </c:pt>
                <c:pt idx="91">
                  <c:v>1102.2585000000001</c:v>
                </c:pt>
                <c:pt idx="92">
                  <c:v>1101.672</c:v>
                </c:pt>
                <c:pt idx="93">
                  <c:v>1101</c:v>
                </c:pt>
                <c:pt idx="94">
                  <c:v>1100.0999999999999</c:v>
                </c:pt>
                <c:pt idx="95">
                  <c:v>1099.2090000000001</c:v>
                </c:pt>
                <c:pt idx="96">
                  <c:v>1098.1995000000002</c:v>
                </c:pt>
                <c:pt idx="97">
                  <c:v>1096.9349999999999</c:v>
                </c:pt>
                <c:pt idx="98">
                  <c:v>1095.6779999999999</c:v>
                </c:pt>
                <c:pt idx="99">
                  <c:v>1094.2004999999999</c:v>
                </c:pt>
                <c:pt idx="100">
                  <c:v>1092.5805</c:v>
                </c:pt>
                <c:pt idx="101">
                  <c:v>1090.8494999999998</c:v>
                </c:pt>
                <c:pt idx="102">
                  <c:v>1079.3220000000001</c:v>
                </c:pt>
                <c:pt idx="103">
                  <c:v>1076.8544999999999</c:v>
                </c:pt>
                <c:pt idx="104">
                  <c:v>1074.9645</c:v>
                </c:pt>
                <c:pt idx="105">
                  <c:v>1073.2260000000001</c:v>
                </c:pt>
                <c:pt idx="106">
                  <c:v>1071</c:v>
                </c:pt>
                <c:pt idx="107">
                  <c:v>1068.7739999999999</c:v>
                </c:pt>
                <c:pt idx="108">
                  <c:v>1066.2494999999999</c:v>
                </c:pt>
                <c:pt idx="109">
                  <c:v>1063.6935000000001</c:v>
                </c:pt>
                <c:pt idx="110">
                  <c:v>1060.9845</c:v>
                </c:pt>
                <c:pt idx="111">
                  <c:v>1057.9499999999998</c:v>
                </c:pt>
                <c:pt idx="112">
                  <c:v>1055.1285</c:v>
                </c:pt>
                <c:pt idx="113">
                  <c:v>1051.8000000000002</c:v>
                </c:pt>
                <c:pt idx="114">
                  <c:v>1048.6935000000001</c:v>
                </c:pt>
                <c:pt idx="115">
                  <c:v>1045.5975000000001</c:v>
                </c:pt>
                <c:pt idx="116">
                  <c:v>1041.8565000000001</c:v>
                </c:pt>
                <c:pt idx="117">
                  <c:v>1038.7739999999999</c:v>
                </c:pt>
                <c:pt idx="118">
                  <c:v>1035</c:v>
                </c:pt>
                <c:pt idx="119">
                  <c:v>1031.4195</c:v>
                </c:pt>
                <c:pt idx="120">
                  <c:v>1027.5</c:v>
                </c:pt>
                <c:pt idx="121">
                  <c:v>1023.7739999999999</c:v>
                </c:pt>
                <c:pt idx="122">
                  <c:v>1019.9024999999999</c:v>
                </c:pt>
                <c:pt idx="123">
                  <c:v>1015.7505000000001</c:v>
                </c:pt>
                <c:pt idx="124">
                  <c:v>1011.8715</c:v>
                </c:pt>
                <c:pt idx="125">
                  <c:v>1007.5500000000001</c:v>
                </c:pt>
                <c:pt idx="126">
                  <c:v>1003.5</c:v>
                </c:pt>
                <c:pt idx="127">
                  <c:v>999.53250000000003</c:v>
                </c:pt>
                <c:pt idx="128">
                  <c:v>994.7684999999999</c:v>
                </c:pt>
                <c:pt idx="129">
                  <c:v>990.91950000000008</c:v>
                </c:pt>
                <c:pt idx="130">
                  <c:v>986.29950000000008</c:v>
                </c:pt>
                <c:pt idx="131">
                  <c:v>982.01549999999997</c:v>
                </c:pt>
                <c:pt idx="132">
                  <c:v>977.35050000000001</c:v>
                </c:pt>
                <c:pt idx="133">
                  <c:v>972.87149999999997</c:v>
                </c:pt>
                <c:pt idx="134">
                  <c:v>968.37149999999997</c:v>
                </c:pt>
                <c:pt idx="135">
                  <c:v>963.59999999999991</c:v>
                </c:pt>
                <c:pt idx="136">
                  <c:v>959.178</c:v>
                </c:pt>
                <c:pt idx="137">
                  <c:v>954.30000000000007</c:v>
                </c:pt>
                <c:pt idx="138">
                  <c:v>949.69350000000009</c:v>
                </c:pt>
                <c:pt idx="139">
                  <c:v>945.33899999999994</c:v>
                </c:pt>
                <c:pt idx="140">
                  <c:v>940.34550000000013</c:v>
                </c:pt>
                <c:pt idx="141">
                  <c:v>936.048</c:v>
                </c:pt>
                <c:pt idx="142">
                  <c:v>931.34999999999991</c:v>
                </c:pt>
                <c:pt idx="143">
                  <c:v>927.048</c:v>
                </c:pt>
                <c:pt idx="144">
                  <c:v>922.2494999999999</c:v>
                </c:pt>
                <c:pt idx="145">
                  <c:v>917.85450000000003</c:v>
                </c:pt>
                <c:pt idx="146">
                  <c:v>913.452</c:v>
                </c:pt>
                <c:pt idx="147">
                  <c:v>908.7494999999999</c:v>
                </c:pt>
                <c:pt idx="148">
                  <c:v>904.548</c:v>
                </c:pt>
                <c:pt idx="149">
                  <c:v>900</c:v>
                </c:pt>
                <c:pt idx="150">
                  <c:v>888.43499999999995</c:v>
                </c:pt>
                <c:pt idx="151">
                  <c:v>884.12850000000003</c:v>
                </c:pt>
                <c:pt idx="152">
                  <c:v>879.75</c:v>
                </c:pt>
                <c:pt idx="153">
                  <c:v>876.14549999999997</c:v>
                </c:pt>
                <c:pt idx="154">
                  <c:v>871.9994999999999</c:v>
                </c:pt>
                <c:pt idx="155">
                  <c:v>868.20900000000006</c:v>
                </c:pt>
                <c:pt idx="156">
                  <c:v>864.04950000000008</c:v>
                </c:pt>
                <c:pt idx="157">
                  <c:v>860.22600000000011</c:v>
                </c:pt>
                <c:pt idx="158">
                  <c:v>856.35450000000003</c:v>
                </c:pt>
                <c:pt idx="159">
                  <c:v>852.15000000000009</c:v>
                </c:pt>
                <c:pt idx="160">
                  <c:v>848.41950000000008</c:v>
                </c:pt>
                <c:pt idx="161">
                  <c:v>845.25</c:v>
                </c:pt>
                <c:pt idx="162">
                  <c:v>840.678</c:v>
                </c:pt>
                <c:pt idx="163">
                  <c:v>837.048</c:v>
                </c:pt>
                <c:pt idx="164">
                  <c:v>832.92899999999986</c:v>
                </c:pt>
                <c:pt idx="165">
                  <c:v>829.64549999999997</c:v>
                </c:pt>
                <c:pt idx="166">
                  <c:v>825.79950000000008</c:v>
                </c:pt>
                <c:pt idx="167">
                  <c:v>822.19350000000009</c:v>
                </c:pt>
                <c:pt idx="168">
                  <c:v>818.35050000000001</c:v>
                </c:pt>
                <c:pt idx="169">
                  <c:v>814.79099999999994</c:v>
                </c:pt>
                <c:pt idx="170">
                  <c:v>811.25850000000014</c:v>
                </c:pt>
                <c:pt idx="171">
                  <c:v>807.4994999999999</c:v>
                </c:pt>
                <c:pt idx="172">
                  <c:v>804.14549999999997</c:v>
                </c:pt>
                <c:pt idx="173">
                  <c:v>800.40000000000009</c:v>
                </c:pt>
                <c:pt idx="174">
                  <c:v>796.88700000000006</c:v>
                </c:pt>
                <c:pt idx="175">
                  <c:v>793.88700000000006</c:v>
                </c:pt>
                <c:pt idx="176">
                  <c:v>790.2315000000001</c:v>
                </c:pt>
                <c:pt idx="177">
                  <c:v>787.40249999999992</c:v>
                </c:pt>
                <c:pt idx="178">
                  <c:v>783.94950000000006</c:v>
                </c:pt>
                <c:pt idx="179">
                  <c:v>780.87149999999997</c:v>
                </c:pt>
                <c:pt idx="180">
                  <c:v>777.4994999999999</c:v>
                </c:pt>
                <c:pt idx="181">
                  <c:v>774.38700000000006</c:v>
                </c:pt>
                <c:pt idx="182">
                  <c:v>771.24149999999986</c:v>
                </c:pt>
                <c:pt idx="183">
                  <c:v>767.95049999999992</c:v>
                </c:pt>
                <c:pt idx="184">
                  <c:v>765</c:v>
                </c:pt>
                <c:pt idx="185">
                  <c:v>761.74950000000001</c:v>
                </c:pt>
                <c:pt idx="186">
                  <c:v>737.12850000000003</c:v>
                </c:pt>
                <c:pt idx="187">
                  <c:v>733.74149999999997</c:v>
                </c:pt>
                <c:pt idx="188">
                  <c:v>732.46500000000003</c:v>
                </c:pt>
                <c:pt idx="189">
                  <c:v>724.452</c:v>
                </c:pt>
                <c:pt idx="190">
                  <c:v>715.84950000000003</c:v>
                </c:pt>
                <c:pt idx="191">
                  <c:v>708.19350000000009</c:v>
                </c:pt>
                <c:pt idx="192">
                  <c:v>700.2</c:v>
                </c:pt>
                <c:pt idx="193">
                  <c:v>692.80649999999991</c:v>
                </c:pt>
                <c:pt idx="194">
                  <c:v>685.64549999999997</c:v>
                </c:pt>
                <c:pt idx="195">
                  <c:v>677.74950000000001</c:v>
                </c:pt>
                <c:pt idx="196">
                  <c:v>671.274</c:v>
                </c:pt>
                <c:pt idx="197">
                  <c:v>664.65000000000009</c:v>
                </c:pt>
                <c:pt idx="198">
                  <c:v>659.12850000000003</c:v>
                </c:pt>
                <c:pt idx="199">
                  <c:v>653.66100000000006</c:v>
                </c:pt>
                <c:pt idx="200">
                  <c:v>647.57100000000003</c:v>
                </c:pt>
                <c:pt idx="201">
                  <c:v>642.87149999999997</c:v>
                </c:pt>
                <c:pt idx="202">
                  <c:v>637.45049999999992</c:v>
                </c:pt>
                <c:pt idx="203">
                  <c:v>632.322</c:v>
                </c:pt>
                <c:pt idx="204">
                  <c:v>627.34950000000003</c:v>
                </c:pt>
                <c:pt idx="205">
                  <c:v>623.08050000000003</c:v>
                </c:pt>
                <c:pt idx="206">
                  <c:v>618.774</c:v>
                </c:pt>
                <c:pt idx="207">
                  <c:v>614.25</c:v>
                </c:pt>
                <c:pt idx="208">
                  <c:v>610.20899999999995</c:v>
                </c:pt>
                <c:pt idx="209">
                  <c:v>605.89949999999999</c:v>
                </c:pt>
                <c:pt idx="210">
                  <c:v>601.88699999999994</c:v>
                </c:pt>
                <c:pt idx="211">
                  <c:v>598.01549999999997</c:v>
                </c:pt>
                <c:pt idx="212">
                  <c:v>593.625</c:v>
                </c:pt>
                <c:pt idx="213">
                  <c:v>590.12850000000003</c:v>
                </c:pt>
                <c:pt idx="214">
                  <c:v>586.04999999999995</c:v>
                </c:pt>
                <c:pt idx="215">
                  <c:v>582.33899999999994</c:v>
                </c:pt>
                <c:pt idx="216">
                  <c:v>578.35050000000001</c:v>
                </c:pt>
                <c:pt idx="217">
                  <c:v>574.64549999999997</c:v>
                </c:pt>
                <c:pt idx="218">
                  <c:v>571.01549999999997</c:v>
                </c:pt>
                <c:pt idx="219">
                  <c:v>567.04950000000008</c:v>
                </c:pt>
                <c:pt idx="220">
                  <c:v>563.61300000000006</c:v>
                </c:pt>
                <c:pt idx="221">
                  <c:v>559.84950000000003</c:v>
                </c:pt>
                <c:pt idx="222">
                  <c:v>556.30649999999991</c:v>
                </c:pt>
                <c:pt idx="223">
                  <c:v>552.96749999999997</c:v>
                </c:pt>
                <c:pt idx="224">
                  <c:v>549.1065000000001</c:v>
                </c:pt>
                <c:pt idx="225">
                  <c:v>546.048</c:v>
                </c:pt>
                <c:pt idx="226">
                  <c:v>542.50049999999999</c:v>
                </c:pt>
                <c:pt idx="227">
                  <c:v>539.226</c:v>
                </c:pt>
                <c:pt idx="228">
                  <c:v>535.75049999999999</c:v>
                </c:pt>
                <c:pt idx="229">
                  <c:v>532.452</c:v>
                </c:pt>
                <c:pt idx="230">
                  <c:v>529.25850000000003</c:v>
                </c:pt>
                <c:pt idx="231">
                  <c:v>525.85050000000001</c:v>
                </c:pt>
                <c:pt idx="232">
                  <c:v>522.726</c:v>
                </c:pt>
                <c:pt idx="233">
                  <c:v>519.49950000000001</c:v>
                </c:pt>
                <c:pt idx="234">
                  <c:v>516.33899999999994</c:v>
                </c:pt>
                <c:pt idx="235">
                  <c:v>513.29100000000005</c:v>
                </c:pt>
                <c:pt idx="236">
                  <c:v>510</c:v>
                </c:pt>
                <c:pt idx="237">
                  <c:v>507.29100000000005</c:v>
                </c:pt>
                <c:pt idx="238">
                  <c:v>504.45000000000005</c:v>
                </c:pt>
                <c:pt idx="239">
                  <c:v>501.822</c:v>
                </c:pt>
                <c:pt idx="240">
                  <c:v>499.04999999999995</c:v>
                </c:pt>
                <c:pt idx="241">
                  <c:v>496.5</c:v>
                </c:pt>
                <c:pt idx="242">
                  <c:v>493.93500000000006</c:v>
                </c:pt>
                <c:pt idx="243">
                  <c:v>491.14949999999999</c:v>
                </c:pt>
                <c:pt idx="244">
                  <c:v>488.70899999999995</c:v>
                </c:pt>
                <c:pt idx="245">
                  <c:v>486.10050000000001</c:v>
                </c:pt>
                <c:pt idx="246">
                  <c:v>483.58050000000003</c:v>
                </c:pt>
                <c:pt idx="247">
                  <c:v>481.30649999999997</c:v>
                </c:pt>
                <c:pt idx="248">
                  <c:v>478.5</c:v>
                </c:pt>
                <c:pt idx="249">
                  <c:v>476.37150000000003</c:v>
                </c:pt>
                <c:pt idx="250">
                  <c:v>473.84999999999997</c:v>
                </c:pt>
                <c:pt idx="251">
                  <c:v>471.53250000000003</c:v>
                </c:pt>
                <c:pt idx="252">
                  <c:v>469.04999999999995</c:v>
                </c:pt>
                <c:pt idx="253">
                  <c:v>466.74149999999997</c:v>
                </c:pt>
                <c:pt idx="254">
                  <c:v>464.51550000000003</c:v>
                </c:pt>
                <c:pt idx="255">
                  <c:v>462.04950000000002</c:v>
                </c:pt>
                <c:pt idx="256">
                  <c:v>459.87150000000003</c:v>
                </c:pt>
                <c:pt idx="257">
                  <c:v>457.39949999999999</c:v>
                </c:pt>
                <c:pt idx="258">
                  <c:v>455.03250000000003</c:v>
                </c:pt>
                <c:pt idx="259">
                  <c:v>452.90250000000003</c:v>
                </c:pt>
                <c:pt idx="260">
                  <c:v>450.375</c:v>
                </c:pt>
                <c:pt idx="261">
                  <c:v>448.5</c:v>
                </c:pt>
                <c:pt idx="262">
                  <c:v>446.25</c:v>
                </c:pt>
                <c:pt idx="263">
                  <c:v>444.09749999999997</c:v>
                </c:pt>
                <c:pt idx="264">
                  <c:v>441.94949999999994</c:v>
                </c:pt>
                <c:pt idx="265">
                  <c:v>439.98449999999997</c:v>
                </c:pt>
                <c:pt idx="266">
                  <c:v>437.952</c:v>
                </c:pt>
                <c:pt idx="267">
                  <c:v>435.90000000000003</c:v>
                </c:pt>
                <c:pt idx="268">
                  <c:v>434.03250000000003</c:v>
                </c:pt>
                <c:pt idx="269">
                  <c:v>431.89949999999999</c:v>
                </c:pt>
                <c:pt idx="270">
                  <c:v>430.01550000000003</c:v>
                </c:pt>
                <c:pt idx="271">
                  <c:v>428.226</c:v>
                </c:pt>
                <c:pt idx="272">
                  <c:v>426.05399999999997</c:v>
                </c:pt>
                <c:pt idx="273">
                  <c:v>424.35450000000003</c:v>
                </c:pt>
                <c:pt idx="274">
                  <c:v>422.40000000000003</c:v>
                </c:pt>
                <c:pt idx="275">
                  <c:v>420.58050000000003</c:v>
                </c:pt>
                <c:pt idx="276">
                  <c:v>418.60050000000001</c:v>
                </c:pt>
                <c:pt idx="277">
                  <c:v>416.80649999999997</c:v>
                </c:pt>
                <c:pt idx="278">
                  <c:v>414.91949999999997</c:v>
                </c:pt>
                <c:pt idx="279">
                  <c:v>412.95000000000005</c:v>
                </c:pt>
                <c:pt idx="280">
                  <c:v>411.58050000000003</c:v>
                </c:pt>
                <c:pt idx="281">
                  <c:v>409.79999999999995</c:v>
                </c:pt>
                <c:pt idx="282">
                  <c:v>407.46749999999997</c:v>
                </c:pt>
                <c:pt idx="283">
                  <c:v>405.726</c:v>
                </c:pt>
                <c:pt idx="284">
                  <c:v>403.75800000000004</c:v>
                </c:pt>
                <c:pt idx="285">
                  <c:v>402.14549999999997</c:v>
                </c:pt>
                <c:pt idx="286">
                  <c:v>400.34999999999997</c:v>
                </c:pt>
                <c:pt idx="287">
                  <c:v>398.70899999999995</c:v>
                </c:pt>
                <c:pt idx="288">
                  <c:v>396.90000000000003</c:v>
                </c:pt>
                <c:pt idx="289">
                  <c:v>488.661</c:v>
                </c:pt>
                <c:pt idx="290">
                  <c:v>490.74149999999997</c:v>
                </c:pt>
                <c:pt idx="291">
                  <c:v>486.90000000000003</c:v>
                </c:pt>
                <c:pt idx="292">
                  <c:v>482.178</c:v>
                </c:pt>
                <c:pt idx="293">
                  <c:v>478.5</c:v>
                </c:pt>
                <c:pt idx="294">
                  <c:v>475.64549999999997</c:v>
                </c:pt>
                <c:pt idx="295">
                  <c:v>473.08050000000003</c:v>
                </c:pt>
                <c:pt idx="296">
                  <c:v>470.19600000000003</c:v>
                </c:pt>
                <c:pt idx="297">
                  <c:v>467.952</c:v>
                </c:pt>
                <c:pt idx="298">
                  <c:v>465.49950000000001</c:v>
                </c:pt>
                <c:pt idx="299">
                  <c:v>463.11300000000006</c:v>
                </c:pt>
                <c:pt idx="300">
                  <c:v>460.65000000000003</c:v>
                </c:pt>
                <c:pt idx="301">
                  <c:v>458.41949999999997</c:v>
                </c:pt>
                <c:pt idx="302">
                  <c:v>456.14549999999997</c:v>
                </c:pt>
                <c:pt idx="303">
                  <c:v>453.79950000000002</c:v>
                </c:pt>
                <c:pt idx="304">
                  <c:v>521.46749999999997</c:v>
                </c:pt>
                <c:pt idx="305">
                  <c:v>526.5</c:v>
                </c:pt>
                <c:pt idx="306">
                  <c:v>524.46749999999997</c:v>
                </c:pt>
                <c:pt idx="307">
                  <c:v>522.62850000000003</c:v>
                </c:pt>
                <c:pt idx="308">
                  <c:v>521.19600000000003</c:v>
                </c:pt>
                <c:pt idx="309">
                  <c:v>520.20899999999995</c:v>
                </c:pt>
                <c:pt idx="310">
                  <c:v>519</c:v>
                </c:pt>
                <c:pt idx="311">
                  <c:v>518.03250000000003</c:v>
                </c:pt>
                <c:pt idx="312">
                  <c:v>516.85050000000001</c:v>
                </c:pt>
                <c:pt idx="313">
                  <c:v>515.80649999999991</c:v>
                </c:pt>
                <c:pt idx="314">
                  <c:v>514.64549999999997</c:v>
                </c:pt>
                <c:pt idx="315">
                  <c:v>513.40049999999997</c:v>
                </c:pt>
                <c:pt idx="316">
                  <c:v>512.274</c:v>
                </c:pt>
                <c:pt idx="317">
                  <c:v>511.04999999999995</c:v>
                </c:pt>
                <c:pt idx="318">
                  <c:v>509.85450000000003</c:v>
                </c:pt>
                <c:pt idx="319">
                  <c:v>508.74149999999997</c:v>
                </c:pt>
                <c:pt idx="320">
                  <c:v>507.375</c:v>
                </c:pt>
                <c:pt idx="321">
                  <c:v>506.322</c:v>
                </c:pt>
                <c:pt idx="322">
                  <c:v>505.09950000000003</c:v>
                </c:pt>
                <c:pt idx="323">
                  <c:v>504.62849999999997</c:v>
                </c:pt>
                <c:pt idx="324">
                  <c:v>504.59999999999997</c:v>
                </c:pt>
                <c:pt idx="325">
                  <c:v>504.339</c:v>
                </c:pt>
                <c:pt idx="326">
                  <c:v>503.80649999999997</c:v>
                </c:pt>
                <c:pt idx="327">
                  <c:v>503.35050000000001</c:v>
                </c:pt>
                <c:pt idx="328">
                  <c:v>502.69350000000003</c:v>
                </c:pt>
                <c:pt idx="329">
                  <c:v>501.90000000000003</c:v>
                </c:pt>
                <c:pt idx="330">
                  <c:v>501.14549999999997</c:v>
                </c:pt>
                <c:pt idx="331">
                  <c:v>500.274</c:v>
                </c:pt>
                <c:pt idx="332">
                  <c:v>499.24199999999996</c:v>
                </c:pt>
                <c:pt idx="333">
                  <c:v>498.38699999999994</c:v>
                </c:pt>
                <c:pt idx="334">
                  <c:v>497.29950000000002</c:v>
                </c:pt>
                <c:pt idx="335">
                  <c:v>496.35450000000003</c:v>
                </c:pt>
                <c:pt idx="336">
                  <c:v>495.25049999999999</c:v>
                </c:pt>
                <c:pt idx="337">
                  <c:v>494.178</c:v>
                </c:pt>
                <c:pt idx="338">
                  <c:v>493.161</c:v>
                </c:pt>
                <c:pt idx="339">
                  <c:v>492.04950000000002</c:v>
                </c:pt>
                <c:pt idx="340">
                  <c:v>491.03250000000003</c:v>
                </c:pt>
                <c:pt idx="341">
                  <c:v>490.00049999999999</c:v>
                </c:pt>
                <c:pt idx="342">
                  <c:v>488.952</c:v>
                </c:pt>
                <c:pt idx="343">
                  <c:v>487.98449999999997</c:v>
                </c:pt>
                <c:pt idx="344">
                  <c:v>486.85650000000004</c:v>
                </c:pt>
                <c:pt idx="345">
                  <c:v>486</c:v>
                </c:pt>
                <c:pt idx="346">
                  <c:v>484.90049999999997</c:v>
                </c:pt>
                <c:pt idx="347">
                  <c:v>484.01550000000003</c:v>
                </c:pt>
                <c:pt idx="348">
                  <c:v>482.95049999999998</c:v>
                </c:pt>
                <c:pt idx="349">
                  <c:v>481.98449999999997</c:v>
                </c:pt>
                <c:pt idx="350">
                  <c:v>481.11300000000006</c:v>
                </c:pt>
                <c:pt idx="351">
                  <c:v>480</c:v>
                </c:pt>
                <c:pt idx="352">
                  <c:v>479.12849999999997</c:v>
                </c:pt>
                <c:pt idx="353">
                  <c:v>478.20000000000005</c:v>
                </c:pt>
                <c:pt idx="354">
                  <c:v>477.19350000000003</c:v>
                </c:pt>
                <c:pt idx="355">
                  <c:v>476.322</c:v>
                </c:pt>
                <c:pt idx="356">
                  <c:v>475.33949999999993</c:v>
                </c:pt>
                <c:pt idx="357">
                  <c:v>474.48449999999997</c:v>
                </c:pt>
                <c:pt idx="358">
                  <c:v>473.54999999999995</c:v>
                </c:pt>
                <c:pt idx="359">
                  <c:v>472.69350000000003</c:v>
                </c:pt>
                <c:pt idx="360">
                  <c:v>471.70049999999998</c:v>
                </c:pt>
                <c:pt idx="361">
                  <c:v>470.80649999999997</c:v>
                </c:pt>
                <c:pt idx="362">
                  <c:v>469.93500000000006</c:v>
                </c:pt>
                <c:pt idx="363">
                  <c:v>468.94949999999994</c:v>
                </c:pt>
                <c:pt idx="364">
                  <c:v>468.09749999999997</c:v>
                </c:pt>
                <c:pt idx="365">
                  <c:v>467.14949999999999</c:v>
                </c:pt>
                <c:pt idx="366">
                  <c:v>466.25850000000003</c:v>
                </c:pt>
                <c:pt idx="367">
                  <c:v>465.43500000000006</c:v>
                </c:pt>
                <c:pt idx="368">
                  <c:v>464.35650000000004</c:v>
                </c:pt>
                <c:pt idx="369">
                  <c:v>463.64549999999997</c:v>
                </c:pt>
                <c:pt idx="370">
                  <c:v>462.64949999999999</c:v>
                </c:pt>
                <c:pt idx="371">
                  <c:v>461.75850000000003</c:v>
                </c:pt>
                <c:pt idx="372">
                  <c:v>460.84950000000003</c:v>
                </c:pt>
                <c:pt idx="373">
                  <c:v>459.96749999999997</c:v>
                </c:pt>
                <c:pt idx="374">
                  <c:v>459.09749999999997</c:v>
                </c:pt>
                <c:pt idx="375">
                  <c:v>458.20049999999998</c:v>
                </c:pt>
                <c:pt idx="376">
                  <c:v>457.25850000000003</c:v>
                </c:pt>
                <c:pt idx="377">
                  <c:v>456.40049999999997</c:v>
                </c:pt>
                <c:pt idx="378">
                  <c:v>455.51550000000003</c:v>
                </c:pt>
                <c:pt idx="379">
                  <c:v>454.64549999999997</c:v>
                </c:pt>
                <c:pt idx="380">
                  <c:v>453.72450000000003</c:v>
                </c:pt>
                <c:pt idx="381">
                  <c:v>452.80649999999997</c:v>
                </c:pt>
                <c:pt idx="382">
                  <c:v>451.95000000000005</c:v>
                </c:pt>
                <c:pt idx="383">
                  <c:v>451.11300000000006</c:v>
                </c:pt>
                <c:pt idx="384">
                  <c:v>450.10050000000001</c:v>
                </c:pt>
                <c:pt idx="385">
                  <c:v>449.322</c:v>
                </c:pt>
                <c:pt idx="386">
                  <c:v>448.59749999999997</c:v>
                </c:pt>
                <c:pt idx="387">
                  <c:v>447.85050000000001</c:v>
                </c:pt>
                <c:pt idx="388">
                  <c:v>447.29100000000005</c:v>
                </c:pt>
                <c:pt idx="389">
                  <c:v>446.44949999999994</c:v>
                </c:pt>
                <c:pt idx="390">
                  <c:v>445.839</c:v>
                </c:pt>
                <c:pt idx="391">
                  <c:v>445.25850000000003</c:v>
                </c:pt>
                <c:pt idx="392">
                  <c:v>444.375</c:v>
                </c:pt>
                <c:pt idx="393">
                  <c:v>443.70899999999995</c:v>
                </c:pt>
                <c:pt idx="394">
                  <c:v>442.79999999999995</c:v>
                </c:pt>
                <c:pt idx="395">
                  <c:v>441.91949999999997</c:v>
                </c:pt>
                <c:pt idx="396">
                  <c:v>441</c:v>
                </c:pt>
                <c:pt idx="397">
                  <c:v>440.08050000000003</c:v>
                </c:pt>
                <c:pt idx="398">
                  <c:v>439.161</c:v>
                </c:pt>
                <c:pt idx="399">
                  <c:v>438.10050000000001</c:v>
                </c:pt>
                <c:pt idx="400">
                  <c:v>437.226</c:v>
                </c:pt>
                <c:pt idx="401">
                  <c:v>436.5</c:v>
                </c:pt>
                <c:pt idx="402">
                  <c:v>435.726</c:v>
                </c:pt>
                <c:pt idx="403">
                  <c:v>434.952</c:v>
                </c:pt>
                <c:pt idx="404">
                  <c:v>434.03550000000007</c:v>
                </c:pt>
                <c:pt idx="405">
                  <c:v>433.25850000000003</c:v>
                </c:pt>
                <c:pt idx="406">
                  <c:v>432.34950000000003</c:v>
                </c:pt>
                <c:pt idx="407">
                  <c:v>431.46749999999997</c:v>
                </c:pt>
                <c:pt idx="408">
                  <c:v>430.5</c:v>
                </c:pt>
                <c:pt idx="409">
                  <c:v>429.53250000000003</c:v>
                </c:pt>
                <c:pt idx="410">
                  <c:v>428.61300000000006</c:v>
                </c:pt>
                <c:pt idx="411">
                  <c:v>427.5</c:v>
                </c:pt>
                <c:pt idx="412">
                  <c:v>426.53250000000003</c:v>
                </c:pt>
                <c:pt idx="413">
                  <c:v>425.50049999999999</c:v>
                </c:pt>
                <c:pt idx="414">
                  <c:v>424.5</c:v>
                </c:pt>
                <c:pt idx="415">
                  <c:v>423.62849999999997</c:v>
                </c:pt>
                <c:pt idx="416">
                  <c:v>422.625</c:v>
                </c:pt>
                <c:pt idx="417">
                  <c:v>421.74149999999997</c:v>
                </c:pt>
                <c:pt idx="418">
                  <c:v>418.79999999999995</c:v>
                </c:pt>
                <c:pt idx="419">
                  <c:v>415.64549999999997</c:v>
                </c:pt>
                <c:pt idx="420">
                  <c:v>412.39949999999999</c:v>
                </c:pt>
                <c:pt idx="421">
                  <c:v>409.25850000000003</c:v>
                </c:pt>
                <c:pt idx="422">
                  <c:v>406.35450000000003</c:v>
                </c:pt>
                <c:pt idx="423">
                  <c:v>403.15049999999997</c:v>
                </c:pt>
                <c:pt idx="424">
                  <c:v>400.35450000000003</c:v>
                </c:pt>
                <c:pt idx="425">
                  <c:v>397.20000000000005</c:v>
                </c:pt>
                <c:pt idx="426">
                  <c:v>394.30649999999997</c:v>
                </c:pt>
                <c:pt idx="427">
                  <c:v>391.452</c:v>
                </c:pt>
                <c:pt idx="428">
                  <c:v>388.13850000000002</c:v>
                </c:pt>
                <c:pt idx="429">
                  <c:v>386.178</c:v>
                </c:pt>
                <c:pt idx="430">
                  <c:v>382.84950000000003</c:v>
                </c:pt>
                <c:pt idx="431">
                  <c:v>380.178</c:v>
                </c:pt>
                <c:pt idx="432">
                  <c:v>377.4495</c:v>
                </c:pt>
                <c:pt idx="433">
                  <c:v>374.75850000000003</c:v>
                </c:pt>
                <c:pt idx="434">
                  <c:v>372.14550000000003</c:v>
                </c:pt>
                <c:pt idx="435">
                  <c:v>369.34950000000003</c:v>
                </c:pt>
                <c:pt idx="436">
                  <c:v>366.774</c:v>
                </c:pt>
                <c:pt idx="437">
                  <c:v>363.9495</c:v>
                </c:pt>
                <c:pt idx="438">
                  <c:v>360.339</c:v>
                </c:pt>
                <c:pt idx="439">
                  <c:v>357.91949999999997</c:v>
                </c:pt>
                <c:pt idx="440">
                  <c:v>355.82100000000003</c:v>
                </c:pt>
                <c:pt idx="441">
                  <c:v>354.339</c:v>
                </c:pt>
                <c:pt idx="442">
                  <c:v>352.65</c:v>
                </c:pt>
                <c:pt idx="443">
                  <c:v>351.24149999999997</c:v>
                </c:pt>
                <c:pt idx="444">
                  <c:v>349.84950000000003</c:v>
                </c:pt>
                <c:pt idx="445">
                  <c:v>348.53249999999997</c:v>
                </c:pt>
                <c:pt idx="446">
                  <c:v>347.226</c:v>
                </c:pt>
                <c:pt idx="447">
                  <c:v>345.9</c:v>
                </c:pt>
                <c:pt idx="448">
                  <c:v>344.709</c:v>
                </c:pt>
                <c:pt idx="449">
                  <c:v>343.3005</c:v>
                </c:pt>
                <c:pt idx="450">
                  <c:v>342</c:v>
                </c:pt>
                <c:pt idx="451">
                  <c:v>389.178</c:v>
                </c:pt>
                <c:pt idx="452">
                  <c:v>391.92899999999997</c:v>
                </c:pt>
                <c:pt idx="453">
                  <c:v>390.19350000000003</c:v>
                </c:pt>
                <c:pt idx="454">
                  <c:v>388.24950000000001</c:v>
                </c:pt>
                <c:pt idx="455">
                  <c:v>386.70899999999995</c:v>
                </c:pt>
                <c:pt idx="456">
                  <c:v>385.09950000000003</c:v>
                </c:pt>
                <c:pt idx="457">
                  <c:v>383.661</c:v>
                </c:pt>
                <c:pt idx="458">
                  <c:v>382.25850000000003</c:v>
                </c:pt>
                <c:pt idx="459">
                  <c:v>380.85</c:v>
                </c:pt>
                <c:pt idx="460">
                  <c:v>379.59749999999997</c:v>
                </c:pt>
                <c:pt idx="461">
                  <c:v>378.1995</c:v>
                </c:pt>
                <c:pt idx="462">
                  <c:v>376.887</c:v>
                </c:pt>
                <c:pt idx="463">
                  <c:v>375.678</c:v>
                </c:pt>
                <c:pt idx="464">
                  <c:v>374.25</c:v>
                </c:pt>
                <c:pt idx="465">
                  <c:v>373.161</c:v>
                </c:pt>
                <c:pt idx="466">
                  <c:v>371.74950000000001</c:v>
                </c:pt>
                <c:pt idx="467">
                  <c:v>370.548</c:v>
                </c:pt>
                <c:pt idx="468">
                  <c:v>369.29999999999995</c:v>
                </c:pt>
                <c:pt idx="469">
                  <c:v>367.98450000000003</c:v>
                </c:pt>
                <c:pt idx="470">
                  <c:v>366.822</c:v>
                </c:pt>
                <c:pt idx="471">
                  <c:v>365.59950000000003</c:v>
                </c:pt>
                <c:pt idx="472">
                  <c:v>364.40250000000003</c:v>
                </c:pt>
                <c:pt idx="473">
                  <c:v>363.1995</c:v>
                </c:pt>
                <c:pt idx="474">
                  <c:v>361.98450000000003</c:v>
                </c:pt>
                <c:pt idx="475">
                  <c:v>360.91949999999997</c:v>
                </c:pt>
                <c:pt idx="476">
                  <c:v>359.79300000000001</c:v>
                </c:pt>
                <c:pt idx="477">
                  <c:v>358.69349999999997</c:v>
                </c:pt>
                <c:pt idx="478">
                  <c:v>357.6</c:v>
                </c:pt>
                <c:pt idx="479">
                  <c:v>356.613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ED5-4B7A-A185-BA3C3DDB3E54}"/>
            </c:ext>
          </c:extLst>
        </c:ser>
        <c:ser>
          <c:idx val="20"/>
          <c:order val="20"/>
          <c:tx>
            <c:strRef>
              <c:f>'FPSO1 Base'!$W$2</c:f>
              <c:strCache>
                <c:ptCount val="1"/>
                <c:pt idx="0">
                  <c:v>P21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Base'!$W$3:$W$730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252.56849999999997</c:v>
                </c:pt>
                <c:pt idx="55">
                  <c:v>636.60450000000003</c:v>
                </c:pt>
                <c:pt idx="56">
                  <c:v>639.72300000000007</c:v>
                </c:pt>
                <c:pt idx="57">
                  <c:v>631.947</c:v>
                </c:pt>
                <c:pt idx="58">
                  <c:v>626.77500000000009</c:v>
                </c:pt>
                <c:pt idx="59">
                  <c:v>624.06000000000006</c:v>
                </c:pt>
                <c:pt idx="60">
                  <c:v>622.07549999999992</c:v>
                </c:pt>
                <c:pt idx="61">
                  <c:v>620.73450000000003</c:v>
                </c:pt>
                <c:pt idx="62">
                  <c:v>619.66949999999997</c:v>
                </c:pt>
                <c:pt idx="63">
                  <c:v>618.73800000000006</c:v>
                </c:pt>
                <c:pt idx="64">
                  <c:v>617.976</c:v>
                </c:pt>
                <c:pt idx="65">
                  <c:v>617.27549999999997</c:v>
                </c:pt>
                <c:pt idx="66">
                  <c:v>617.202</c:v>
                </c:pt>
                <c:pt idx="67">
                  <c:v>616.68149999999991</c:v>
                </c:pt>
                <c:pt idx="68">
                  <c:v>615.87</c:v>
                </c:pt>
                <c:pt idx="69">
                  <c:v>615.13350000000003</c:v>
                </c:pt>
                <c:pt idx="70">
                  <c:v>614.12549999999999</c:v>
                </c:pt>
                <c:pt idx="71">
                  <c:v>613.13699999999994</c:v>
                </c:pt>
                <c:pt idx="72">
                  <c:v>611.87549999999999</c:v>
                </c:pt>
                <c:pt idx="73">
                  <c:v>610.548</c:v>
                </c:pt>
                <c:pt idx="74">
                  <c:v>609.12149999999997</c:v>
                </c:pt>
                <c:pt idx="75">
                  <c:v>607.48800000000006</c:v>
                </c:pt>
                <c:pt idx="76">
                  <c:v>604.803</c:v>
                </c:pt>
                <c:pt idx="77">
                  <c:v>581.52449999999999</c:v>
                </c:pt>
                <c:pt idx="78">
                  <c:v>572.85450000000003</c:v>
                </c:pt>
                <c:pt idx="79">
                  <c:v>568.25850000000003</c:v>
                </c:pt>
                <c:pt idx="80">
                  <c:v>564.05399999999997</c:v>
                </c:pt>
                <c:pt idx="81">
                  <c:v>560.96399999999994</c:v>
                </c:pt>
                <c:pt idx="82">
                  <c:v>557.41200000000003</c:v>
                </c:pt>
                <c:pt idx="83">
                  <c:v>554.14049999999997</c:v>
                </c:pt>
                <c:pt idx="84">
                  <c:v>550.57500000000005</c:v>
                </c:pt>
                <c:pt idx="85">
                  <c:v>547.125</c:v>
                </c:pt>
                <c:pt idx="86">
                  <c:v>543.64049999999997</c:v>
                </c:pt>
                <c:pt idx="87">
                  <c:v>539.93700000000001</c:v>
                </c:pt>
                <c:pt idx="88">
                  <c:v>536.49149999999997</c:v>
                </c:pt>
                <c:pt idx="89">
                  <c:v>532.71299999999997</c:v>
                </c:pt>
                <c:pt idx="90">
                  <c:v>526.70550000000003</c:v>
                </c:pt>
                <c:pt idx="91">
                  <c:v>522.99149999999997</c:v>
                </c:pt>
                <c:pt idx="92">
                  <c:v>519.15449999999998</c:v>
                </c:pt>
                <c:pt idx="93">
                  <c:v>515.85450000000003</c:v>
                </c:pt>
                <c:pt idx="94">
                  <c:v>512.16300000000001</c:v>
                </c:pt>
                <c:pt idx="95">
                  <c:v>508.79100000000005</c:v>
                </c:pt>
                <c:pt idx="96">
                  <c:v>505.16249999999997</c:v>
                </c:pt>
                <c:pt idx="97">
                  <c:v>501.73800000000006</c:v>
                </c:pt>
                <c:pt idx="98">
                  <c:v>498.351</c:v>
                </c:pt>
                <c:pt idx="99">
                  <c:v>494.80050000000006</c:v>
                </c:pt>
                <c:pt idx="100">
                  <c:v>491.63699999999994</c:v>
                </c:pt>
                <c:pt idx="101">
                  <c:v>488.16300000000001</c:v>
                </c:pt>
                <c:pt idx="102">
                  <c:v>480.47249999999997</c:v>
                </c:pt>
                <c:pt idx="103">
                  <c:v>477.036</c:v>
                </c:pt>
                <c:pt idx="104">
                  <c:v>473.54400000000004</c:v>
                </c:pt>
                <c:pt idx="105">
                  <c:v>470.75850000000003</c:v>
                </c:pt>
                <c:pt idx="106">
                  <c:v>467.52449999999999</c:v>
                </c:pt>
                <c:pt idx="107">
                  <c:v>464.589</c:v>
                </c:pt>
                <c:pt idx="108">
                  <c:v>461.41200000000003</c:v>
                </c:pt>
                <c:pt idx="109">
                  <c:v>458.46749999999997</c:v>
                </c:pt>
                <c:pt idx="110">
                  <c:v>455.553</c:v>
                </c:pt>
                <c:pt idx="111">
                  <c:v>452.51250000000005</c:v>
                </c:pt>
                <c:pt idx="112">
                  <c:v>449.72249999999997</c:v>
                </c:pt>
                <c:pt idx="113">
                  <c:v>446.73749999999995</c:v>
                </c:pt>
                <c:pt idx="114">
                  <c:v>443.91600000000005</c:v>
                </c:pt>
                <c:pt idx="115">
                  <c:v>441.29100000000005</c:v>
                </c:pt>
                <c:pt idx="116">
                  <c:v>438.14700000000005</c:v>
                </c:pt>
                <c:pt idx="117">
                  <c:v>435.58050000000003</c:v>
                </c:pt>
                <c:pt idx="118">
                  <c:v>432.67499999999995</c:v>
                </c:pt>
                <c:pt idx="119">
                  <c:v>430.06499999999994</c:v>
                </c:pt>
                <c:pt idx="120">
                  <c:v>427.27500000000003</c:v>
                </c:pt>
                <c:pt idx="121">
                  <c:v>424.72950000000003</c:v>
                </c:pt>
                <c:pt idx="122">
                  <c:v>422.214</c:v>
                </c:pt>
                <c:pt idx="123">
                  <c:v>419.56200000000001</c:v>
                </c:pt>
                <c:pt idx="124">
                  <c:v>417.21749999999997</c:v>
                </c:pt>
                <c:pt idx="125">
                  <c:v>414.71250000000003</c:v>
                </c:pt>
                <c:pt idx="126">
                  <c:v>412.40250000000003</c:v>
                </c:pt>
                <c:pt idx="127">
                  <c:v>410.25</c:v>
                </c:pt>
                <c:pt idx="128">
                  <c:v>407.77200000000005</c:v>
                </c:pt>
                <c:pt idx="129">
                  <c:v>405.798</c:v>
                </c:pt>
                <c:pt idx="130">
                  <c:v>403.36200000000002</c:v>
                </c:pt>
                <c:pt idx="131">
                  <c:v>401.08050000000003</c:v>
                </c:pt>
                <c:pt idx="132">
                  <c:v>398.73749999999995</c:v>
                </c:pt>
                <c:pt idx="133">
                  <c:v>396.58050000000003</c:v>
                </c:pt>
                <c:pt idx="134">
                  <c:v>394.428</c:v>
                </c:pt>
                <c:pt idx="135">
                  <c:v>392.21250000000003</c:v>
                </c:pt>
                <c:pt idx="136">
                  <c:v>390.19350000000003</c:v>
                </c:pt>
                <c:pt idx="137">
                  <c:v>388.03800000000001</c:v>
                </c:pt>
                <c:pt idx="138">
                  <c:v>385.98449999999997</c:v>
                </c:pt>
                <c:pt idx="139">
                  <c:v>384.036</c:v>
                </c:pt>
                <c:pt idx="140">
                  <c:v>381.87900000000002</c:v>
                </c:pt>
                <c:pt idx="141">
                  <c:v>380.04449999999997</c:v>
                </c:pt>
                <c:pt idx="142">
                  <c:v>378.012</c:v>
                </c:pt>
                <c:pt idx="143">
                  <c:v>376.185</c:v>
                </c:pt>
                <c:pt idx="144">
                  <c:v>374.18700000000001</c:v>
                </c:pt>
                <c:pt idx="145">
                  <c:v>372.387</c:v>
                </c:pt>
                <c:pt idx="146">
                  <c:v>370.584</c:v>
                </c:pt>
                <c:pt idx="147">
                  <c:v>368.67449999999997</c:v>
                </c:pt>
                <c:pt idx="148">
                  <c:v>366.99149999999997</c:v>
                </c:pt>
                <c:pt idx="149">
                  <c:v>365.14949999999999</c:v>
                </c:pt>
                <c:pt idx="150">
                  <c:v>360.423</c:v>
                </c:pt>
                <c:pt idx="151">
                  <c:v>358.536</c:v>
                </c:pt>
                <c:pt idx="152">
                  <c:v>356.70600000000002</c:v>
                </c:pt>
                <c:pt idx="153">
                  <c:v>355.24649999999997</c:v>
                </c:pt>
                <c:pt idx="154">
                  <c:v>353.54999999999995</c:v>
                </c:pt>
                <c:pt idx="155">
                  <c:v>352.041</c:v>
                </c:pt>
                <c:pt idx="156">
                  <c:v>350.41200000000003</c:v>
                </c:pt>
                <c:pt idx="157">
                  <c:v>348.88350000000003</c:v>
                </c:pt>
                <c:pt idx="158">
                  <c:v>347.35950000000003</c:v>
                </c:pt>
                <c:pt idx="159">
                  <c:v>345.77549999999997</c:v>
                </c:pt>
                <c:pt idx="160">
                  <c:v>344.31</c:v>
                </c:pt>
                <c:pt idx="161">
                  <c:v>343.09950000000003</c:v>
                </c:pt>
                <c:pt idx="162">
                  <c:v>341.31</c:v>
                </c:pt>
                <c:pt idx="163">
                  <c:v>339.90749999999997</c:v>
                </c:pt>
                <c:pt idx="164">
                  <c:v>338.33100000000002</c:v>
                </c:pt>
                <c:pt idx="165">
                  <c:v>337.077</c:v>
                </c:pt>
                <c:pt idx="166">
                  <c:v>335.637</c:v>
                </c:pt>
                <c:pt idx="167">
                  <c:v>334.34250000000003</c:v>
                </c:pt>
                <c:pt idx="168">
                  <c:v>332.92499999999995</c:v>
                </c:pt>
                <c:pt idx="169">
                  <c:v>331.63350000000003</c:v>
                </c:pt>
                <c:pt idx="170">
                  <c:v>330.351</c:v>
                </c:pt>
                <c:pt idx="171">
                  <c:v>329.02499999999998</c:v>
                </c:pt>
                <c:pt idx="172">
                  <c:v>327.786</c:v>
                </c:pt>
                <c:pt idx="173">
                  <c:v>326.4255</c:v>
                </c:pt>
                <c:pt idx="174">
                  <c:v>324.88350000000003</c:v>
                </c:pt>
                <c:pt idx="175">
                  <c:v>323.46750000000003</c:v>
                </c:pt>
                <c:pt idx="176">
                  <c:v>321.96449999999999</c:v>
                </c:pt>
                <c:pt idx="177">
                  <c:v>320.84250000000003</c:v>
                </c:pt>
                <c:pt idx="178">
                  <c:v>319.52549999999997</c:v>
                </c:pt>
                <c:pt idx="179">
                  <c:v>318.399</c:v>
                </c:pt>
                <c:pt idx="180">
                  <c:v>317.14949999999999</c:v>
                </c:pt>
                <c:pt idx="181">
                  <c:v>316.01549999999997</c:v>
                </c:pt>
                <c:pt idx="182">
                  <c:v>314.87850000000003</c:v>
                </c:pt>
                <c:pt idx="183">
                  <c:v>313.6875</c:v>
                </c:pt>
                <c:pt idx="184">
                  <c:v>312.61649999999997</c:v>
                </c:pt>
                <c:pt idx="185">
                  <c:v>311.46299999999997</c:v>
                </c:pt>
                <c:pt idx="186">
                  <c:v>300.69</c:v>
                </c:pt>
                <c:pt idx="187">
                  <c:v>298.65749999999997</c:v>
                </c:pt>
                <c:pt idx="188">
                  <c:v>297.45299999999997</c:v>
                </c:pt>
                <c:pt idx="189">
                  <c:v>296.43150000000003</c:v>
                </c:pt>
                <c:pt idx="190">
                  <c:v>295.33799999999997</c:v>
                </c:pt>
                <c:pt idx="191">
                  <c:v>294.399</c:v>
                </c:pt>
                <c:pt idx="192">
                  <c:v>293.39999999999998</c:v>
                </c:pt>
                <c:pt idx="193">
                  <c:v>292.488</c:v>
                </c:pt>
                <c:pt idx="194">
                  <c:v>291.58050000000003</c:v>
                </c:pt>
                <c:pt idx="195">
                  <c:v>290.65049999999997</c:v>
                </c:pt>
                <c:pt idx="196">
                  <c:v>289.815</c:v>
                </c:pt>
                <c:pt idx="197">
                  <c:v>288.89999999999998</c:v>
                </c:pt>
                <c:pt idx="198">
                  <c:v>288.072</c:v>
                </c:pt>
                <c:pt idx="199">
                  <c:v>287.286</c:v>
                </c:pt>
                <c:pt idx="200">
                  <c:v>286.35299999999995</c:v>
                </c:pt>
                <c:pt idx="201">
                  <c:v>285.62850000000003</c:v>
                </c:pt>
                <c:pt idx="202">
                  <c:v>284.77499999999998</c:v>
                </c:pt>
                <c:pt idx="203">
                  <c:v>284.02050000000003</c:v>
                </c:pt>
                <c:pt idx="204">
                  <c:v>283.18799999999999</c:v>
                </c:pt>
                <c:pt idx="205">
                  <c:v>282.423</c:v>
                </c:pt>
                <c:pt idx="206">
                  <c:v>281.673</c:v>
                </c:pt>
                <c:pt idx="207">
                  <c:v>280.875</c:v>
                </c:pt>
                <c:pt idx="208">
                  <c:v>280.173</c:v>
                </c:pt>
                <c:pt idx="209">
                  <c:v>279.42449999999997</c:v>
                </c:pt>
                <c:pt idx="210">
                  <c:v>278.72249999999997</c:v>
                </c:pt>
                <c:pt idx="211">
                  <c:v>278.04449999999997</c:v>
                </c:pt>
                <c:pt idx="212">
                  <c:v>277.28550000000001</c:v>
                </c:pt>
                <c:pt idx="213">
                  <c:v>276.65250000000003</c:v>
                </c:pt>
                <c:pt idx="214">
                  <c:v>275.93700000000001</c:v>
                </c:pt>
                <c:pt idx="215">
                  <c:v>275.298</c:v>
                </c:pt>
                <c:pt idx="216">
                  <c:v>274.60050000000001</c:v>
                </c:pt>
                <c:pt idx="217">
                  <c:v>273.94349999999997</c:v>
                </c:pt>
                <c:pt idx="218">
                  <c:v>273.303</c:v>
                </c:pt>
                <c:pt idx="219">
                  <c:v>272.625</c:v>
                </c:pt>
                <c:pt idx="220">
                  <c:v>272.03249999999997</c:v>
                </c:pt>
                <c:pt idx="221">
                  <c:v>271.37549999999999</c:v>
                </c:pt>
                <c:pt idx="222">
                  <c:v>270.762</c:v>
                </c:pt>
                <c:pt idx="223">
                  <c:v>270.21750000000003</c:v>
                </c:pt>
                <c:pt idx="224">
                  <c:v>269.54399999999998</c:v>
                </c:pt>
                <c:pt idx="225">
                  <c:v>269.02050000000003</c:v>
                </c:pt>
                <c:pt idx="226">
                  <c:v>268.43700000000001</c:v>
                </c:pt>
                <c:pt idx="227">
                  <c:v>267.89550000000003</c:v>
                </c:pt>
                <c:pt idx="228">
                  <c:v>267.27449999999999</c:v>
                </c:pt>
                <c:pt idx="229">
                  <c:v>266.73450000000003</c:v>
                </c:pt>
                <c:pt idx="230">
                  <c:v>266.166</c:v>
                </c:pt>
                <c:pt idx="231">
                  <c:v>265.56299999999999</c:v>
                </c:pt>
                <c:pt idx="232">
                  <c:v>265.053</c:v>
                </c:pt>
                <c:pt idx="233">
                  <c:v>264.47550000000001</c:v>
                </c:pt>
                <c:pt idx="234">
                  <c:v>263.988</c:v>
                </c:pt>
                <c:pt idx="235">
                  <c:v>263.47949999999997</c:v>
                </c:pt>
                <c:pt idx="236">
                  <c:v>262.93950000000001</c:v>
                </c:pt>
                <c:pt idx="237">
                  <c:v>262.476</c:v>
                </c:pt>
                <c:pt idx="238">
                  <c:v>261.97500000000002</c:v>
                </c:pt>
                <c:pt idx="239">
                  <c:v>261.49649999999997</c:v>
                </c:pt>
                <c:pt idx="240">
                  <c:v>260.988</c:v>
                </c:pt>
                <c:pt idx="241">
                  <c:v>260.541</c:v>
                </c:pt>
                <c:pt idx="242">
                  <c:v>260.06849999999997</c:v>
                </c:pt>
                <c:pt idx="243">
                  <c:v>259.60050000000001</c:v>
                </c:pt>
                <c:pt idx="244">
                  <c:v>259.161</c:v>
                </c:pt>
                <c:pt idx="245">
                  <c:v>258.71249999999998</c:v>
                </c:pt>
                <c:pt idx="246">
                  <c:v>258.25350000000003</c:v>
                </c:pt>
                <c:pt idx="247">
                  <c:v>257.86649999999997</c:v>
                </c:pt>
                <c:pt idx="248">
                  <c:v>257.39700000000005</c:v>
                </c:pt>
                <c:pt idx="249">
                  <c:v>257.00850000000003</c:v>
                </c:pt>
                <c:pt idx="250">
                  <c:v>256.58699999999999</c:v>
                </c:pt>
                <c:pt idx="251">
                  <c:v>256.173</c:v>
                </c:pt>
                <c:pt idx="252">
                  <c:v>255.75</c:v>
                </c:pt>
                <c:pt idx="253">
                  <c:v>255.363</c:v>
                </c:pt>
                <c:pt idx="254">
                  <c:v>254.976</c:v>
                </c:pt>
                <c:pt idx="255">
                  <c:v>254.56200000000001</c:v>
                </c:pt>
                <c:pt idx="256">
                  <c:v>254.178</c:v>
                </c:pt>
                <c:pt idx="257">
                  <c:v>253.56299999999999</c:v>
                </c:pt>
                <c:pt idx="258">
                  <c:v>253.053</c:v>
                </c:pt>
                <c:pt idx="259">
                  <c:v>252.6525</c:v>
                </c:pt>
                <c:pt idx="260">
                  <c:v>252.1875</c:v>
                </c:pt>
                <c:pt idx="261">
                  <c:v>251.84250000000003</c:v>
                </c:pt>
                <c:pt idx="262">
                  <c:v>251.46299999999999</c:v>
                </c:pt>
                <c:pt idx="263">
                  <c:v>251.09250000000003</c:v>
                </c:pt>
                <c:pt idx="264">
                  <c:v>250.71299999999999</c:v>
                </c:pt>
                <c:pt idx="265">
                  <c:v>250.3665</c:v>
                </c:pt>
                <c:pt idx="266">
                  <c:v>250.041</c:v>
                </c:pt>
                <c:pt idx="267">
                  <c:v>249.66300000000001</c:v>
                </c:pt>
                <c:pt idx="268">
                  <c:v>249.339</c:v>
                </c:pt>
                <c:pt idx="269">
                  <c:v>249</c:v>
                </c:pt>
                <c:pt idx="270">
                  <c:v>248.673</c:v>
                </c:pt>
                <c:pt idx="271">
                  <c:v>248.3475</c:v>
                </c:pt>
                <c:pt idx="272">
                  <c:v>247.98149999999998</c:v>
                </c:pt>
                <c:pt idx="273">
                  <c:v>247.69349999999997</c:v>
                </c:pt>
                <c:pt idx="274">
                  <c:v>247.3005</c:v>
                </c:pt>
                <c:pt idx="275">
                  <c:v>246.9915</c:v>
                </c:pt>
                <c:pt idx="276">
                  <c:v>246.64949999999999</c:v>
                </c:pt>
                <c:pt idx="277">
                  <c:v>246.26549999999997</c:v>
                </c:pt>
                <c:pt idx="278">
                  <c:v>245.928</c:v>
                </c:pt>
                <c:pt idx="279">
                  <c:v>245.57550000000003</c:v>
                </c:pt>
                <c:pt idx="280">
                  <c:v>245.274</c:v>
                </c:pt>
                <c:pt idx="281">
                  <c:v>244.875</c:v>
                </c:pt>
                <c:pt idx="282">
                  <c:v>244.4025</c:v>
                </c:pt>
                <c:pt idx="283">
                  <c:v>244.01549999999997</c:v>
                </c:pt>
                <c:pt idx="284">
                  <c:v>243.62099999999998</c:v>
                </c:pt>
                <c:pt idx="285">
                  <c:v>243.2415</c:v>
                </c:pt>
                <c:pt idx="286">
                  <c:v>242.89949999999999</c:v>
                </c:pt>
                <c:pt idx="287">
                  <c:v>242.541</c:v>
                </c:pt>
                <c:pt idx="288">
                  <c:v>242.17499999999998</c:v>
                </c:pt>
                <c:pt idx="289">
                  <c:v>241.76549999999997</c:v>
                </c:pt>
                <c:pt idx="290">
                  <c:v>241.3305</c:v>
                </c:pt>
                <c:pt idx="291">
                  <c:v>240.89999999999998</c:v>
                </c:pt>
                <c:pt idx="292">
                  <c:v>240.5085</c:v>
                </c:pt>
                <c:pt idx="293">
                  <c:v>240.10050000000001</c:v>
                </c:pt>
                <c:pt idx="294">
                  <c:v>239.661</c:v>
                </c:pt>
                <c:pt idx="295">
                  <c:v>239.322</c:v>
                </c:pt>
                <c:pt idx="296">
                  <c:v>238.84800000000001</c:v>
                </c:pt>
                <c:pt idx="297">
                  <c:v>238.476</c:v>
                </c:pt>
                <c:pt idx="298">
                  <c:v>238.07550000000003</c:v>
                </c:pt>
                <c:pt idx="299">
                  <c:v>237.62850000000003</c:v>
                </c:pt>
                <c:pt idx="300">
                  <c:v>237.25049999999999</c:v>
                </c:pt>
                <c:pt idx="301">
                  <c:v>236.80650000000003</c:v>
                </c:pt>
                <c:pt idx="302">
                  <c:v>236.4195</c:v>
                </c:pt>
                <c:pt idx="303">
                  <c:v>235.97550000000001</c:v>
                </c:pt>
                <c:pt idx="304">
                  <c:v>235.5975</c:v>
                </c:pt>
                <c:pt idx="305">
                  <c:v>235.125</c:v>
                </c:pt>
                <c:pt idx="306">
                  <c:v>234.5085</c:v>
                </c:pt>
                <c:pt idx="307">
                  <c:v>233.80650000000003</c:v>
                </c:pt>
                <c:pt idx="308">
                  <c:v>233.16899999999998</c:v>
                </c:pt>
                <c:pt idx="309">
                  <c:v>232.71750000000003</c:v>
                </c:pt>
                <c:pt idx="310">
                  <c:v>232.15049999999999</c:v>
                </c:pt>
                <c:pt idx="311">
                  <c:v>231.60449999999997</c:v>
                </c:pt>
                <c:pt idx="312">
                  <c:v>231.12450000000001</c:v>
                </c:pt>
                <c:pt idx="313">
                  <c:v>230.613</c:v>
                </c:pt>
                <c:pt idx="314">
                  <c:v>230.12850000000003</c:v>
                </c:pt>
                <c:pt idx="315">
                  <c:v>229.64999999999998</c:v>
                </c:pt>
                <c:pt idx="316">
                  <c:v>229.209</c:v>
                </c:pt>
                <c:pt idx="317">
                  <c:v>228.72450000000001</c:v>
                </c:pt>
                <c:pt idx="318">
                  <c:v>228.291</c:v>
                </c:pt>
                <c:pt idx="319">
                  <c:v>227.87850000000003</c:v>
                </c:pt>
                <c:pt idx="320">
                  <c:v>227.3835</c:v>
                </c:pt>
                <c:pt idx="321">
                  <c:v>226.98450000000003</c:v>
                </c:pt>
                <c:pt idx="322">
                  <c:v>226.52549999999999</c:v>
                </c:pt>
                <c:pt idx="323">
                  <c:v>226.01549999999997</c:v>
                </c:pt>
                <c:pt idx="324">
                  <c:v>225.64949999999999</c:v>
                </c:pt>
                <c:pt idx="325">
                  <c:v>225.1695</c:v>
                </c:pt>
                <c:pt idx="326">
                  <c:v>224.7585</c:v>
                </c:pt>
                <c:pt idx="327">
                  <c:v>224.37450000000001</c:v>
                </c:pt>
                <c:pt idx="328">
                  <c:v>224.05650000000003</c:v>
                </c:pt>
                <c:pt idx="329">
                  <c:v>223.64999999999998</c:v>
                </c:pt>
                <c:pt idx="330">
                  <c:v>223.3305</c:v>
                </c:pt>
                <c:pt idx="331">
                  <c:v>223.01549999999997</c:v>
                </c:pt>
                <c:pt idx="332">
                  <c:v>222.62099999999998</c:v>
                </c:pt>
                <c:pt idx="333">
                  <c:v>222.363</c:v>
                </c:pt>
                <c:pt idx="334">
                  <c:v>221.97450000000001</c:v>
                </c:pt>
                <c:pt idx="335">
                  <c:v>221.685</c:v>
                </c:pt>
                <c:pt idx="336">
                  <c:v>221.32500000000002</c:v>
                </c:pt>
                <c:pt idx="337">
                  <c:v>221.0085</c:v>
                </c:pt>
                <c:pt idx="338">
                  <c:v>220.69349999999997</c:v>
                </c:pt>
                <c:pt idx="339">
                  <c:v>220.3245</c:v>
                </c:pt>
                <c:pt idx="340">
                  <c:v>219.96750000000003</c:v>
                </c:pt>
                <c:pt idx="341">
                  <c:v>219.67499999999998</c:v>
                </c:pt>
                <c:pt idx="342">
                  <c:v>219.339</c:v>
                </c:pt>
                <c:pt idx="343">
                  <c:v>219</c:v>
                </c:pt>
                <c:pt idx="344">
                  <c:v>218.625</c:v>
                </c:pt>
                <c:pt idx="345">
                  <c:v>218.322</c:v>
                </c:pt>
                <c:pt idx="346">
                  <c:v>217.97550000000001</c:v>
                </c:pt>
                <c:pt idx="347">
                  <c:v>217.64550000000003</c:v>
                </c:pt>
                <c:pt idx="348">
                  <c:v>217.3005</c:v>
                </c:pt>
                <c:pt idx="349">
                  <c:v>216.9195</c:v>
                </c:pt>
                <c:pt idx="350">
                  <c:v>216.62850000000003</c:v>
                </c:pt>
                <c:pt idx="351">
                  <c:v>216.25049999999999</c:v>
                </c:pt>
                <c:pt idx="352">
                  <c:v>215.928</c:v>
                </c:pt>
                <c:pt idx="353">
                  <c:v>215.57550000000003</c:v>
                </c:pt>
                <c:pt idx="354">
                  <c:v>215.226</c:v>
                </c:pt>
                <c:pt idx="355">
                  <c:v>214.911</c:v>
                </c:pt>
                <c:pt idx="356">
                  <c:v>214.554</c:v>
                </c:pt>
                <c:pt idx="357">
                  <c:v>214.23450000000003</c:v>
                </c:pt>
                <c:pt idx="358">
                  <c:v>213.87450000000001</c:v>
                </c:pt>
                <c:pt idx="359">
                  <c:v>213.55650000000003</c:v>
                </c:pt>
                <c:pt idx="360">
                  <c:v>213.1995</c:v>
                </c:pt>
                <c:pt idx="361">
                  <c:v>212.87850000000003</c:v>
                </c:pt>
                <c:pt idx="362">
                  <c:v>212.51549999999997</c:v>
                </c:pt>
                <c:pt idx="363">
                  <c:v>212.20050000000003</c:v>
                </c:pt>
                <c:pt idx="364">
                  <c:v>211.887</c:v>
                </c:pt>
                <c:pt idx="365">
                  <c:v>211.52549999999999</c:v>
                </c:pt>
                <c:pt idx="366">
                  <c:v>211.209</c:v>
                </c:pt>
                <c:pt idx="367">
                  <c:v>210.89550000000003</c:v>
                </c:pt>
                <c:pt idx="368">
                  <c:v>210.53550000000001</c:v>
                </c:pt>
                <c:pt idx="369">
                  <c:v>210.21750000000003</c:v>
                </c:pt>
                <c:pt idx="370">
                  <c:v>209.89949999999999</c:v>
                </c:pt>
                <c:pt idx="371">
                  <c:v>209.565</c:v>
                </c:pt>
                <c:pt idx="372">
                  <c:v>209.20050000000003</c:v>
                </c:pt>
                <c:pt idx="373">
                  <c:v>208.887</c:v>
                </c:pt>
                <c:pt idx="374">
                  <c:v>208.548</c:v>
                </c:pt>
                <c:pt idx="375">
                  <c:v>208.17449999999997</c:v>
                </c:pt>
                <c:pt idx="376">
                  <c:v>207.87149999999997</c:v>
                </c:pt>
                <c:pt idx="377">
                  <c:v>207.49950000000001</c:v>
                </c:pt>
                <c:pt idx="378">
                  <c:v>207.1695</c:v>
                </c:pt>
                <c:pt idx="379">
                  <c:v>206.8305</c:v>
                </c:pt>
                <c:pt idx="380">
                  <c:v>206.48250000000002</c:v>
                </c:pt>
                <c:pt idx="381">
                  <c:v>206.1525</c:v>
                </c:pt>
                <c:pt idx="382">
                  <c:v>205.79999999999998</c:v>
                </c:pt>
                <c:pt idx="383">
                  <c:v>205.476</c:v>
                </c:pt>
                <c:pt idx="384">
                  <c:v>205.125</c:v>
                </c:pt>
                <c:pt idx="385">
                  <c:v>204.6525</c:v>
                </c:pt>
                <c:pt idx="386">
                  <c:v>204.2415</c:v>
                </c:pt>
                <c:pt idx="387">
                  <c:v>203.67449999999997</c:v>
                </c:pt>
                <c:pt idx="388">
                  <c:v>203.25</c:v>
                </c:pt>
                <c:pt idx="389">
                  <c:v>202.77449999999999</c:v>
                </c:pt>
                <c:pt idx="390">
                  <c:v>202.30650000000003</c:v>
                </c:pt>
                <c:pt idx="391">
                  <c:v>201.89550000000003</c:v>
                </c:pt>
                <c:pt idx="392">
                  <c:v>201.429</c:v>
                </c:pt>
                <c:pt idx="393">
                  <c:v>201.0975</c:v>
                </c:pt>
                <c:pt idx="394">
                  <c:v>200.65049999999999</c:v>
                </c:pt>
                <c:pt idx="395">
                  <c:v>200.274</c:v>
                </c:pt>
                <c:pt idx="396">
                  <c:v>199.875</c:v>
                </c:pt>
                <c:pt idx="397">
                  <c:v>199.476</c:v>
                </c:pt>
                <c:pt idx="398">
                  <c:v>199.137</c:v>
                </c:pt>
                <c:pt idx="399">
                  <c:v>198.72450000000001</c:v>
                </c:pt>
                <c:pt idx="400">
                  <c:v>198.12149999999997</c:v>
                </c:pt>
                <c:pt idx="401">
                  <c:v>197.4495</c:v>
                </c:pt>
                <c:pt idx="402">
                  <c:v>196.911</c:v>
                </c:pt>
                <c:pt idx="403">
                  <c:v>196.37850000000003</c:v>
                </c:pt>
                <c:pt idx="404">
                  <c:v>195.85649999999998</c:v>
                </c:pt>
                <c:pt idx="405">
                  <c:v>195.411</c:v>
                </c:pt>
                <c:pt idx="406">
                  <c:v>194.89949999999999</c:v>
                </c:pt>
                <c:pt idx="407">
                  <c:v>194.4915</c:v>
                </c:pt>
                <c:pt idx="408">
                  <c:v>194.02499999999998</c:v>
                </c:pt>
                <c:pt idx="409">
                  <c:v>193.572</c:v>
                </c:pt>
                <c:pt idx="410">
                  <c:v>193.089</c:v>
                </c:pt>
                <c:pt idx="411">
                  <c:v>192.62549999999999</c:v>
                </c:pt>
                <c:pt idx="412">
                  <c:v>192.1695</c:v>
                </c:pt>
                <c:pt idx="413">
                  <c:v>191.65049999999999</c:v>
                </c:pt>
                <c:pt idx="414">
                  <c:v>191.1525</c:v>
                </c:pt>
                <c:pt idx="415">
                  <c:v>190.572</c:v>
                </c:pt>
                <c:pt idx="416">
                  <c:v>189.96449999999999</c:v>
                </c:pt>
                <c:pt idx="417">
                  <c:v>189.4845</c:v>
                </c:pt>
                <c:pt idx="418">
                  <c:v>188.89950000000002</c:v>
                </c:pt>
                <c:pt idx="419">
                  <c:v>188.4435</c:v>
                </c:pt>
                <c:pt idx="420">
                  <c:v>187.875</c:v>
                </c:pt>
                <c:pt idx="421">
                  <c:v>187.4025</c:v>
                </c:pt>
                <c:pt idx="422">
                  <c:v>186.9195</c:v>
                </c:pt>
                <c:pt idx="423">
                  <c:v>186.40049999999999</c:v>
                </c:pt>
                <c:pt idx="424">
                  <c:v>185.976</c:v>
                </c:pt>
                <c:pt idx="425">
                  <c:v>185.47500000000002</c:v>
                </c:pt>
                <c:pt idx="426">
                  <c:v>185.0325</c:v>
                </c:pt>
                <c:pt idx="427">
                  <c:v>184.548</c:v>
                </c:pt>
                <c:pt idx="428">
                  <c:v>183.95699999999999</c:v>
                </c:pt>
                <c:pt idx="429">
                  <c:v>183.6045</c:v>
                </c:pt>
                <c:pt idx="430">
                  <c:v>182.95050000000001</c:v>
                </c:pt>
                <c:pt idx="431">
                  <c:v>182.4915</c:v>
                </c:pt>
                <c:pt idx="432">
                  <c:v>181.95</c:v>
                </c:pt>
                <c:pt idx="433">
                  <c:v>181.476</c:v>
                </c:pt>
                <c:pt idx="434">
                  <c:v>181.0155</c:v>
                </c:pt>
                <c:pt idx="435">
                  <c:v>180.52499999999998</c:v>
                </c:pt>
                <c:pt idx="436">
                  <c:v>180.048</c:v>
                </c:pt>
                <c:pt idx="437">
                  <c:v>179.52450000000002</c:v>
                </c:pt>
                <c:pt idx="438">
                  <c:v>178.887</c:v>
                </c:pt>
                <c:pt idx="439">
                  <c:v>178.209</c:v>
                </c:pt>
                <c:pt idx="440">
                  <c:v>177.48149999999998</c:v>
                </c:pt>
                <c:pt idx="441">
                  <c:v>176.952</c:v>
                </c:pt>
                <c:pt idx="442">
                  <c:v>176.39999999999998</c:v>
                </c:pt>
                <c:pt idx="443">
                  <c:v>175.863</c:v>
                </c:pt>
                <c:pt idx="444">
                  <c:v>175.3245</c:v>
                </c:pt>
                <c:pt idx="445">
                  <c:v>174.8715</c:v>
                </c:pt>
                <c:pt idx="446">
                  <c:v>174.363</c:v>
                </c:pt>
                <c:pt idx="447">
                  <c:v>173.87549999999999</c:v>
                </c:pt>
                <c:pt idx="448">
                  <c:v>173.4195</c:v>
                </c:pt>
                <c:pt idx="449">
                  <c:v>172.92449999999999</c:v>
                </c:pt>
                <c:pt idx="450">
                  <c:v>172.452</c:v>
                </c:pt>
                <c:pt idx="451">
                  <c:v>172.0155</c:v>
                </c:pt>
                <c:pt idx="452">
                  <c:v>171.48149999999998</c:v>
                </c:pt>
                <c:pt idx="453">
                  <c:v>171.072</c:v>
                </c:pt>
                <c:pt idx="454">
                  <c:v>170.59950000000001</c:v>
                </c:pt>
                <c:pt idx="455">
                  <c:v>170.1285</c:v>
                </c:pt>
                <c:pt idx="456">
                  <c:v>169.64999999999998</c:v>
                </c:pt>
                <c:pt idx="457">
                  <c:v>169.137</c:v>
                </c:pt>
                <c:pt idx="458">
                  <c:v>168.6525</c:v>
                </c:pt>
                <c:pt idx="459">
                  <c:v>168.14999999999998</c:v>
                </c:pt>
                <c:pt idx="460">
                  <c:v>167.661</c:v>
                </c:pt>
                <c:pt idx="461">
                  <c:v>167.14950000000002</c:v>
                </c:pt>
                <c:pt idx="462">
                  <c:v>166.6695</c:v>
                </c:pt>
                <c:pt idx="463">
                  <c:v>166.209</c:v>
                </c:pt>
                <c:pt idx="464">
                  <c:v>165.696</c:v>
                </c:pt>
                <c:pt idx="465">
                  <c:v>165.2415</c:v>
                </c:pt>
                <c:pt idx="466">
                  <c:v>164.8005</c:v>
                </c:pt>
                <c:pt idx="467">
                  <c:v>164.3475</c:v>
                </c:pt>
                <c:pt idx="468">
                  <c:v>163.84950000000001</c:v>
                </c:pt>
                <c:pt idx="469">
                  <c:v>163.4025</c:v>
                </c:pt>
                <c:pt idx="470">
                  <c:v>162.9675</c:v>
                </c:pt>
                <c:pt idx="471">
                  <c:v>162.47549999999998</c:v>
                </c:pt>
                <c:pt idx="472">
                  <c:v>162.0975</c:v>
                </c:pt>
                <c:pt idx="473">
                  <c:v>161.59950000000001</c:v>
                </c:pt>
                <c:pt idx="474">
                  <c:v>161.1525</c:v>
                </c:pt>
                <c:pt idx="475">
                  <c:v>160.7655</c:v>
                </c:pt>
                <c:pt idx="476">
                  <c:v>160.24200000000002</c:v>
                </c:pt>
                <c:pt idx="477">
                  <c:v>159.8475</c:v>
                </c:pt>
                <c:pt idx="478">
                  <c:v>159.375</c:v>
                </c:pt>
                <c:pt idx="479">
                  <c:v>158.9025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ED5-4B7A-A185-BA3C3DDB3E54}"/>
            </c:ext>
          </c:extLst>
        </c:ser>
        <c:ser>
          <c:idx val="21"/>
          <c:order val="21"/>
          <c:tx>
            <c:strRef>
              <c:f>'FPSO1 Base'!$X$2</c:f>
              <c:strCache>
                <c:ptCount val="1"/>
                <c:pt idx="0">
                  <c:v>P22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Base'!$X$3:$X$730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1318.3664999999999</c:v>
                </c:pt>
                <c:pt idx="55">
                  <c:v>1894.335</c:v>
                </c:pt>
                <c:pt idx="56">
                  <c:v>1891.8150000000001</c:v>
                </c:pt>
                <c:pt idx="57">
                  <c:v>1877.2649999999999</c:v>
                </c:pt>
                <c:pt idx="58">
                  <c:v>1863.105</c:v>
                </c:pt>
                <c:pt idx="59">
                  <c:v>1850.835</c:v>
                </c:pt>
                <c:pt idx="60">
                  <c:v>1837.4549999999999</c:v>
                </c:pt>
                <c:pt idx="61">
                  <c:v>1825.095</c:v>
                </c:pt>
                <c:pt idx="62">
                  <c:v>1813.41</c:v>
                </c:pt>
                <c:pt idx="63">
                  <c:v>1802.1150000000002</c:v>
                </c:pt>
                <c:pt idx="64">
                  <c:v>1792.83</c:v>
                </c:pt>
                <c:pt idx="65">
                  <c:v>1783.1849999999999</c:v>
                </c:pt>
                <c:pt idx="66">
                  <c:v>1776.2550000000001</c:v>
                </c:pt>
                <c:pt idx="67">
                  <c:v>1769.22</c:v>
                </c:pt>
                <c:pt idx="68">
                  <c:v>1761.165</c:v>
                </c:pt>
                <c:pt idx="69">
                  <c:v>1755.0450000000001</c:v>
                </c:pt>
                <c:pt idx="70">
                  <c:v>1748.2049999999999</c:v>
                </c:pt>
                <c:pt idx="71">
                  <c:v>1741.98</c:v>
                </c:pt>
                <c:pt idx="72">
                  <c:v>1735.4250000000002</c:v>
                </c:pt>
                <c:pt idx="73">
                  <c:v>1729.56</c:v>
                </c:pt>
                <c:pt idx="74">
                  <c:v>1723.9499999999998</c:v>
                </c:pt>
                <c:pt idx="75">
                  <c:v>1718.28</c:v>
                </c:pt>
                <c:pt idx="76">
                  <c:v>1669.2599999999998</c:v>
                </c:pt>
                <c:pt idx="77">
                  <c:v>1496.8874999999998</c:v>
                </c:pt>
                <c:pt idx="78">
                  <c:v>1495.5975000000001</c:v>
                </c:pt>
                <c:pt idx="79">
                  <c:v>1491.2175</c:v>
                </c:pt>
                <c:pt idx="80">
                  <c:v>1485.6569999999999</c:v>
                </c:pt>
                <c:pt idx="81">
                  <c:v>1481.8544999999999</c:v>
                </c:pt>
                <c:pt idx="82">
                  <c:v>1477.7505000000001</c:v>
                </c:pt>
                <c:pt idx="83">
                  <c:v>1474.3064999999999</c:v>
                </c:pt>
                <c:pt idx="84">
                  <c:v>1470.7755000000002</c:v>
                </c:pt>
                <c:pt idx="85">
                  <c:v>1467.5805</c:v>
                </c:pt>
                <c:pt idx="86">
                  <c:v>1464.4845</c:v>
                </c:pt>
                <c:pt idx="87">
                  <c:v>1461.2249999999999</c:v>
                </c:pt>
                <c:pt idx="88">
                  <c:v>1458.2655</c:v>
                </c:pt>
                <c:pt idx="89">
                  <c:v>1454.7869999999998</c:v>
                </c:pt>
                <c:pt idx="90">
                  <c:v>1446.423</c:v>
                </c:pt>
                <c:pt idx="91">
                  <c:v>1442.5035</c:v>
                </c:pt>
                <c:pt idx="92">
                  <c:v>1438.9259999999999</c:v>
                </c:pt>
                <c:pt idx="93">
                  <c:v>1435.7535</c:v>
                </c:pt>
                <c:pt idx="94">
                  <c:v>1432.1129999999998</c:v>
                </c:pt>
                <c:pt idx="95">
                  <c:v>1428.6285</c:v>
                </c:pt>
                <c:pt idx="96">
                  <c:v>1424.7375000000002</c:v>
                </c:pt>
                <c:pt idx="97">
                  <c:v>1420.9470000000001</c:v>
                </c:pt>
                <c:pt idx="98">
                  <c:v>1417.0409999999999</c:v>
                </c:pt>
                <c:pt idx="99">
                  <c:v>1412.9250000000002</c:v>
                </c:pt>
                <c:pt idx="100">
                  <c:v>1409.0805</c:v>
                </c:pt>
                <c:pt idx="101">
                  <c:v>1404.9254999999998</c:v>
                </c:pt>
                <c:pt idx="102">
                  <c:v>1391.3835000000001</c:v>
                </c:pt>
                <c:pt idx="103">
                  <c:v>1386.81</c:v>
                </c:pt>
                <c:pt idx="104">
                  <c:v>1383.402</c:v>
                </c:pt>
                <c:pt idx="105">
                  <c:v>1380.7139999999999</c:v>
                </c:pt>
                <c:pt idx="106">
                  <c:v>1377.5880000000002</c:v>
                </c:pt>
                <c:pt idx="107">
                  <c:v>1374.7379999999998</c:v>
                </c:pt>
                <c:pt idx="108">
                  <c:v>1371.6495</c:v>
                </c:pt>
                <c:pt idx="109">
                  <c:v>1368.81</c:v>
                </c:pt>
                <c:pt idx="110">
                  <c:v>1365.9435000000001</c:v>
                </c:pt>
                <c:pt idx="111">
                  <c:v>1363.0245</c:v>
                </c:pt>
                <c:pt idx="112">
                  <c:v>1360.2585000000001</c:v>
                </c:pt>
                <c:pt idx="113">
                  <c:v>1357.3245000000002</c:v>
                </c:pt>
                <c:pt idx="114">
                  <c:v>1354.6695</c:v>
                </c:pt>
                <c:pt idx="115">
                  <c:v>1352.2739999999999</c:v>
                </c:pt>
                <c:pt idx="116">
                  <c:v>1349.598</c:v>
                </c:pt>
                <c:pt idx="117">
                  <c:v>1347.4590000000001</c:v>
                </c:pt>
                <c:pt idx="118">
                  <c:v>1345.0245</c:v>
                </c:pt>
                <c:pt idx="119">
                  <c:v>1342.7909999999999</c:v>
                </c:pt>
                <c:pt idx="120">
                  <c:v>1340.4</c:v>
                </c:pt>
                <c:pt idx="121">
                  <c:v>1338.1935000000001</c:v>
                </c:pt>
                <c:pt idx="122">
                  <c:v>1335.9914999999999</c:v>
                </c:pt>
                <c:pt idx="123">
                  <c:v>1333.6995000000002</c:v>
                </c:pt>
                <c:pt idx="124">
                  <c:v>1331.6370000000002</c:v>
                </c:pt>
                <c:pt idx="125">
                  <c:v>1329.4005000000002</c:v>
                </c:pt>
                <c:pt idx="126">
                  <c:v>1327.4024999999999</c:v>
                </c:pt>
                <c:pt idx="127">
                  <c:v>1325.5409999999999</c:v>
                </c:pt>
                <c:pt idx="128">
                  <c:v>1323.4289999999999</c:v>
                </c:pt>
                <c:pt idx="129">
                  <c:v>1321.7414999999999</c:v>
                </c:pt>
                <c:pt idx="130">
                  <c:v>1319.7494999999999</c:v>
                </c:pt>
                <c:pt idx="131">
                  <c:v>1317.8955000000001</c:v>
                </c:pt>
                <c:pt idx="132">
                  <c:v>1315.9245000000001</c:v>
                </c:pt>
                <c:pt idx="133">
                  <c:v>1314.048</c:v>
                </c:pt>
                <c:pt idx="134">
                  <c:v>1312.1370000000002</c:v>
                </c:pt>
                <c:pt idx="135">
                  <c:v>1310.1750000000002</c:v>
                </c:pt>
                <c:pt idx="136">
                  <c:v>1308.2909999999999</c:v>
                </c:pt>
                <c:pt idx="137">
                  <c:v>1306.3004999999998</c:v>
                </c:pt>
                <c:pt idx="138">
                  <c:v>1304.5409999999999</c:v>
                </c:pt>
                <c:pt idx="139">
                  <c:v>1302.7739999999999</c:v>
                </c:pt>
                <c:pt idx="140">
                  <c:v>1300.9395</c:v>
                </c:pt>
                <c:pt idx="141">
                  <c:v>1299.2909999999999</c:v>
                </c:pt>
                <c:pt idx="142">
                  <c:v>1297.3995</c:v>
                </c:pt>
                <c:pt idx="143">
                  <c:v>1295.6849999999999</c:v>
                </c:pt>
                <c:pt idx="144">
                  <c:v>1293.8249999999998</c:v>
                </c:pt>
                <c:pt idx="145">
                  <c:v>1292.0325</c:v>
                </c:pt>
                <c:pt idx="146">
                  <c:v>1290.1935000000001</c:v>
                </c:pt>
                <c:pt idx="147">
                  <c:v>1288.2494999999999</c:v>
                </c:pt>
                <c:pt idx="148">
                  <c:v>1286.4914999999999</c:v>
                </c:pt>
                <c:pt idx="149">
                  <c:v>1284.4994999999999</c:v>
                </c:pt>
                <c:pt idx="150">
                  <c:v>1274.5409999999999</c:v>
                </c:pt>
                <c:pt idx="151">
                  <c:v>1271.9024999999999</c:v>
                </c:pt>
                <c:pt idx="152">
                  <c:v>1270.3664999999999</c:v>
                </c:pt>
                <c:pt idx="153">
                  <c:v>1269.1215</c:v>
                </c:pt>
                <c:pt idx="154">
                  <c:v>1267.6244999999999</c:v>
                </c:pt>
                <c:pt idx="155">
                  <c:v>1266.1935000000001</c:v>
                </c:pt>
                <c:pt idx="156">
                  <c:v>1264.6500000000001</c:v>
                </c:pt>
                <c:pt idx="157">
                  <c:v>1263.1455000000001</c:v>
                </c:pt>
                <c:pt idx="158">
                  <c:v>1261.548</c:v>
                </c:pt>
                <c:pt idx="159">
                  <c:v>1259.8755000000001</c:v>
                </c:pt>
                <c:pt idx="160">
                  <c:v>1258.2825</c:v>
                </c:pt>
                <c:pt idx="161">
                  <c:v>1256.6999999999998</c:v>
                </c:pt>
                <c:pt idx="162">
                  <c:v>1254.9195</c:v>
                </c:pt>
                <c:pt idx="163">
                  <c:v>1253.4195</c:v>
                </c:pt>
                <c:pt idx="164">
                  <c:v>1251.6434999999999</c:v>
                </c:pt>
                <c:pt idx="165">
                  <c:v>1250.202</c:v>
                </c:pt>
                <c:pt idx="166">
                  <c:v>1248.375</c:v>
                </c:pt>
                <c:pt idx="167">
                  <c:v>1246.7175</c:v>
                </c:pt>
                <c:pt idx="168">
                  <c:v>1244.8755000000001</c:v>
                </c:pt>
                <c:pt idx="169">
                  <c:v>1243.0889999999999</c:v>
                </c:pt>
                <c:pt idx="170">
                  <c:v>1241.25</c:v>
                </c:pt>
                <c:pt idx="171">
                  <c:v>1239.2745</c:v>
                </c:pt>
                <c:pt idx="172">
                  <c:v>1237.452</c:v>
                </c:pt>
                <c:pt idx="173">
                  <c:v>1235.3505</c:v>
                </c:pt>
                <c:pt idx="174">
                  <c:v>1231.2090000000001</c:v>
                </c:pt>
                <c:pt idx="175">
                  <c:v>1227.9435000000001</c:v>
                </c:pt>
                <c:pt idx="176">
                  <c:v>1224.2684999999999</c:v>
                </c:pt>
                <c:pt idx="177">
                  <c:v>1221.4590000000001</c:v>
                </c:pt>
                <c:pt idx="178">
                  <c:v>1218.2505000000001</c:v>
                </c:pt>
                <c:pt idx="179">
                  <c:v>1215.3389999999999</c:v>
                </c:pt>
                <c:pt idx="180">
                  <c:v>1212.2249999999999</c:v>
                </c:pt>
                <c:pt idx="181">
                  <c:v>1209.2909999999999</c:v>
                </c:pt>
                <c:pt idx="182">
                  <c:v>1206.3389999999999</c:v>
                </c:pt>
                <c:pt idx="183">
                  <c:v>1203.2505000000001</c:v>
                </c:pt>
                <c:pt idx="184">
                  <c:v>1200.3870000000002</c:v>
                </c:pt>
                <c:pt idx="185">
                  <c:v>1197.3254999999999</c:v>
                </c:pt>
                <c:pt idx="186">
                  <c:v>1166.1779999999999</c:v>
                </c:pt>
                <c:pt idx="187">
                  <c:v>1160.6610000000001</c:v>
                </c:pt>
                <c:pt idx="188">
                  <c:v>1159.8885</c:v>
                </c:pt>
                <c:pt idx="189">
                  <c:v>1159.2585000000001</c:v>
                </c:pt>
                <c:pt idx="190">
                  <c:v>1158.5504999999998</c:v>
                </c:pt>
                <c:pt idx="191">
                  <c:v>1157.6849999999999</c:v>
                </c:pt>
                <c:pt idx="192">
                  <c:v>1156.5255000000002</c:v>
                </c:pt>
                <c:pt idx="193">
                  <c:v>1155.2175</c:v>
                </c:pt>
                <c:pt idx="194">
                  <c:v>1153.6215</c:v>
                </c:pt>
                <c:pt idx="195">
                  <c:v>1151.7255</c:v>
                </c:pt>
                <c:pt idx="196">
                  <c:v>1149.75</c:v>
                </c:pt>
                <c:pt idx="197">
                  <c:v>1147.3995</c:v>
                </c:pt>
                <c:pt idx="198">
                  <c:v>1144.9845</c:v>
                </c:pt>
                <c:pt idx="199">
                  <c:v>1142.5155</c:v>
                </c:pt>
                <c:pt idx="200">
                  <c:v>1139.4645</c:v>
                </c:pt>
                <c:pt idx="201">
                  <c:v>1136.9024999999999</c:v>
                </c:pt>
                <c:pt idx="202">
                  <c:v>1133.8004999999998</c:v>
                </c:pt>
                <c:pt idx="203">
                  <c:v>1130.8785</c:v>
                </c:pt>
                <c:pt idx="204">
                  <c:v>1127.6745000000001</c:v>
                </c:pt>
                <c:pt idx="205">
                  <c:v>1124.5889999999999</c:v>
                </c:pt>
                <c:pt idx="206">
                  <c:v>1121.4675</c:v>
                </c:pt>
                <c:pt idx="207">
                  <c:v>1118.2004999999999</c:v>
                </c:pt>
                <c:pt idx="208">
                  <c:v>1115.1779999999999</c:v>
                </c:pt>
                <c:pt idx="209">
                  <c:v>1111.9005000000002</c:v>
                </c:pt>
                <c:pt idx="210">
                  <c:v>1108.8389999999999</c:v>
                </c:pt>
                <c:pt idx="211">
                  <c:v>1105.9349999999999</c:v>
                </c:pt>
                <c:pt idx="212">
                  <c:v>1102.527</c:v>
                </c:pt>
                <c:pt idx="213">
                  <c:v>1099.8150000000001</c:v>
                </c:pt>
                <c:pt idx="214">
                  <c:v>1096.6005</c:v>
                </c:pt>
                <c:pt idx="215">
                  <c:v>1093.6695</c:v>
                </c:pt>
                <c:pt idx="216">
                  <c:v>1090.5255000000002</c:v>
                </c:pt>
                <c:pt idx="217">
                  <c:v>1087.4760000000001</c:v>
                </c:pt>
                <c:pt idx="218">
                  <c:v>1084.4760000000001</c:v>
                </c:pt>
                <c:pt idx="219">
                  <c:v>1081.2494999999999</c:v>
                </c:pt>
                <c:pt idx="220">
                  <c:v>1078.3064999999999</c:v>
                </c:pt>
                <c:pt idx="221">
                  <c:v>1075.0994999999998</c:v>
                </c:pt>
                <c:pt idx="222">
                  <c:v>1072.0650000000001</c:v>
                </c:pt>
                <c:pt idx="223">
                  <c:v>1069.1370000000002</c:v>
                </c:pt>
                <c:pt idx="224">
                  <c:v>1065.6164999999999</c:v>
                </c:pt>
                <c:pt idx="225">
                  <c:v>1062.7739999999999</c:v>
                </c:pt>
                <c:pt idx="226">
                  <c:v>1059.375</c:v>
                </c:pt>
                <c:pt idx="227">
                  <c:v>1056.2655</c:v>
                </c:pt>
                <c:pt idx="228">
                  <c:v>1052.8499999999999</c:v>
                </c:pt>
                <c:pt idx="229">
                  <c:v>1049.6370000000002</c:v>
                </c:pt>
                <c:pt idx="230">
                  <c:v>1046.3715</c:v>
                </c:pt>
                <c:pt idx="231">
                  <c:v>1042.9005000000002</c:v>
                </c:pt>
                <c:pt idx="232">
                  <c:v>1039.7414999999999</c:v>
                </c:pt>
                <c:pt idx="233">
                  <c:v>1036.2494999999999</c:v>
                </c:pt>
                <c:pt idx="234">
                  <c:v>1032.8955000000001</c:v>
                </c:pt>
                <c:pt idx="235">
                  <c:v>1029.6524999999999</c:v>
                </c:pt>
                <c:pt idx="236">
                  <c:v>1025.9744999999998</c:v>
                </c:pt>
                <c:pt idx="237">
                  <c:v>1022.8064999999999</c:v>
                </c:pt>
                <c:pt idx="238">
                  <c:v>1019.2244999999999</c:v>
                </c:pt>
                <c:pt idx="239">
                  <c:v>1015.9349999999999</c:v>
                </c:pt>
                <c:pt idx="240">
                  <c:v>1012.3499999999999</c:v>
                </c:pt>
                <c:pt idx="241">
                  <c:v>1008.9435000000001</c:v>
                </c:pt>
                <c:pt idx="242">
                  <c:v>1005.5085000000001</c:v>
                </c:pt>
                <c:pt idx="243">
                  <c:v>1001.9250000000001</c:v>
                </c:pt>
                <c:pt idx="244">
                  <c:v>998.61299999999994</c:v>
                </c:pt>
                <c:pt idx="245">
                  <c:v>994.9994999999999</c:v>
                </c:pt>
                <c:pt idx="246">
                  <c:v>991.572</c:v>
                </c:pt>
                <c:pt idx="247">
                  <c:v>988.35450000000003</c:v>
                </c:pt>
                <c:pt idx="248">
                  <c:v>984.5625</c:v>
                </c:pt>
                <c:pt idx="249">
                  <c:v>981.48450000000003</c:v>
                </c:pt>
                <c:pt idx="250">
                  <c:v>977.8755000000001</c:v>
                </c:pt>
                <c:pt idx="251">
                  <c:v>974.61299999999994</c:v>
                </c:pt>
                <c:pt idx="252">
                  <c:v>970.97550000000001</c:v>
                </c:pt>
                <c:pt idx="253">
                  <c:v>967.62149999999997</c:v>
                </c:pt>
                <c:pt idx="254">
                  <c:v>964.25850000000014</c:v>
                </c:pt>
                <c:pt idx="255">
                  <c:v>960.67500000000007</c:v>
                </c:pt>
                <c:pt idx="256">
                  <c:v>957.43499999999995</c:v>
                </c:pt>
                <c:pt idx="257">
                  <c:v>955.2494999999999</c:v>
                </c:pt>
                <c:pt idx="258">
                  <c:v>953.25</c:v>
                </c:pt>
                <c:pt idx="259">
                  <c:v>951.12149999999997</c:v>
                </c:pt>
                <c:pt idx="260">
                  <c:v>948.5625</c:v>
                </c:pt>
                <c:pt idx="261">
                  <c:v>946.13700000000006</c:v>
                </c:pt>
                <c:pt idx="262">
                  <c:v>943.19999999999993</c:v>
                </c:pt>
                <c:pt idx="263">
                  <c:v>940.23450000000003</c:v>
                </c:pt>
                <c:pt idx="264">
                  <c:v>936.90000000000009</c:v>
                </c:pt>
                <c:pt idx="265">
                  <c:v>933.31500000000005</c:v>
                </c:pt>
                <c:pt idx="266">
                  <c:v>929.58899999999994</c:v>
                </c:pt>
                <c:pt idx="267">
                  <c:v>925.60050000000001</c:v>
                </c:pt>
                <c:pt idx="268">
                  <c:v>921.84750000000008</c:v>
                </c:pt>
                <c:pt idx="269">
                  <c:v>917.7494999999999</c:v>
                </c:pt>
                <c:pt idx="270">
                  <c:v>913.83899999999994</c:v>
                </c:pt>
                <c:pt idx="271">
                  <c:v>910.16100000000006</c:v>
                </c:pt>
                <c:pt idx="272">
                  <c:v>905.83950000000004</c:v>
                </c:pt>
                <c:pt idx="273">
                  <c:v>902.37149999999997</c:v>
                </c:pt>
                <c:pt idx="274">
                  <c:v>898.34999999999991</c:v>
                </c:pt>
                <c:pt idx="275">
                  <c:v>894.702</c:v>
                </c:pt>
                <c:pt idx="276">
                  <c:v>890.80049999999994</c:v>
                </c:pt>
                <c:pt idx="277">
                  <c:v>887.15249999999992</c:v>
                </c:pt>
                <c:pt idx="278">
                  <c:v>883.572</c:v>
                </c:pt>
                <c:pt idx="279">
                  <c:v>879.94950000000006</c:v>
                </c:pt>
                <c:pt idx="280">
                  <c:v>877.33049999999992</c:v>
                </c:pt>
                <c:pt idx="281">
                  <c:v>874.17450000000008</c:v>
                </c:pt>
                <c:pt idx="282">
                  <c:v>870.94350000000009</c:v>
                </c:pt>
                <c:pt idx="283">
                  <c:v>868.20900000000006</c:v>
                </c:pt>
                <c:pt idx="284">
                  <c:v>865.18949999999995</c:v>
                </c:pt>
                <c:pt idx="285">
                  <c:v>862.5</c:v>
                </c:pt>
                <c:pt idx="286">
                  <c:v>859.42500000000007</c:v>
                </c:pt>
                <c:pt idx="287">
                  <c:v>856.5</c:v>
                </c:pt>
                <c:pt idx="288">
                  <c:v>853.2494999999999</c:v>
                </c:pt>
                <c:pt idx="289">
                  <c:v>848.39549999999997</c:v>
                </c:pt>
                <c:pt idx="290">
                  <c:v>844.28250000000003</c:v>
                </c:pt>
                <c:pt idx="291">
                  <c:v>840.17549999999994</c:v>
                </c:pt>
                <c:pt idx="292">
                  <c:v>836.63700000000006</c:v>
                </c:pt>
                <c:pt idx="293">
                  <c:v>832.92450000000008</c:v>
                </c:pt>
                <c:pt idx="294">
                  <c:v>829.62149999999997</c:v>
                </c:pt>
                <c:pt idx="295">
                  <c:v>826.52399999999989</c:v>
                </c:pt>
                <c:pt idx="296">
                  <c:v>823.0440000000001</c:v>
                </c:pt>
                <c:pt idx="297">
                  <c:v>820.33049999999992</c:v>
                </c:pt>
                <c:pt idx="298">
                  <c:v>817.09949999999992</c:v>
                </c:pt>
                <c:pt idx="299">
                  <c:v>814.40249999999992</c:v>
                </c:pt>
                <c:pt idx="300">
                  <c:v>811.30049999999994</c:v>
                </c:pt>
                <c:pt idx="301">
                  <c:v>808.548</c:v>
                </c:pt>
                <c:pt idx="302">
                  <c:v>805.83899999999994</c:v>
                </c:pt>
                <c:pt idx="303">
                  <c:v>802.94999999999993</c:v>
                </c:pt>
                <c:pt idx="304">
                  <c:v>799.88700000000006</c:v>
                </c:pt>
                <c:pt idx="305">
                  <c:v>797.80049999999994</c:v>
                </c:pt>
                <c:pt idx="306">
                  <c:v>796.25850000000014</c:v>
                </c:pt>
                <c:pt idx="307">
                  <c:v>795</c:v>
                </c:pt>
                <c:pt idx="308">
                  <c:v>793.55399999999986</c:v>
                </c:pt>
                <c:pt idx="309">
                  <c:v>791.952</c:v>
                </c:pt>
                <c:pt idx="310">
                  <c:v>790.09949999999992</c:v>
                </c:pt>
                <c:pt idx="311">
                  <c:v>788.03250000000003</c:v>
                </c:pt>
                <c:pt idx="312">
                  <c:v>785.65050000000008</c:v>
                </c:pt>
                <c:pt idx="313">
                  <c:v>783.19350000000009</c:v>
                </c:pt>
                <c:pt idx="314">
                  <c:v>780.62850000000003</c:v>
                </c:pt>
                <c:pt idx="315">
                  <c:v>777.70049999999992</c:v>
                </c:pt>
                <c:pt idx="316">
                  <c:v>775.01549999999997</c:v>
                </c:pt>
                <c:pt idx="317">
                  <c:v>771.94950000000006</c:v>
                </c:pt>
                <c:pt idx="318">
                  <c:v>768.96749999999997</c:v>
                </c:pt>
                <c:pt idx="319">
                  <c:v>766.16100000000006</c:v>
                </c:pt>
                <c:pt idx="320">
                  <c:v>762.8565000000001</c:v>
                </c:pt>
                <c:pt idx="321">
                  <c:v>760.20899999999995</c:v>
                </c:pt>
                <c:pt idx="322">
                  <c:v>757.05</c:v>
                </c:pt>
                <c:pt idx="323">
                  <c:v>754.452</c:v>
                </c:pt>
                <c:pt idx="324">
                  <c:v>752.35050000000001</c:v>
                </c:pt>
                <c:pt idx="325">
                  <c:v>749.952</c:v>
                </c:pt>
                <c:pt idx="326">
                  <c:v>747.822</c:v>
                </c:pt>
                <c:pt idx="327">
                  <c:v>745.5</c:v>
                </c:pt>
                <c:pt idx="328">
                  <c:v>743.226</c:v>
                </c:pt>
                <c:pt idx="329">
                  <c:v>740.7</c:v>
                </c:pt>
                <c:pt idx="330">
                  <c:v>738.14549999999997</c:v>
                </c:pt>
                <c:pt idx="331">
                  <c:v>735.58050000000003</c:v>
                </c:pt>
                <c:pt idx="332">
                  <c:v>732.62099999999998</c:v>
                </c:pt>
                <c:pt idx="333">
                  <c:v>730.06499999999994</c:v>
                </c:pt>
                <c:pt idx="334">
                  <c:v>727.09950000000003</c:v>
                </c:pt>
                <c:pt idx="335">
                  <c:v>724.40250000000003</c:v>
                </c:pt>
                <c:pt idx="336">
                  <c:v>721.45049999999992</c:v>
                </c:pt>
                <c:pt idx="337">
                  <c:v>718.69350000000009</c:v>
                </c:pt>
                <c:pt idx="338">
                  <c:v>715.88699999999994</c:v>
                </c:pt>
                <c:pt idx="339">
                  <c:v>712.95</c:v>
                </c:pt>
                <c:pt idx="340">
                  <c:v>710.37149999999997</c:v>
                </c:pt>
                <c:pt idx="341">
                  <c:v>707.44949999999994</c:v>
                </c:pt>
                <c:pt idx="342">
                  <c:v>704.90250000000003</c:v>
                </c:pt>
                <c:pt idx="343">
                  <c:v>702.38699999999994</c:v>
                </c:pt>
                <c:pt idx="344">
                  <c:v>699.4815000000001</c:v>
                </c:pt>
                <c:pt idx="345">
                  <c:v>697.20899999999995</c:v>
                </c:pt>
                <c:pt idx="346">
                  <c:v>694.5</c:v>
                </c:pt>
                <c:pt idx="347">
                  <c:v>692.12850000000003</c:v>
                </c:pt>
                <c:pt idx="348">
                  <c:v>689.44949999999994</c:v>
                </c:pt>
                <c:pt idx="349">
                  <c:v>687.09749999999997</c:v>
                </c:pt>
                <c:pt idx="350">
                  <c:v>684.62850000000003</c:v>
                </c:pt>
                <c:pt idx="351">
                  <c:v>682.09950000000003</c:v>
                </c:pt>
                <c:pt idx="352">
                  <c:v>679.79100000000005</c:v>
                </c:pt>
                <c:pt idx="353">
                  <c:v>677.35050000000001</c:v>
                </c:pt>
                <c:pt idx="354">
                  <c:v>674.952</c:v>
                </c:pt>
                <c:pt idx="355">
                  <c:v>672.822</c:v>
                </c:pt>
                <c:pt idx="356">
                  <c:v>670.2315000000001</c:v>
                </c:pt>
                <c:pt idx="357">
                  <c:v>668.12850000000003</c:v>
                </c:pt>
                <c:pt idx="358">
                  <c:v>665.84999999999991</c:v>
                </c:pt>
                <c:pt idx="359">
                  <c:v>663.58050000000003</c:v>
                </c:pt>
                <c:pt idx="360">
                  <c:v>661.2</c:v>
                </c:pt>
                <c:pt idx="361">
                  <c:v>658.93500000000006</c:v>
                </c:pt>
                <c:pt idx="362">
                  <c:v>656.75850000000003</c:v>
                </c:pt>
                <c:pt idx="363">
                  <c:v>654.34950000000003</c:v>
                </c:pt>
                <c:pt idx="364">
                  <c:v>652.20899999999995</c:v>
                </c:pt>
                <c:pt idx="365">
                  <c:v>649.90049999999997</c:v>
                </c:pt>
                <c:pt idx="366">
                  <c:v>647.66100000000006</c:v>
                </c:pt>
                <c:pt idx="367">
                  <c:v>645.678</c:v>
                </c:pt>
                <c:pt idx="368">
                  <c:v>643.2315000000001</c:v>
                </c:pt>
                <c:pt idx="369">
                  <c:v>641.178</c:v>
                </c:pt>
                <c:pt idx="370">
                  <c:v>639</c:v>
                </c:pt>
                <c:pt idx="371">
                  <c:v>636.87149999999997</c:v>
                </c:pt>
                <c:pt idx="372">
                  <c:v>634.60050000000001</c:v>
                </c:pt>
                <c:pt idx="373">
                  <c:v>632.46749999999997</c:v>
                </c:pt>
                <c:pt idx="374">
                  <c:v>630.38699999999994</c:v>
                </c:pt>
                <c:pt idx="375">
                  <c:v>628.09950000000003</c:v>
                </c:pt>
                <c:pt idx="376">
                  <c:v>626.08050000000003</c:v>
                </c:pt>
                <c:pt idx="377">
                  <c:v>623.80050000000006</c:v>
                </c:pt>
                <c:pt idx="378">
                  <c:v>621.774</c:v>
                </c:pt>
                <c:pt idx="379">
                  <c:v>619.83899999999994</c:v>
                </c:pt>
                <c:pt idx="380">
                  <c:v>617.68949999999995</c:v>
                </c:pt>
                <c:pt idx="381">
                  <c:v>615.774</c:v>
                </c:pt>
                <c:pt idx="382">
                  <c:v>613.69949999999994</c:v>
                </c:pt>
                <c:pt idx="383">
                  <c:v>611.80649999999991</c:v>
                </c:pt>
                <c:pt idx="384">
                  <c:v>609.75</c:v>
                </c:pt>
                <c:pt idx="385">
                  <c:v>608.322</c:v>
                </c:pt>
                <c:pt idx="386">
                  <c:v>607.20899999999995</c:v>
                </c:pt>
                <c:pt idx="387">
                  <c:v>606.10050000000001</c:v>
                </c:pt>
                <c:pt idx="388">
                  <c:v>604.98450000000003</c:v>
                </c:pt>
                <c:pt idx="389">
                  <c:v>603.55050000000006</c:v>
                </c:pt>
                <c:pt idx="390">
                  <c:v>602.08050000000003</c:v>
                </c:pt>
                <c:pt idx="391">
                  <c:v>600.62850000000003</c:v>
                </c:pt>
                <c:pt idx="392">
                  <c:v>598.66050000000007</c:v>
                </c:pt>
                <c:pt idx="393">
                  <c:v>596.952</c:v>
                </c:pt>
                <c:pt idx="394">
                  <c:v>594.90000000000009</c:v>
                </c:pt>
                <c:pt idx="395">
                  <c:v>592.93500000000006</c:v>
                </c:pt>
                <c:pt idx="396">
                  <c:v>590.70000000000005</c:v>
                </c:pt>
                <c:pt idx="397">
                  <c:v>588.58050000000003</c:v>
                </c:pt>
                <c:pt idx="398">
                  <c:v>586.40250000000003</c:v>
                </c:pt>
                <c:pt idx="399">
                  <c:v>584.09999999999991</c:v>
                </c:pt>
                <c:pt idx="400">
                  <c:v>583.5</c:v>
                </c:pt>
                <c:pt idx="401">
                  <c:v>582.59999999999991</c:v>
                </c:pt>
                <c:pt idx="402">
                  <c:v>581.226</c:v>
                </c:pt>
                <c:pt idx="403">
                  <c:v>579.62850000000003</c:v>
                </c:pt>
                <c:pt idx="404">
                  <c:v>577.55399999999997</c:v>
                </c:pt>
                <c:pt idx="405">
                  <c:v>575.61300000000006</c:v>
                </c:pt>
                <c:pt idx="406">
                  <c:v>573.29999999999995</c:v>
                </c:pt>
                <c:pt idx="407">
                  <c:v>571.06499999999994</c:v>
                </c:pt>
                <c:pt idx="408">
                  <c:v>568.65000000000009</c:v>
                </c:pt>
                <c:pt idx="409">
                  <c:v>566.37149999999997</c:v>
                </c:pt>
                <c:pt idx="410">
                  <c:v>564.09749999999997</c:v>
                </c:pt>
                <c:pt idx="411">
                  <c:v>561.85050000000001</c:v>
                </c:pt>
                <c:pt idx="412">
                  <c:v>559.79100000000005</c:v>
                </c:pt>
                <c:pt idx="413">
                  <c:v>557.59950000000003</c:v>
                </c:pt>
                <c:pt idx="414">
                  <c:v>555.87149999999997</c:v>
                </c:pt>
                <c:pt idx="415">
                  <c:v>554.322</c:v>
                </c:pt>
                <c:pt idx="416">
                  <c:v>552.4815000000001</c:v>
                </c:pt>
                <c:pt idx="417">
                  <c:v>550.93500000000006</c:v>
                </c:pt>
                <c:pt idx="418">
                  <c:v>548.95049999999992</c:v>
                </c:pt>
                <c:pt idx="419">
                  <c:v>547.25850000000003</c:v>
                </c:pt>
                <c:pt idx="420">
                  <c:v>545.20049999999992</c:v>
                </c:pt>
                <c:pt idx="421">
                  <c:v>543.24149999999997</c:v>
                </c:pt>
                <c:pt idx="422">
                  <c:v>541.35450000000003</c:v>
                </c:pt>
                <c:pt idx="423">
                  <c:v>539.35050000000001</c:v>
                </c:pt>
                <c:pt idx="424">
                  <c:v>537.53250000000003</c:v>
                </c:pt>
                <c:pt idx="425">
                  <c:v>535.60050000000001</c:v>
                </c:pt>
                <c:pt idx="426">
                  <c:v>533.80649999999991</c:v>
                </c:pt>
                <c:pt idx="427">
                  <c:v>532.11300000000006</c:v>
                </c:pt>
                <c:pt idx="428">
                  <c:v>530.63850000000002</c:v>
                </c:pt>
                <c:pt idx="429">
                  <c:v>529.64549999999997</c:v>
                </c:pt>
                <c:pt idx="430">
                  <c:v>527.80050000000006</c:v>
                </c:pt>
                <c:pt idx="431">
                  <c:v>526.25850000000003</c:v>
                </c:pt>
                <c:pt idx="432">
                  <c:v>524.65049999999997</c:v>
                </c:pt>
                <c:pt idx="433">
                  <c:v>523.01549999999997</c:v>
                </c:pt>
                <c:pt idx="434">
                  <c:v>521.41949999999997</c:v>
                </c:pt>
                <c:pt idx="435">
                  <c:v>519.75</c:v>
                </c:pt>
                <c:pt idx="436">
                  <c:v>518.178</c:v>
                </c:pt>
                <c:pt idx="437">
                  <c:v>516.55050000000006</c:v>
                </c:pt>
                <c:pt idx="438">
                  <c:v>516.048</c:v>
                </c:pt>
                <c:pt idx="439">
                  <c:v>515.46749999999997</c:v>
                </c:pt>
                <c:pt idx="440">
                  <c:v>514.5</c:v>
                </c:pt>
                <c:pt idx="441">
                  <c:v>513.38699999999994</c:v>
                </c:pt>
                <c:pt idx="442">
                  <c:v>511.84950000000003</c:v>
                </c:pt>
                <c:pt idx="443">
                  <c:v>510.19350000000003</c:v>
                </c:pt>
                <c:pt idx="444">
                  <c:v>508.39949999999999</c:v>
                </c:pt>
                <c:pt idx="445">
                  <c:v>506.61300000000006</c:v>
                </c:pt>
                <c:pt idx="446">
                  <c:v>504.91949999999997</c:v>
                </c:pt>
                <c:pt idx="447">
                  <c:v>503.05050000000006</c:v>
                </c:pt>
                <c:pt idx="448">
                  <c:v>501.48449999999997</c:v>
                </c:pt>
                <c:pt idx="449">
                  <c:v>499.69949999999994</c:v>
                </c:pt>
                <c:pt idx="450">
                  <c:v>498.19350000000003</c:v>
                </c:pt>
                <c:pt idx="451">
                  <c:v>496.839</c:v>
                </c:pt>
                <c:pt idx="452">
                  <c:v>495.10650000000004</c:v>
                </c:pt>
                <c:pt idx="453">
                  <c:v>493.74149999999997</c:v>
                </c:pt>
                <c:pt idx="454">
                  <c:v>492.04950000000002</c:v>
                </c:pt>
                <c:pt idx="455">
                  <c:v>490.69350000000003</c:v>
                </c:pt>
                <c:pt idx="456">
                  <c:v>489.19949999999994</c:v>
                </c:pt>
                <c:pt idx="457">
                  <c:v>487.79100000000005</c:v>
                </c:pt>
                <c:pt idx="458">
                  <c:v>486.48449999999997</c:v>
                </c:pt>
                <c:pt idx="459">
                  <c:v>485.20049999999998</c:v>
                </c:pt>
                <c:pt idx="460">
                  <c:v>483.96749999999997</c:v>
                </c:pt>
                <c:pt idx="461">
                  <c:v>482.70000000000005</c:v>
                </c:pt>
                <c:pt idx="462">
                  <c:v>481.452</c:v>
                </c:pt>
                <c:pt idx="463">
                  <c:v>480.339</c:v>
                </c:pt>
                <c:pt idx="464">
                  <c:v>478.98150000000004</c:v>
                </c:pt>
                <c:pt idx="465">
                  <c:v>477.91949999999997</c:v>
                </c:pt>
                <c:pt idx="466">
                  <c:v>476.65049999999997</c:v>
                </c:pt>
                <c:pt idx="467">
                  <c:v>475.5</c:v>
                </c:pt>
                <c:pt idx="468">
                  <c:v>474.19949999999994</c:v>
                </c:pt>
                <c:pt idx="469">
                  <c:v>473.03250000000003</c:v>
                </c:pt>
                <c:pt idx="470">
                  <c:v>471.822</c:v>
                </c:pt>
                <c:pt idx="471">
                  <c:v>470.59950000000003</c:v>
                </c:pt>
                <c:pt idx="472">
                  <c:v>469.40250000000003</c:v>
                </c:pt>
                <c:pt idx="473">
                  <c:v>468.25049999999999</c:v>
                </c:pt>
                <c:pt idx="474">
                  <c:v>466.98449999999997</c:v>
                </c:pt>
                <c:pt idx="475">
                  <c:v>465.87150000000003</c:v>
                </c:pt>
                <c:pt idx="476">
                  <c:v>464.48249999999996</c:v>
                </c:pt>
                <c:pt idx="477">
                  <c:v>463.452</c:v>
                </c:pt>
                <c:pt idx="478">
                  <c:v>462.29999999999995</c:v>
                </c:pt>
                <c:pt idx="479">
                  <c:v>461.178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ED5-4B7A-A185-BA3C3DDB3E54}"/>
            </c:ext>
          </c:extLst>
        </c:ser>
        <c:ser>
          <c:idx val="22"/>
          <c:order val="22"/>
          <c:tx>
            <c:strRef>
              <c:f>'FPSO1 Base'!$Y$2</c:f>
              <c:strCache>
                <c:ptCount val="1"/>
                <c:pt idx="0">
                  <c:v>P23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Base'!$Y$3:$Y$730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197.40300000000002</c:v>
                </c:pt>
                <c:pt idx="77">
                  <c:v>941.61899999999991</c:v>
                </c:pt>
                <c:pt idx="78">
                  <c:v>945.22800000000007</c:v>
                </c:pt>
                <c:pt idx="79">
                  <c:v>955.452</c:v>
                </c:pt>
                <c:pt idx="80">
                  <c:v>959.97900000000004</c:v>
                </c:pt>
                <c:pt idx="81">
                  <c:v>958.34850000000006</c:v>
                </c:pt>
                <c:pt idx="82">
                  <c:v>951.6345</c:v>
                </c:pt>
                <c:pt idx="83">
                  <c:v>941.51400000000012</c:v>
                </c:pt>
                <c:pt idx="84">
                  <c:v>926.92949999999996</c:v>
                </c:pt>
                <c:pt idx="85">
                  <c:v>910.67250000000001</c:v>
                </c:pt>
                <c:pt idx="86">
                  <c:v>892.77</c:v>
                </c:pt>
                <c:pt idx="87">
                  <c:v>873.0809999999999</c:v>
                </c:pt>
                <c:pt idx="88">
                  <c:v>855.12599999999998</c:v>
                </c:pt>
                <c:pt idx="89">
                  <c:v>836.38350000000014</c:v>
                </c:pt>
                <c:pt idx="90">
                  <c:v>816.58049999999992</c:v>
                </c:pt>
                <c:pt idx="91">
                  <c:v>801.16350000000011</c:v>
                </c:pt>
                <c:pt idx="92">
                  <c:v>785.83349999999996</c:v>
                </c:pt>
                <c:pt idx="93">
                  <c:v>773.75549999999998</c:v>
                </c:pt>
                <c:pt idx="94">
                  <c:v>761.35799999999995</c:v>
                </c:pt>
                <c:pt idx="95">
                  <c:v>751.03649999999993</c:v>
                </c:pt>
                <c:pt idx="96">
                  <c:v>740.92049999999995</c:v>
                </c:pt>
                <c:pt idx="97">
                  <c:v>732.2835</c:v>
                </c:pt>
                <c:pt idx="98">
                  <c:v>724.39649999999995</c:v>
                </c:pt>
                <c:pt idx="99">
                  <c:v>716.88149999999996</c:v>
                </c:pt>
                <c:pt idx="100">
                  <c:v>710.625</c:v>
                </c:pt>
                <c:pt idx="101">
                  <c:v>704.45249999999999</c:v>
                </c:pt>
                <c:pt idx="102">
                  <c:v>693.77699999999993</c:v>
                </c:pt>
                <c:pt idx="103">
                  <c:v>688.71900000000005</c:v>
                </c:pt>
                <c:pt idx="104">
                  <c:v>684.14850000000001</c:v>
                </c:pt>
                <c:pt idx="105">
                  <c:v>680.78550000000007</c:v>
                </c:pt>
                <c:pt idx="106">
                  <c:v>677.10599999999999</c:v>
                </c:pt>
                <c:pt idx="107">
                  <c:v>673.98450000000003</c:v>
                </c:pt>
                <c:pt idx="108">
                  <c:v>670.83150000000001</c:v>
                </c:pt>
                <c:pt idx="109">
                  <c:v>668.05949999999996</c:v>
                </c:pt>
                <c:pt idx="110">
                  <c:v>665.43149999999991</c:v>
                </c:pt>
                <c:pt idx="111">
                  <c:v>662.77200000000005</c:v>
                </c:pt>
                <c:pt idx="112">
                  <c:v>660.38400000000001</c:v>
                </c:pt>
                <c:pt idx="113">
                  <c:v>657.85950000000003</c:v>
                </c:pt>
                <c:pt idx="114">
                  <c:v>655.61249999999995</c:v>
                </c:pt>
                <c:pt idx="115">
                  <c:v>653.56200000000001</c:v>
                </c:pt>
                <c:pt idx="116">
                  <c:v>651.22050000000002</c:v>
                </c:pt>
                <c:pt idx="117">
                  <c:v>649.38750000000005</c:v>
                </c:pt>
                <c:pt idx="118">
                  <c:v>647.28150000000005</c:v>
                </c:pt>
                <c:pt idx="119">
                  <c:v>645.38400000000001</c:v>
                </c:pt>
                <c:pt idx="120">
                  <c:v>643.33799999999997</c:v>
                </c:pt>
                <c:pt idx="121">
                  <c:v>641.45849999999996</c:v>
                </c:pt>
                <c:pt idx="122">
                  <c:v>639.59249999999997</c:v>
                </c:pt>
                <c:pt idx="123">
                  <c:v>637.65899999999999</c:v>
                </c:pt>
                <c:pt idx="124">
                  <c:v>635.92200000000003</c:v>
                </c:pt>
                <c:pt idx="125">
                  <c:v>634.04700000000003</c:v>
                </c:pt>
                <c:pt idx="126">
                  <c:v>632.34300000000007</c:v>
                </c:pt>
                <c:pt idx="127">
                  <c:v>630.77099999999996</c:v>
                </c:pt>
                <c:pt idx="128">
                  <c:v>628.9425</c:v>
                </c:pt>
                <c:pt idx="129">
                  <c:v>627.48450000000003</c:v>
                </c:pt>
                <c:pt idx="130">
                  <c:v>625.78499999999997</c:v>
                </c:pt>
                <c:pt idx="131">
                  <c:v>624.23849999999993</c:v>
                </c:pt>
                <c:pt idx="132">
                  <c:v>622.57500000000005</c:v>
                </c:pt>
                <c:pt idx="133">
                  <c:v>621.00900000000001</c:v>
                </c:pt>
                <c:pt idx="134">
                  <c:v>619.47300000000007</c:v>
                </c:pt>
                <c:pt idx="135">
                  <c:v>617.87250000000006</c:v>
                </c:pt>
                <c:pt idx="136">
                  <c:v>616.42499999999995</c:v>
                </c:pt>
                <c:pt idx="137">
                  <c:v>614.84699999999998</c:v>
                </c:pt>
                <c:pt idx="138">
                  <c:v>613.428</c:v>
                </c:pt>
                <c:pt idx="139">
                  <c:v>612.07500000000005</c:v>
                </c:pt>
                <c:pt idx="140">
                  <c:v>610.58399999999995</c:v>
                </c:pt>
                <c:pt idx="141">
                  <c:v>609.327</c:v>
                </c:pt>
                <c:pt idx="142">
                  <c:v>607.91249999999991</c:v>
                </c:pt>
                <c:pt idx="143">
                  <c:v>606.63149999999996</c:v>
                </c:pt>
                <c:pt idx="144">
                  <c:v>605.24699999999996</c:v>
                </c:pt>
                <c:pt idx="145">
                  <c:v>603.94650000000001</c:v>
                </c:pt>
                <c:pt idx="146">
                  <c:v>602.65800000000002</c:v>
                </c:pt>
                <c:pt idx="147">
                  <c:v>601.30349999999999</c:v>
                </c:pt>
                <c:pt idx="148">
                  <c:v>600.07799999999997</c:v>
                </c:pt>
                <c:pt idx="149">
                  <c:v>598.74750000000006</c:v>
                </c:pt>
                <c:pt idx="150">
                  <c:v>593.178</c:v>
                </c:pt>
                <c:pt idx="151">
                  <c:v>591.59850000000006</c:v>
                </c:pt>
                <c:pt idx="152">
                  <c:v>590.52449999999999</c:v>
                </c:pt>
                <c:pt idx="153">
                  <c:v>589.65750000000003</c:v>
                </c:pt>
                <c:pt idx="154">
                  <c:v>588.66300000000001</c:v>
                </c:pt>
                <c:pt idx="155">
                  <c:v>587.74649999999997</c:v>
                </c:pt>
                <c:pt idx="156">
                  <c:v>586.75049999999999</c:v>
                </c:pt>
                <c:pt idx="157">
                  <c:v>585.81000000000006</c:v>
                </c:pt>
                <c:pt idx="158">
                  <c:v>584.87850000000003</c:v>
                </c:pt>
                <c:pt idx="159">
                  <c:v>583.875</c:v>
                </c:pt>
                <c:pt idx="160">
                  <c:v>582.96749999999997</c:v>
                </c:pt>
                <c:pt idx="161">
                  <c:v>582.19350000000009</c:v>
                </c:pt>
                <c:pt idx="162">
                  <c:v>581.10450000000003</c:v>
                </c:pt>
                <c:pt idx="163">
                  <c:v>580.28250000000003</c:v>
                </c:pt>
                <c:pt idx="164">
                  <c:v>579.32849999999996</c:v>
                </c:pt>
                <c:pt idx="165">
                  <c:v>578.56499999999994</c:v>
                </c:pt>
                <c:pt idx="166">
                  <c:v>577.64400000000001</c:v>
                </c:pt>
                <c:pt idx="167">
                  <c:v>576.81000000000006</c:v>
                </c:pt>
                <c:pt idx="168">
                  <c:v>575.90699999999993</c:v>
                </c:pt>
                <c:pt idx="169">
                  <c:v>575.04449999999997</c:v>
                </c:pt>
                <c:pt idx="170">
                  <c:v>574.16700000000003</c:v>
                </c:pt>
                <c:pt idx="171">
                  <c:v>573.25049999999999</c:v>
                </c:pt>
                <c:pt idx="172">
                  <c:v>572.39549999999997</c:v>
                </c:pt>
                <c:pt idx="173">
                  <c:v>571.46849999999995</c:v>
                </c:pt>
                <c:pt idx="174">
                  <c:v>567.6105</c:v>
                </c:pt>
                <c:pt idx="175">
                  <c:v>565.78499999999997</c:v>
                </c:pt>
                <c:pt idx="176">
                  <c:v>564.375</c:v>
                </c:pt>
                <c:pt idx="177">
                  <c:v>563.40750000000003</c:v>
                </c:pt>
                <c:pt idx="178">
                  <c:v>562.29300000000001</c:v>
                </c:pt>
                <c:pt idx="179">
                  <c:v>561.25350000000003</c:v>
                </c:pt>
                <c:pt idx="180">
                  <c:v>560.11950000000002</c:v>
                </c:pt>
                <c:pt idx="181">
                  <c:v>559.02149999999995</c:v>
                </c:pt>
                <c:pt idx="182">
                  <c:v>557.90250000000003</c:v>
                </c:pt>
                <c:pt idx="183">
                  <c:v>556.69350000000009</c:v>
                </c:pt>
                <c:pt idx="184">
                  <c:v>555.5625</c:v>
                </c:pt>
                <c:pt idx="185">
                  <c:v>554.29349999999999</c:v>
                </c:pt>
                <c:pt idx="186">
                  <c:v>538.2405</c:v>
                </c:pt>
                <c:pt idx="187">
                  <c:v>535.851</c:v>
                </c:pt>
                <c:pt idx="188">
                  <c:v>535.69350000000009</c:v>
                </c:pt>
                <c:pt idx="189">
                  <c:v>535.58399999999995</c:v>
                </c:pt>
                <c:pt idx="190">
                  <c:v>535.45650000000001</c:v>
                </c:pt>
                <c:pt idx="191">
                  <c:v>535.23450000000003</c:v>
                </c:pt>
                <c:pt idx="192">
                  <c:v>534.86850000000004</c:v>
                </c:pt>
                <c:pt idx="193">
                  <c:v>534.39300000000003</c:v>
                </c:pt>
                <c:pt idx="194">
                  <c:v>533.82449999999994</c:v>
                </c:pt>
                <c:pt idx="195">
                  <c:v>533.12549999999999</c:v>
                </c:pt>
                <c:pt idx="196">
                  <c:v>532.41600000000005</c:v>
                </c:pt>
                <c:pt idx="197">
                  <c:v>531.55050000000006</c:v>
                </c:pt>
                <c:pt idx="198">
                  <c:v>530.67899999999997</c:v>
                </c:pt>
                <c:pt idx="199">
                  <c:v>529.82100000000003</c:v>
                </c:pt>
                <c:pt idx="200">
                  <c:v>528.78300000000002</c:v>
                </c:pt>
                <c:pt idx="201">
                  <c:v>527.94600000000003</c:v>
                </c:pt>
                <c:pt idx="202">
                  <c:v>526.96800000000007</c:v>
                </c:pt>
                <c:pt idx="203">
                  <c:v>526.08299999999997</c:v>
                </c:pt>
                <c:pt idx="204">
                  <c:v>525.13799999999992</c:v>
                </c:pt>
                <c:pt idx="205">
                  <c:v>524.25</c:v>
                </c:pt>
                <c:pt idx="206">
                  <c:v>523.41</c:v>
                </c:pt>
                <c:pt idx="207">
                  <c:v>522.54300000000001</c:v>
                </c:pt>
                <c:pt idx="208">
                  <c:v>521.79449999999997</c:v>
                </c:pt>
                <c:pt idx="209">
                  <c:v>521.00549999999998</c:v>
                </c:pt>
                <c:pt idx="210">
                  <c:v>520.31850000000009</c:v>
                </c:pt>
                <c:pt idx="211">
                  <c:v>519.702</c:v>
                </c:pt>
                <c:pt idx="212">
                  <c:v>519.01350000000002</c:v>
                </c:pt>
                <c:pt idx="213">
                  <c:v>518.49149999999997</c:v>
                </c:pt>
                <c:pt idx="214">
                  <c:v>517.92450000000008</c:v>
                </c:pt>
                <c:pt idx="215">
                  <c:v>517.42200000000003</c:v>
                </c:pt>
                <c:pt idx="216">
                  <c:v>516.91200000000003</c:v>
                </c:pt>
                <c:pt idx="217">
                  <c:v>516.447</c:v>
                </c:pt>
                <c:pt idx="218">
                  <c:v>515.99399999999991</c:v>
                </c:pt>
                <c:pt idx="219">
                  <c:v>515.5440000000001</c:v>
                </c:pt>
                <c:pt idx="220">
                  <c:v>515.14049999999997</c:v>
                </c:pt>
                <c:pt idx="221">
                  <c:v>514.71299999999997</c:v>
                </c:pt>
                <c:pt idx="222">
                  <c:v>514.32449999999994</c:v>
                </c:pt>
                <c:pt idx="223">
                  <c:v>513.9615</c:v>
                </c:pt>
                <c:pt idx="224">
                  <c:v>513.4815000000001</c:v>
                </c:pt>
                <c:pt idx="225">
                  <c:v>513.10350000000005</c:v>
                </c:pt>
                <c:pt idx="226">
                  <c:v>512.66249999999991</c:v>
                </c:pt>
                <c:pt idx="227">
                  <c:v>512.25</c:v>
                </c:pt>
                <c:pt idx="228">
                  <c:v>511.79999999999995</c:v>
                </c:pt>
                <c:pt idx="229">
                  <c:v>511.37250000000006</c:v>
                </c:pt>
                <c:pt idx="230">
                  <c:v>510.94350000000003</c:v>
                </c:pt>
                <c:pt idx="231">
                  <c:v>510.49350000000004</c:v>
                </c:pt>
                <c:pt idx="232">
                  <c:v>510.06599999999997</c:v>
                </c:pt>
                <c:pt idx="233">
                  <c:v>509.61300000000006</c:v>
                </c:pt>
                <c:pt idx="234">
                  <c:v>509.16600000000005</c:v>
                </c:pt>
                <c:pt idx="235">
                  <c:v>508.7355</c:v>
                </c:pt>
                <c:pt idx="236">
                  <c:v>508.24199999999996</c:v>
                </c:pt>
                <c:pt idx="237">
                  <c:v>507.81599999999997</c:v>
                </c:pt>
                <c:pt idx="238">
                  <c:v>507.31200000000001</c:v>
                </c:pt>
                <c:pt idx="239">
                  <c:v>506.86649999999997</c:v>
                </c:pt>
                <c:pt idx="240">
                  <c:v>506.35650000000004</c:v>
                </c:pt>
                <c:pt idx="241">
                  <c:v>505.88100000000003</c:v>
                </c:pt>
                <c:pt idx="242">
                  <c:v>505.3845</c:v>
                </c:pt>
                <c:pt idx="243">
                  <c:v>504.86850000000004</c:v>
                </c:pt>
                <c:pt idx="244">
                  <c:v>504.38699999999994</c:v>
                </c:pt>
                <c:pt idx="245">
                  <c:v>503.84400000000005</c:v>
                </c:pt>
                <c:pt idx="246">
                  <c:v>503.37150000000003</c:v>
                </c:pt>
                <c:pt idx="247">
                  <c:v>502.86300000000006</c:v>
                </c:pt>
                <c:pt idx="248">
                  <c:v>502.28550000000007</c:v>
                </c:pt>
                <c:pt idx="249">
                  <c:v>501.81000000000006</c:v>
                </c:pt>
                <c:pt idx="250">
                  <c:v>501.26250000000005</c:v>
                </c:pt>
                <c:pt idx="251">
                  <c:v>500.74650000000003</c:v>
                </c:pt>
                <c:pt idx="252">
                  <c:v>500.17499999999995</c:v>
                </c:pt>
                <c:pt idx="253">
                  <c:v>499.62150000000003</c:v>
                </c:pt>
                <c:pt idx="254">
                  <c:v>499.089</c:v>
                </c:pt>
                <c:pt idx="255">
                  <c:v>498.49950000000001</c:v>
                </c:pt>
                <c:pt idx="256">
                  <c:v>497.964</c:v>
                </c:pt>
                <c:pt idx="257">
                  <c:v>498.06299999999999</c:v>
                </c:pt>
                <c:pt idx="258">
                  <c:v>498.29100000000005</c:v>
                </c:pt>
                <c:pt idx="259">
                  <c:v>498.411</c:v>
                </c:pt>
                <c:pt idx="260">
                  <c:v>498.45599999999996</c:v>
                </c:pt>
                <c:pt idx="261">
                  <c:v>498.339</c:v>
                </c:pt>
                <c:pt idx="262">
                  <c:v>498.10050000000001</c:v>
                </c:pt>
                <c:pt idx="263">
                  <c:v>497.75850000000003</c:v>
                </c:pt>
                <c:pt idx="264">
                  <c:v>497.27549999999997</c:v>
                </c:pt>
                <c:pt idx="265">
                  <c:v>496.58399999999995</c:v>
                </c:pt>
                <c:pt idx="266">
                  <c:v>495.81000000000006</c:v>
                </c:pt>
                <c:pt idx="267">
                  <c:v>494.96250000000003</c:v>
                </c:pt>
                <c:pt idx="268">
                  <c:v>494.11649999999997</c:v>
                </c:pt>
                <c:pt idx="269">
                  <c:v>493.18799999999999</c:v>
                </c:pt>
                <c:pt idx="270">
                  <c:v>492.303</c:v>
                </c:pt>
                <c:pt idx="271">
                  <c:v>491.44350000000003</c:v>
                </c:pt>
                <c:pt idx="272">
                  <c:v>490.4325</c:v>
                </c:pt>
                <c:pt idx="273">
                  <c:v>489.65250000000003</c:v>
                </c:pt>
                <c:pt idx="274">
                  <c:v>488.74950000000001</c:v>
                </c:pt>
                <c:pt idx="275">
                  <c:v>487.899</c:v>
                </c:pt>
                <c:pt idx="276">
                  <c:v>487.04999999999995</c:v>
                </c:pt>
                <c:pt idx="277">
                  <c:v>486.25349999999997</c:v>
                </c:pt>
                <c:pt idx="278">
                  <c:v>485.45550000000003</c:v>
                </c:pt>
                <c:pt idx="279">
                  <c:v>484.73700000000002</c:v>
                </c:pt>
                <c:pt idx="280">
                  <c:v>484.20899999999995</c:v>
                </c:pt>
                <c:pt idx="281">
                  <c:v>483.66300000000001</c:v>
                </c:pt>
                <c:pt idx="282">
                  <c:v>483.29100000000005</c:v>
                </c:pt>
                <c:pt idx="283">
                  <c:v>482.952</c:v>
                </c:pt>
                <c:pt idx="284">
                  <c:v>482.61149999999998</c:v>
                </c:pt>
                <c:pt idx="285">
                  <c:v>482.25</c:v>
                </c:pt>
                <c:pt idx="286">
                  <c:v>481.81200000000001</c:v>
                </c:pt>
                <c:pt idx="287">
                  <c:v>481.33050000000003</c:v>
                </c:pt>
                <c:pt idx="288">
                  <c:v>480.76199999999994</c:v>
                </c:pt>
                <c:pt idx="289">
                  <c:v>477.774</c:v>
                </c:pt>
                <c:pt idx="290">
                  <c:v>476.51550000000003</c:v>
                </c:pt>
                <c:pt idx="291">
                  <c:v>475.72499999999997</c:v>
                </c:pt>
                <c:pt idx="292">
                  <c:v>475.11300000000006</c:v>
                </c:pt>
                <c:pt idx="293">
                  <c:v>474.46199999999999</c:v>
                </c:pt>
                <c:pt idx="294">
                  <c:v>473.83050000000003</c:v>
                </c:pt>
                <c:pt idx="295">
                  <c:v>473.23800000000006</c:v>
                </c:pt>
                <c:pt idx="296">
                  <c:v>472.5675</c:v>
                </c:pt>
                <c:pt idx="297">
                  <c:v>471.99149999999997</c:v>
                </c:pt>
                <c:pt idx="298">
                  <c:v>471.33750000000003</c:v>
                </c:pt>
                <c:pt idx="299">
                  <c:v>470.72249999999997</c:v>
                </c:pt>
                <c:pt idx="300">
                  <c:v>470.03700000000003</c:v>
                </c:pt>
                <c:pt idx="301">
                  <c:v>469.37849999999997</c:v>
                </c:pt>
                <c:pt idx="302">
                  <c:v>468.702</c:v>
                </c:pt>
                <c:pt idx="303">
                  <c:v>467.95049999999998</c:v>
                </c:pt>
                <c:pt idx="304">
                  <c:v>466.65750000000003</c:v>
                </c:pt>
                <c:pt idx="305">
                  <c:v>466.01250000000005</c:v>
                </c:pt>
                <c:pt idx="306">
                  <c:v>465.786</c:v>
                </c:pt>
                <c:pt idx="307">
                  <c:v>465.96749999999997</c:v>
                </c:pt>
                <c:pt idx="308">
                  <c:v>466.07100000000003</c:v>
                </c:pt>
                <c:pt idx="309">
                  <c:v>465.96749999999997</c:v>
                </c:pt>
                <c:pt idx="310">
                  <c:v>465.75</c:v>
                </c:pt>
                <c:pt idx="311">
                  <c:v>465.38699999999994</c:v>
                </c:pt>
                <c:pt idx="312">
                  <c:v>464.87549999999999</c:v>
                </c:pt>
                <c:pt idx="313">
                  <c:v>464.26199999999994</c:v>
                </c:pt>
                <c:pt idx="314">
                  <c:v>463.548</c:v>
                </c:pt>
                <c:pt idx="315">
                  <c:v>462.71250000000003</c:v>
                </c:pt>
                <c:pt idx="316">
                  <c:v>461.84249999999997</c:v>
                </c:pt>
                <c:pt idx="317">
                  <c:v>460.86300000000006</c:v>
                </c:pt>
                <c:pt idx="318">
                  <c:v>459.87150000000003</c:v>
                </c:pt>
                <c:pt idx="319">
                  <c:v>458.93999999999994</c:v>
                </c:pt>
                <c:pt idx="320">
                  <c:v>457.8075</c:v>
                </c:pt>
                <c:pt idx="321">
                  <c:v>456.90750000000003</c:v>
                </c:pt>
                <c:pt idx="322">
                  <c:v>455.82449999999994</c:v>
                </c:pt>
                <c:pt idx="323">
                  <c:v>455.10450000000003</c:v>
                </c:pt>
                <c:pt idx="324">
                  <c:v>454.58699999999999</c:v>
                </c:pt>
                <c:pt idx="325">
                  <c:v>454.089</c:v>
                </c:pt>
                <c:pt idx="326">
                  <c:v>453.59249999999997</c:v>
                </c:pt>
                <c:pt idx="327">
                  <c:v>453.01199999999994</c:v>
                </c:pt>
                <c:pt idx="328">
                  <c:v>452.35949999999997</c:v>
                </c:pt>
                <c:pt idx="329">
                  <c:v>451.61249999999995</c:v>
                </c:pt>
                <c:pt idx="330">
                  <c:v>450.87150000000003</c:v>
                </c:pt>
                <c:pt idx="331">
                  <c:v>450.08399999999995</c:v>
                </c:pt>
                <c:pt idx="332">
                  <c:v>449.19900000000001</c:v>
                </c:pt>
                <c:pt idx="333">
                  <c:v>448.41600000000005</c:v>
                </c:pt>
                <c:pt idx="334">
                  <c:v>447.52500000000003</c:v>
                </c:pt>
                <c:pt idx="335">
                  <c:v>446.72249999999997</c:v>
                </c:pt>
                <c:pt idx="336">
                  <c:v>445.83750000000003</c:v>
                </c:pt>
                <c:pt idx="337">
                  <c:v>445.00349999999997</c:v>
                </c:pt>
                <c:pt idx="338">
                  <c:v>444.19350000000003</c:v>
                </c:pt>
                <c:pt idx="339">
                  <c:v>443.36249999999995</c:v>
                </c:pt>
                <c:pt idx="340">
                  <c:v>442.59749999999997</c:v>
                </c:pt>
                <c:pt idx="341">
                  <c:v>441.79950000000002</c:v>
                </c:pt>
                <c:pt idx="342">
                  <c:v>441.048</c:v>
                </c:pt>
                <c:pt idx="343">
                  <c:v>440.37150000000003</c:v>
                </c:pt>
                <c:pt idx="344">
                  <c:v>439.5675</c:v>
                </c:pt>
                <c:pt idx="345">
                  <c:v>438.91949999999997</c:v>
                </c:pt>
                <c:pt idx="346">
                  <c:v>438.19949999999994</c:v>
                </c:pt>
                <c:pt idx="347">
                  <c:v>437.52750000000003</c:v>
                </c:pt>
                <c:pt idx="348">
                  <c:v>436.79999999999995</c:v>
                </c:pt>
                <c:pt idx="349">
                  <c:v>436.11300000000006</c:v>
                </c:pt>
                <c:pt idx="350">
                  <c:v>435.43500000000006</c:v>
                </c:pt>
                <c:pt idx="351">
                  <c:v>434.72550000000001</c:v>
                </c:pt>
                <c:pt idx="352">
                  <c:v>434.04449999999997</c:v>
                </c:pt>
                <c:pt idx="353">
                  <c:v>433.34999999999997</c:v>
                </c:pt>
                <c:pt idx="354">
                  <c:v>432.65250000000003</c:v>
                </c:pt>
                <c:pt idx="355">
                  <c:v>432.01199999999994</c:v>
                </c:pt>
                <c:pt idx="356">
                  <c:v>431.23649999999998</c:v>
                </c:pt>
                <c:pt idx="357">
                  <c:v>430.60949999999997</c:v>
                </c:pt>
                <c:pt idx="358">
                  <c:v>429.86249999999995</c:v>
                </c:pt>
                <c:pt idx="359">
                  <c:v>429.16949999999997</c:v>
                </c:pt>
                <c:pt idx="360">
                  <c:v>428.42550000000006</c:v>
                </c:pt>
                <c:pt idx="361">
                  <c:v>427.70550000000003</c:v>
                </c:pt>
                <c:pt idx="362">
                  <c:v>426.97950000000003</c:v>
                </c:pt>
                <c:pt idx="363">
                  <c:v>426.21299999999997</c:v>
                </c:pt>
                <c:pt idx="364">
                  <c:v>425.49149999999997</c:v>
                </c:pt>
                <c:pt idx="365">
                  <c:v>424.71299999999997</c:v>
                </c:pt>
                <c:pt idx="366">
                  <c:v>423.96749999999997</c:v>
                </c:pt>
                <c:pt idx="367">
                  <c:v>423.26550000000003</c:v>
                </c:pt>
                <c:pt idx="368">
                  <c:v>422.4375</c:v>
                </c:pt>
                <c:pt idx="369">
                  <c:v>421.75349999999997</c:v>
                </c:pt>
                <c:pt idx="370">
                  <c:v>420.97499999999997</c:v>
                </c:pt>
                <c:pt idx="371">
                  <c:v>420.22950000000003</c:v>
                </c:pt>
                <c:pt idx="372">
                  <c:v>419.4375</c:v>
                </c:pt>
                <c:pt idx="373">
                  <c:v>418.66949999999997</c:v>
                </c:pt>
                <c:pt idx="374">
                  <c:v>417.93149999999997</c:v>
                </c:pt>
                <c:pt idx="375">
                  <c:v>417.13799999999998</c:v>
                </c:pt>
                <c:pt idx="376">
                  <c:v>416.41949999999997</c:v>
                </c:pt>
                <c:pt idx="377">
                  <c:v>415.60050000000001</c:v>
                </c:pt>
                <c:pt idx="378">
                  <c:v>414.85949999999997</c:v>
                </c:pt>
                <c:pt idx="379">
                  <c:v>414.10949999999997</c:v>
                </c:pt>
                <c:pt idx="380">
                  <c:v>413.28899999999999</c:v>
                </c:pt>
                <c:pt idx="381">
                  <c:v>412.58399999999995</c:v>
                </c:pt>
                <c:pt idx="382">
                  <c:v>411.78749999999997</c:v>
                </c:pt>
                <c:pt idx="383">
                  <c:v>411.072</c:v>
                </c:pt>
                <c:pt idx="384">
                  <c:v>410.27549999999997</c:v>
                </c:pt>
                <c:pt idx="385">
                  <c:v>409.851</c:v>
                </c:pt>
                <c:pt idx="386">
                  <c:v>409.62150000000003</c:v>
                </c:pt>
                <c:pt idx="387">
                  <c:v>409.45049999999998</c:v>
                </c:pt>
                <c:pt idx="388">
                  <c:v>409.23449999999997</c:v>
                </c:pt>
                <c:pt idx="389">
                  <c:v>408.91200000000003</c:v>
                </c:pt>
                <c:pt idx="390">
                  <c:v>408.53250000000003</c:v>
                </c:pt>
                <c:pt idx="391">
                  <c:v>408.072</c:v>
                </c:pt>
                <c:pt idx="392">
                  <c:v>407.4375</c:v>
                </c:pt>
                <c:pt idx="393">
                  <c:v>406.839</c:v>
                </c:pt>
                <c:pt idx="394">
                  <c:v>406.04999999999995</c:v>
                </c:pt>
                <c:pt idx="395">
                  <c:v>405.31499999999994</c:v>
                </c:pt>
                <c:pt idx="396">
                  <c:v>404.42550000000006</c:v>
                </c:pt>
                <c:pt idx="397">
                  <c:v>403.572</c:v>
                </c:pt>
                <c:pt idx="398">
                  <c:v>402.702</c:v>
                </c:pt>
                <c:pt idx="399">
                  <c:v>401.74950000000001</c:v>
                </c:pt>
                <c:pt idx="400">
                  <c:v>401.74650000000003</c:v>
                </c:pt>
                <c:pt idx="401">
                  <c:v>401.74950000000001</c:v>
                </c:pt>
                <c:pt idx="402">
                  <c:v>401.51550000000003</c:v>
                </c:pt>
                <c:pt idx="403">
                  <c:v>401.08050000000003</c:v>
                </c:pt>
                <c:pt idx="404">
                  <c:v>400.36649999999997</c:v>
                </c:pt>
                <c:pt idx="405">
                  <c:v>399.68999999999994</c:v>
                </c:pt>
                <c:pt idx="406">
                  <c:v>398.8125</c:v>
                </c:pt>
                <c:pt idx="407">
                  <c:v>397.97249999999997</c:v>
                </c:pt>
                <c:pt idx="408">
                  <c:v>397.03800000000001</c:v>
                </c:pt>
                <c:pt idx="409">
                  <c:v>396.16949999999997</c:v>
                </c:pt>
                <c:pt idx="410">
                  <c:v>395.322</c:v>
                </c:pt>
                <c:pt idx="411">
                  <c:v>394.45049999999998</c:v>
                </c:pt>
                <c:pt idx="412">
                  <c:v>393.702</c:v>
                </c:pt>
                <c:pt idx="413">
                  <c:v>392.93700000000001</c:v>
                </c:pt>
                <c:pt idx="414">
                  <c:v>392.40750000000003</c:v>
                </c:pt>
                <c:pt idx="415">
                  <c:v>392.00850000000003</c:v>
                </c:pt>
                <c:pt idx="416">
                  <c:v>391.5675</c:v>
                </c:pt>
                <c:pt idx="417">
                  <c:v>391.173</c:v>
                </c:pt>
                <c:pt idx="418">
                  <c:v>390.64949999999999</c:v>
                </c:pt>
                <c:pt idx="419">
                  <c:v>390.13350000000003</c:v>
                </c:pt>
                <c:pt idx="420">
                  <c:v>389.50049999999999</c:v>
                </c:pt>
                <c:pt idx="421">
                  <c:v>388.88699999999994</c:v>
                </c:pt>
                <c:pt idx="422">
                  <c:v>388.28250000000003</c:v>
                </c:pt>
                <c:pt idx="423">
                  <c:v>387.59999999999997</c:v>
                </c:pt>
                <c:pt idx="424">
                  <c:v>387.01199999999994</c:v>
                </c:pt>
                <c:pt idx="425">
                  <c:v>386.36249999999995</c:v>
                </c:pt>
                <c:pt idx="426">
                  <c:v>385.75349999999997</c:v>
                </c:pt>
                <c:pt idx="427">
                  <c:v>385.20899999999995</c:v>
                </c:pt>
                <c:pt idx="428">
                  <c:v>384.86699999999996</c:v>
                </c:pt>
                <c:pt idx="429">
                  <c:v>384.66600000000005</c:v>
                </c:pt>
                <c:pt idx="430">
                  <c:v>384.16200000000003</c:v>
                </c:pt>
                <c:pt idx="431">
                  <c:v>383.697</c:v>
                </c:pt>
                <c:pt idx="432">
                  <c:v>383.12549999999999</c:v>
                </c:pt>
                <c:pt idx="433">
                  <c:v>382.59749999999997</c:v>
                </c:pt>
                <c:pt idx="434">
                  <c:v>382.01549999999997</c:v>
                </c:pt>
                <c:pt idx="435">
                  <c:v>381.43799999999999</c:v>
                </c:pt>
                <c:pt idx="436">
                  <c:v>380.89049999999997</c:v>
                </c:pt>
                <c:pt idx="437">
                  <c:v>380.31299999999999</c:v>
                </c:pt>
                <c:pt idx="438">
                  <c:v>380.43150000000003</c:v>
                </c:pt>
                <c:pt idx="439">
                  <c:v>380.553</c:v>
                </c:pt>
                <c:pt idx="440">
                  <c:v>380.47799999999995</c:v>
                </c:pt>
                <c:pt idx="441">
                  <c:v>380.202</c:v>
                </c:pt>
                <c:pt idx="442">
                  <c:v>379.72500000000002</c:v>
                </c:pt>
                <c:pt idx="443">
                  <c:v>379.137</c:v>
                </c:pt>
                <c:pt idx="444">
                  <c:v>378.43799999999999</c:v>
                </c:pt>
                <c:pt idx="445">
                  <c:v>377.74649999999997</c:v>
                </c:pt>
                <c:pt idx="446">
                  <c:v>377.03249999999997</c:v>
                </c:pt>
                <c:pt idx="447">
                  <c:v>376.28700000000003</c:v>
                </c:pt>
                <c:pt idx="448">
                  <c:v>375.64049999999997</c:v>
                </c:pt>
                <c:pt idx="449">
                  <c:v>374.93700000000001</c:v>
                </c:pt>
                <c:pt idx="450">
                  <c:v>374.322</c:v>
                </c:pt>
                <c:pt idx="451">
                  <c:v>373.77750000000003</c:v>
                </c:pt>
                <c:pt idx="452">
                  <c:v>373.03199999999998</c:v>
                </c:pt>
                <c:pt idx="453">
                  <c:v>372.411</c:v>
                </c:pt>
                <c:pt idx="454">
                  <c:v>371.70000000000005</c:v>
                </c:pt>
                <c:pt idx="455">
                  <c:v>371.09250000000003</c:v>
                </c:pt>
                <c:pt idx="456">
                  <c:v>370.47450000000003</c:v>
                </c:pt>
                <c:pt idx="457">
                  <c:v>369.95550000000003</c:v>
                </c:pt>
                <c:pt idx="458">
                  <c:v>369.435</c:v>
                </c:pt>
                <c:pt idx="459">
                  <c:v>368.93700000000001</c:v>
                </c:pt>
                <c:pt idx="460">
                  <c:v>368.46750000000003</c:v>
                </c:pt>
                <c:pt idx="461">
                  <c:v>367.97550000000001</c:v>
                </c:pt>
                <c:pt idx="462">
                  <c:v>367.488</c:v>
                </c:pt>
                <c:pt idx="463">
                  <c:v>367.053</c:v>
                </c:pt>
                <c:pt idx="464">
                  <c:v>366.48149999999998</c:v>
                </c:pt>
                <c:pt idx="465">
                  <c:v>366.036</c:v>
                </c:pt>
                <c:pt idx="466">
                  <c:v>365.48699999999997</c:v>
                </c:pt>
                <c:pt idx="467">
                  <c:v>364.97249999999997</c:v>
                </c:pt>
                <c:pt idx="468">
                  <c:v>364.39949999999999</c:v>
                </c:pt>
                <c:pt idx="469">
                  <c:v>363.85950000000003</c:v>
                </c:pt>
                <c:pt idx="470">
                  <c:v>363.291</c:v>
                </c:pt>
                <c:pt idx="471">
                  <c:v>362.68799999999999</c:v>
                </c:pt>
                <c:pt idx="472">
                  <c:v>362.14049999999997</c:v>
                </c:pt>
                <c:pt idx="473">
                  <c:v>361.53750000000002</c:v>
                </c:pt>
                <c:pt idx="474">
                  <c:v>360.93150000000003</c:v>
                </c:pt>
                <c:pt idx="475">
                  <c:v>360.315</c:v>
                </c:pt>
                <c:pt idx="476">
                  <c:v>359.65049999999997</c:v>
                </c:pt>
                <c:pt idx="477">
                  <c:v>359.10449999999997</c:v>
                </c:pt>
                <c:pt idx="478">
                  <c:v>358.53750000000002</c:v>
                </c:pt>
                <c:pt idx="479">
                  <c:v>358.053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ED5-4B7A-A185-BA3C3DDB3E54}"/>
            </c:ext>
          </c:extLst>
        </c:ser>
        <c:ser>
          <c:idx val="23"/>
          <c:order val="23"/>
          <c:tx>
            <c:strRef>
              <c:f>'FPSO1 Base'!$Z$2</c:f>
              <c:strCache>
                <c:ptCount val="1"/>
                <c:pt idx="0">
                  <c:v>P24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cat>
            <c:numRef>
              <c:f>'FPSO1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Base'!$Z$3:$Z$730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1751.97</c:v>
                </c:pt>
                <c:pt idx="77">
                  <c:v>2133.855</c:v>
                </c:pt>
                <c:pt idx="78">
                  <c:v>2127.4349999999999</c:v>
                </c:pt>
                <c:pt idx="79">
                  <c:v>2122.0950000000003</c:v>
                </c:pt>
                <c:pt idx="80">
                  <c:v>2119.8000000000002</c:v>
                </c:pt>
                <c:pt idx="81">
                  <c:v>2096.9549999999999</c:v>
                </c:pt>
                <c:pt idx="82">
                  <c:v>2008.8150000000001</c:v>
                </c:pt>
                <c:pt idx="83">
                  <c:v>1905.2550000000001</c:v>
                </c:pt>
                <c:pt idx="84">
                  <c:v>1803.3600000000001</c:v>
                </c:pt>
                <c:pt idx="85">
                  <c:v>1708.3650000000002</c:v>
                </c:pt>
                <c:pt idx="86">
                  <c:v>1621.6799999999998</c:v>
                </c:pt>
                <c:pt idx="87">
                  <c:v>1539.5099999999998</c:v>
                </c:pt>
                <c:pt idx="88">
                  <c:v>1471.7730000000001</c:v>
                </c:pt>
                <c:pt idx="89">
                  <c:v>1409.9265</c:v>
                </c:pt>
                <c:pt idx="90">
                  <c:v>1355.3025</c:v>
                </c:pt>
                <c:pt idx="91">
                  <c:v>1311.5445</c:v>
                </c:pt>
                <c:pt idx="92">
                  <c:v>1268.421</c:v>
                </c:pt>
                <c:pt idx="93">
                  <c:v>1234.7055</c:v>
                </c:pt>
                <c:pt idx="94">
                  <c:v>1199.694</c:v>
                </c:pt>
                <c:pt idx="95">
                  <c:v>1170.3989999999999</c:v>
                </c:pt>
                <c:pt idx="96">
                  <c:v>1141.2465</c:v>
                </c:pt>
                <c:pt idx="97">
                  <c:v>1116.4784999999999</c:v>
                </c:pt>
                <c:pt idx="98">
                  <c:v>1093.7294999999999</c:v>
                </c:pt>
                <c:pt idx="99">
                  <c:v>1071.4725000000001</c:v>
                </c:pt>
                <c:pt idx="100">
                  <c:v>1052.0595000000001</c:v>
                </c:pt>
                <c:pt idx="101">
                  <c:v>1031.9594999999999</c:v>
                </c:pt>
                <c:pt idx="102">
                  <c:v>1006.1189999999999</c:v>
                </c:pt>
                <c:pt idx="103">
                  <c:v>989.19299999999998</c:v>
                </c:pt>
                <c:pt idx="104">
                  <c:v>971.3130000000001</c:v>
                </c:pt>
                <c:pt idx="105">
                  <c:v>957.35100000000011</c:v>
                </c:pt>
                <c:pt idx="106">
                  <c:v>941.7405</c:v>
                </c:pt>
                <c:pt idx="107">
                  <c:v>927.87149999999997</c:v>
                </c:pt>
                <c:pt idx="108">
                  <c:v>913.51200000000006</c:v>
                </c:pt>
                <c:pt idx="109">
                  <c:v>900.6690000000001</c:v>
                </c:pt>
                <c:pt idx="110">
                  <c:v>888.42</c:v>
                </c:pt>
                <c:pt idx="111">
                  <c:v>876.25350000000003</c:v>
                </c:pt>
                <c:pt idx="112">
                  <c:v>865.15200000000004</c:v>
                </c:pt>
                <c:pt idx="113">
                  <c:v>853.65899999999999</c:v>
                </c:pt>
                <c:pt idx="114">
                  <c:v>843.36599999999999</c:v>
                </c:pt>
                <c:pt idx="115">
                  <c:v>833.98799999999994</c:v>
                </c:pt>
                <c:pt idx="116">
                  <c:v>823.56</c:v>
                </c:pt>
                <c:pt idx="117">
                  <c:v>815.298</c:v>
                </c:pt>
                <c:pt idx="118">
                  <c:v>806.01900000000001</c:v>
                </c:pt>
                <c:pt idx="119">
                  <c:v>797.77649999999994</c:v>
                </c:pt>
                <c:pt idx="120">
                  <c:v>789.25650000000007</c:v>
                </c:pt>
                <c:pt idx="121">
                  <c:v>781.46399999999994</c:v>
                </c:pt>
                <c:pt idx="122">
                  <c:v>773.91000000000008</c:v>
                </c:pt>
                <c:pt idx="123">
                  <c:v>766.32449999999994</c:v>
                </c:pt>
                <c:pt idx="124">
                  <c:v>759.56850000000009</c:v>
                </c:pt>
                <c:pt idx="125">
                  <c:v>752.50649999999996</c:v>
                </c:pt>
                <c:pt idx="126">
                  <c:v>746.02649999999994</c:v>
                </c:pt>
                <c:pt idx="127">
                  <c:v>739.99649999999997</c:v>
                </c:pt>
                <c:pt idx="128">
                  <c:v>733.25249999999994</c:v>
                </c:pt>
                <c:pt idx="129">
                  <c:v>727.923</c:v>
                </c:pt>
                <c:pt idx="130">
                  <c:v>721.91849999999999</c:v>
                </c:pt>
                <c:pt idx="131">
                  <c:v>716.53499999999997</c:v>
                </c:pt>
                <c:pt idx="132">
                  <c:v>710.84400000000005</c:v>
                </c:pt>
                <c:pt idx="133">
                  <c:v>705.61649999999997</c:v>
                </c:pt>
                <c:pt idx="134">
                  <c:v>700.50600000000009</c:v>
                </c:pt>
                <c:pt idx="135">
                  <c:v>695.29349999999999</c:v>
                </c:pt>
                <c:pt idx="136">
                  <c:v>690.5625</c:v>
                </c:pt>
                <c:pt idx="137">
                  <c:v>685.51199999999994</c:v>
                </c:pt>
                <c:pt idx="138">
                  <c:v>680.928</c:v>
                </c:pt>
                <c:pt idx="139">
                  <c:v>676.572</c:v>
                </c:pt>
                <c:pt idx="140">
                  <c:v>671.83199999999999</c:v>
                </c:pt>
                <c:pt idx="141">
                  <c:v>669.89549999999997</c:v>
                </c:pt>
                <c:pt idx="142">
                  <c:v>667.55700000000002</c:v>
                </c:pt>
                <c:pt idx="143">
                  <c:v>665.08050000000003</c:v>
                </c:pt>
                <c:pt idx="144">
                  <c:v>662.23800000000006</c:v>
                </c:pt>
                <c:pt idx="145">
                  <c:v>659.38350000000003</c:v>
                </c:pt>
                <c:pt idx="146">
                  <c:v>656.38350000000003</c:v>
                </c:pt>
                <c:pt idx="147">
                  <c:v>653.21250000000009</c:v>
                </c:pt>
                <c:pt idx="148">
                  <c:v>650.26800000000003</c:v>
                </c:pt>
                <c:pt idx="149">
                  <c:v>647.13149999999996</c:v>
                </c:pt>
                <c:pt idx="150">
                  <c:v>639.49649999999997</c:v>
                </c:pt>
                <c:pt idx="151">
                  <c:v>636.14549999999997</c:v>
                </c:pt>
                <c:pt idx="152">
                  <c:v>633.01949999999999</c:v>
                </c:pt>
                <c:pt idx="153">
                  <c:v>630.399</c:v>
                </c:pt>
                <c:pt idx="154">
                  <c:v>627.41249999999991</c:v>
                </c:pt>
                <c:pt idx="155">
                  <c:v>624.62250000000006</c:v>
                </c:pt>
                <c:pt idx="156">
                  <c:v>621.61950000000002</c:v>
                </c:pt>
                <c:pt idx="157">
                  <c:v>618.71399999999994</c:v>
                </c:pt>
                <c:pt idx="158">
                  <c:v>615.76199999999994</c:v>
                </c:pt>
                <c:pt idx="159">
                  <c:v>612.6690000000001</c:v>
                </c:pt>
                <c:pt idx="160">
                  <c:v>680.952</c:v>
                </c:pt>
                <c:pt idx="161">
                  <c:v>685.43700000000001</c:v>
                </c:pt>
                <c:pt idx="162">
                  <c:v>684.048</c:v>
                </c:pt>
                <c:pt idx="163">
                  <c:v>681.9375</c:v>
                </c:pt>
                <c:pt idx="164">
                  <c:v>679.26599999999996</c:v>
                </c:pt>
                <c:pt idx="165">
                  <c:v>676.74149999999997</c:v>
                </c:pt>
                <c:pt idx="166">
                  <c:v>673.71299999999997</c:v>
                </c:pt>
                <c:pt idx="167">
                  <c:v>670.72350000000006</c:v>
                </c:pt>
                <c:pt idx="168">
                  <c:v>667.45650000000001</c:v>
                </c:pt>
                <c:pt idx="169">
                  <c:v>664.43999999999994</c:v>
                </c:pt>
                <c:pt idx="170">
                  <c:v>661.37250000000006</c:v>
                </c:pt>
                <c:pt idx="171">
                  <c:v>658.11899999999991</c:v>
                </c:pt>
                <c:pt idx="172">
                  <c:v>655.08899999999994</c:v>
                </c:pt>
                <c:pt idx="173">
                  <c:v>651.80700000000002</c:v>
                </c:pt>
                <c:pt idx="174">
                  <c:v>648.678</c:v>
                </c:pt>
                <c:pt idx="175">
                  <c:v>645.66600000000005</c:v>
                </c:pt>
                <c:pt idx="176">
                  <c:v>642.10050000000001</c:v>
                </c:pt>
                <c:pt idx="177">
                  <c:v>639.10950000000003</c:v>
                </c:pt>
                <c:pt idx="178">
                  <c:v>635.50649999999996</c:v>
                </c:pt>
                <c:pt idx="179">
                  <c:v>632.09249999999997</c:v>
                </c:pt>
                <c:pt idx="180">
                  <c:v>628.35599999999999</c:v>
                </c:pt>
                <c:pt idx="181">
                  <c:v>624.78600000000006</c:v>
                </c:pt>
                <c:pt idx="182">
                  <c:v>621.19949999999994</c:v>
                </c:pt>
                <c:pt idx="183">
                  <c:v>617.36850000000004</c:v>
                </c:pt>
                <c:pt idx="184">
                  <c:v>613.80899999999997</c:v>
                </c:pt>
                <c:pt idx="185">
                  <c:v>609.87450000000001</c:v>
                </c:pt>
                <c:pt idx="186">
                  <c:v>589.69949999999994</c:v>
                </c:pt>
                <c:pt idx="187">
                  <c:v>585.03</c:v>
                </c:pt>
                <c:pt idx="188">
                  <c:v>581.94900000000007</c:v>
                </c:pt>
                <c:pt idx="189">
                  <c:v>579.2595</c:v>
                </c:pt>
                <c:pt idx="190">
                  <c:v>576.21299999999997</c:v>
                </c:pt>
                <c:pt idx="191">
                  <c:v>573.303</c:v>
                </c:pt>
                <c:pt idx="192">
                  <c:v>570.11249999999995</c:v>
                </c:pt>
                <c:pt idx="193">
                  <c:v>567</c:v>
                </c:pt>
                <c:pt idx="194">
                  <c:v>563.85450000000003</c:v>
                </c:pt>
                <c:pt idx="195">
                  <c:v>560.51250000000005</c:v>
                </c:pt>
                <c:pt idx="196">
                  <c:v>557.37149999999997</c:v>
                </c:pt>
                <c:pt idx="197">
                  <c:v>553.98749999999995</c:v>
                </c:pt>
                <c:pt idx="198">
                  <c:v>550.75350000000003</c:v>
                </c:pt>
                <c:pt idx="199">
                  <c:v>547.71749999999997</c:v>
                </c:pt>
                <c:pt idx="200">
                  <c:v>544.11149999999998</c:v>
                </c:pt>
                <c:pt idx="201">
                  <c:v>541.20899999999995</c:v>
                </c:pt>
                <c:pt idx="202">
                  <c:v>537.86249999999995</c:v>
                </c:pt>
                <c:pt idx="203">
                  <c:v>534.774</c:v>
                </c:pt>
                <c:pt idx="204">
                  <c:v>531.43799999999999</c:v>
                </c:pt>
                <c:pt idx="205">
                  <c:v>528.26549999999997</c:v>
                </c:pt>
                <c:pt idx="206">
                  <c:v>525.12149999999997</c:v>
                </c:pt>
                <c:pt idx="207">
                  <c:v>521.78700000000003</c:v>
                </c:pt>
                <c:pt idx="208">
                  <c:v>518.73450000000003</c:v>
                </c:pt>
                <c:pt idx="209">
                  <c:v>515.37450000000001</c:v>
                </c:pt>
                <c:pt idx="210">
                  <c:v>512.202</c:v>
                </c:pt>
                <c:pt idx="211">
                  <c:v>509.226</c:v>
                </c:pt>
                <c:pt idx="212">
                  <c:v>505.70100000000002</c:v>
                </c:pt>
                <c:pt idx="213">
                  <c:v>502.911</c:v>
                </c:pt>
                <c:pt idx="214">
                  <c:v>499.65000000000003</c:v>
                </c:pt>
                <c:pt idx="215">
                  <c:v>496.64549999999997</c:v>
                </c:pt>
                <c:pt idx="216">
                  <c:v>493.36200000000002</c:v>
                </c:pt>
                <c:pt idx="217">
                  <c:v>490.29449999999997</c:v>
                </c:pt>
                <c:pt idx="218">
                  <c:v>487.23449999999997</c:v>
                </c:pt>
                <c:pt idx="219">
                  <c:v>484.06200000000001</c:v>
                </c:pt>
                <c:pt idx="220">
                  <c:v>481.149</c:v>
                </c:pt>
                <c:pt idx="221">
                  <c:v>478.02449999999999</c:v>
                </c:pt>
                <c:pt idx="222">
                  <c:v>475.06499999999994</c:v>
                </c:pt>
                <c:pt idx="223">
                  <c:v>472.30649999999997</c:v>
                </c:pt>
                <c:pt idx="224">
                  <c:v>469.01849999999996</c:v>
                </c:pt>
                <c:pt idx="225">
                  <c:v>466.34249999999997</c:v>
                </c:pt>
                <c:pt idx="226">
                  <c:v>463.24950000000001</c:v>
                </c:pt>
                <c:pt idx="227">
                  <c:v>460.37849999999997</c:v>
                </c:pt>
                <c:pt idx="228">
                  <c:v>457.32449999999994</c:v>
                </c:pt>
                <c:pt idx="229">
                  <c:v>454.428</c:v>
                </c:pt>
                <c:pt idx="230">
                  <c:v>451.51199999999994</c:v>
                </c:pt>
                <c:pt idx="231">
                  <c:v>448.46250000000003</c:v>
                </c:pt>
                <c:pt idx="232">
                  <c:v>445.65750000000003</c:v>
                </c:pt>
                <c:pt idx="233">
                  <c:v>442.61249999999995</c:v>
                </c:pt>
                <c:pt idx="234">
                  <c:v>439.72950000000003</c:v>
                </c:pt>
                <c:pt idx="235">
                  <c:v>436.99650000000003</c:v>
                </c:pt>
                <c:pt idx="236">
                  <c:v>433.91399999999999</c:v>
                </c:pt>
                <c:pt idx="237">
                  <c:v>431.31000000000006</c:v>
                </c:pt>
                <c:pt idx="238">
                  <c:v>428.38799999999998</c:v>
                </c:pt>
                <c:pt idx="239">
                  <c:v>425.77049999999997</c:v>
                </c:pt>
                <c:pt idx="240">
                  <c:v>422.96250000000003</c:v>
                </c:pt>
                <c:pt idx="241">
                  <c:v>420.36300000000006</c:v>
                </c:pt>
                <c:pt idx="242">
                  <c:v>417.83399999999995</c:v>
                </c:pt>
                <c:pt idx="243">
                  <c:v>415.18799999999999</c:v>
                </c:pt>
                <c:pt idx="244">
                  <c:v>412.851</c:v>
                </c:pt>
                <c:pt idx="245">
                  <c:v>410.37450000000001</c:v>
                </c:pt>
                <c:pt idx="246">
                  <c:v>408.08399999999995</c:v>
                </c:pt>
                <c:pt idx="247">
                  <c:v>405.96749999999997</c:v>
                </c:pt>
                <c:pt idx="248">
                  <c:v>403.48649999999998</c:v>
                </c:pt>
                <c:pt idx="249">
                  <c:v>401.553</c:v>
                </c:pt>
                <c:pt idx="250">
                  <c:v>399.29999999999995</c:v>
                </c:pt>
                <c:pt idx="251">
                  <c:v>397.27049999999997</c:v>
                </c:pt>
                <c:pt idx="252">
                  <c:v>395.09999999999997</c:v>
                </c:pt>
                <c:pt idx="253">
                  <c:v>393.09749999999997</c:v>
                </c:pt>
                <c:pt idx="254">
                  <c:v>391.101</c:v>
                </c:pt>
                <c:pt idx="255">
                  <c:v>389.07449999999994</c:v>
                </c:pt>
                <c:pt idx="256">
                  <c:v>387.25349999999997</c:v>
                </c:pt>
                <c:pt idx="257">
                  <c:v>385.24950000000001</c:v>
                </c:pt>
                <c:pt idx="258">
                  <c:v>383.41949999999997</c:v>
                </c:pt>
                <c:pt idx="259">
                  <c:v>381.714</c:v>
                </c:pt>
                <c:pt idx="260">
                  <c:v>379.6875</c:v>
                </c:pt>
                <c:pt idx="261">
                  <c:v>378.072</c:v>
                </c:pt>
                <c:pt idx="262">
                  <c:v>376.20000000000005</c:v>
                </c:pt>
                <c:pt idx="263">
                  <c:v>374.553</c:v>
                </c:pt>
                <c:pt idx="264">
                  <c:v>372.738</c:v>
                </c:pt>
                <c:pt idx="265">
                  <c:v>371.03249999999997</c:v>
                </c:pt>
                <c:pt idx="266">
                  <c:v>369.351</c:v>
                </c:pt>
                <c:pt idx="267">
                  <c:v>367.57500000000005</c:v>
                </c:pt>
                <c:pt idx="268">
                  <c:v>365.952</c:v>
                </c:pt>
                <c:pt idx="269">
                  <c:v>364.21199999999999</c:v>
                </c:pt>
                <c:pt idx="270">
                  <c:v>362.601</c:v>
                </c:pt>
                <c:pt idx="271">
                  <c:v>361.065</c:v>
                </c:pt>
                <c:pt idx="272">
                  <c:v>359.26349999999996</c:v>
                </c:pt>
                <c:pt idx="273">
                  <c:v>357.81</c:v>
                </c:pt>
                <c:pt idx="274">
                  <c:v>356.12549999999999</c:v>
                </c:pt>
                <c:pt idx="275">
                  <c:v>354.58050000000003</c:v>
                </c:pt>
                <c:pt idx="276">
                  <c:v>352.90049999999997</c:v>
                </c:pt>
                <c:pt idx="277">
                  <c:v>351.339</c:v>
                </c:pt>
                <c:pt idx="278">
                  <c:v>349.75350000000003</c:v>
                </c:pt>
                <c:pt idx="279">
                  <c:v>348.13800000000003</c:v>
                </c:pt>
                <c:pt idx="280">
                  <c:v>347.00850000000003</c:v>
                </c:pt>
                <c:pt idx="281">
                  <c:v>345.42449999999997</c:v>
                </c:pt>
                <c:pt idx="282">
                  <c:v>343.512</c:v>
                </c:pt>
                <c:pt idx="283">
                  <c:v>342.012</c:v>
                </c:pt>
                <c:pt idx="284">
                  <c:v>340.37099999999998</c:v>
                </c:pt>
                <c:pt idx="285">
                  <c:v>338.988</c:v>
                </c:pt>
                <c:pt idx="286">
                  <c:v>337.42499999999995</c:v>
                </c:pt>
                <c:pt idx="287">
                  <c:v>336.024</c:v>
                </c:pt>
                <c:pt idx="288">
                  <c:v>334.488</c:v>
                </c:pt>
                <c:pt idx="289">
                  <c:v>336.459</c:v>
                </c:pt>
                <c:pt idx="290">
                  <c:v>337.161</c:v>
                </c:pt>
                <c:pt idx="291">
                  <c:v>337.27499999999998</c:v>
                </c:pt>
                <c:pt idx="292">
                  <c:v>337.041</c:v>
                </c:pt>
                <c:pt idx="293">
                  <c:v>336.12450000000001</c:v>
                </c:pt>
                <c:pt idx="294">
                  <c:v>335.649</c:v>
                </c:pt>
                <c:pt idx="295">
                  <c:v>335.10449999999997</c:v>
                </c:pt>
                <c:pt idx="296">
                  <c:v>334.45950000000005</c:v>
                </c:pt>
                <c:pt idx="297">
                  <c:v>333.822</c:v>
                </c:pt>
                <c:pt idx="298">
                  <c:v>333.012</c:v>
                </c:pt>
                <c:pt idx="299">
                  <c:v>332.178</c:v>
                </c:pt>
                <c:pt idx="300">
                  <c:v>331.17449999999997</c:v>
                </c:pt>
                <c:pt idx="301">
                  <c:v>330.15749999999997</c:v>
                </c:pt>
                <c:pt idx="302">
                  <c:v>329.06849999999997</c:v>
                </c:pt>
                <c:pt idx="303">
                  <c:v>327.88800000000003</c:v>
                </c:pt>
                <c:pt idx="304">
                  <c:v>328.149</c:v>
                </c:pt>
                <c:pt idx="305">
                  <c:v>328.24950000000001</c:v>
                </c:pt>
                <c:pt idx="306">
                  <c:v>328.62149999999997</c:v>
                </c:pt>
                <c:pt idx="307">
                  <c:v>329.19</c:v>
                </c:pt>
                <c:pt idx="308">
                  <c:v>328.8075</c:v>
                </c:pt>
                <c:pt idx="309">
                  <c:v>328.791</c:v>
                </c:pt>
                <c:pt idx="310">
                  <c:v>328.58699999999999</c:v>
                </c:pt>
                <c:pt idx="311">
                  <c:v>328.22249999999997</c:v>
                </c:pt>
                <c:pt idx="312">
                  <c:v>327.61199999999997</c:v>
                </c:pt>
                <c:pt idx="313">
                  <c:v>326.601</c:v>
                </c:pt>
                <c:pt idx="314">
                  <c:v>325.815</c:v>
                </c:pt>
                <c:pt idx="315">
                  <c:v>324.86249999999995</c:v>
                </c:pt>
                <c:pt idx="316">
                  <c:v>323.87850000000003</c:v>
                </c:pt>
                <c:pt idx="317">
                  <c:v>322.77449999999999</c:v>
                </c:pt>
                <c:pt idx="318">
                  <c:v>321.65250000000003</c:v>
                </c:pt>
                <c:pt idx="319">
                  <c:v>320.334</c:v>
                </c:pt>
                <c:pt idx="320">
                  <c:v>318.96449999999999</c:v>
                </c:pt>
                <c:pt idx="321">
                  <c:v>317.84250000000003</c:v>
                </c:pt>
                <c:pt idx="322">
                  <c:v>316.37549999999999</c:v>
                </c:pt>
                <c:pt idx="323">
                  <c:v>314.81849999999997</c:v>
                </c:pt>
                <c:pt idx="324">
                  <c:v>313.33799999999997</c:v>
                </c:pt>
                <c:pt idx="325">
                  <c:v>311.51549999999997</c:v>
                </c:pt>
                <c:pt idx="326">
                  <c:v>309.786</c:v>
                </c:pt>
                <c:pt idx="327">
                  <c:v>308.0505</c:v>
                </c:pt>
                <c:pt idx="328">
                  <c:v>306.459</c:v>
                </c:pt>
                <c:pt idx="329">
                  <c:v>304.73699999999997</c:v>
                </c:pt>
                <c:pt idx="330">
                  <c:v>303.06</c:v>
                </c:pt>
                <c:pt idx="331">
                  <c:v>301.416</c:v>
                </c:pt>
                <c:pt idx="332">
                  <c:v>299.65049999999997</c:v>
                </c:pt>
                <c:pt idx="333">
                  <c:v>298.185</c:v>
                </c:pt>
                <c:pt idx="334">
                  <c:v>296.54999999999995</c:v>
                </c:pt>
                <c:pt idx="335">
                  <c:v>295.077</c:v>
                </c:pt>
                <c:pt idx="336">
                  <c:v>293.35050000000001</c:v>
                </c:pt>
                <c:pt idx="337">
                  <c:v>291.702</c:v>
                </c:pt>
                <c:pt idx="338">
                  <c:v>290.08050000000003</c:v>
                </c:pt>
                <c:pt idx="339">
                  <c:v>288.40049999999997</c:v>
                </c:pt>
                <c:pt idx="340">
                  <c:v>286.863</c:v>
                </c:pt>
                <c:pt idx="341">
                  <c:v>285.1875</c:v>
                </c:pt>
                <c:pt idx="342">
                  <c:v>283.59749999999997</c:v>
                </c:pt>
                <c:pt idx="343">
                  <c:v>282.072</c:v>
                </c:pt>
                <c:pt idx="344">
                  <c:v>280.3125</c:v>
                </c:pt>
                <c:pt idx="345">
                  <c:v>278.87850000000003</c:v>
                </c:pt>
                <c:pt idx="346">
                  <c:v>277.21199999999999</c:v>
                </c:pt>
                <c:pt idx="347">
                  <c:v>275.685</c:v>
                </c:pt>
                <c:pt idx="348">
                  <c:v>274.04999999999995</c:v>
                </c:pt>
                <c:pt idx="349">
                  <c:v>272.47949999999997</c:v>
                </c:pt>
                <c:pt idx="350">
                  <c:v>270.91949999999997</c:v>
                </c:pt>
                <c:pt idx="351">
                  <c:v>269.28750000000002</c:v>
                </c:pt>
                <c:pt idx="352">
                  <c:v>267.798</c:v>
                </c:pt>
                <c:pt idx="353">
                  <c:v>266.21249999999998</c:v>
                </c:pt>
                <c:pt idx="354">
                  <c:v>264.714</c:v>
                </c:pt>
                <c:pt idx="355">
                  <c:v>263.25</c:v>
                </c:pt>
                <c:pt idx="356">
                  <c:v>261.57599999999996</c:v>
                </c:pt>
                <c:pt idx="357">
                  <c:v>260.214</c:v>
                </c:pt>
                <c:pt idx="358">
                  <c:v>258.61199999999997</c:v>
                </c:pt>
                <c:pt idx="359">
                  <c:v>257.11649999999997</c:v>
                </c:pt>
                <c:pt idx="360">
                  <c:v>255.51300000000003</c:v>
                </c:pt>
                <c:pt idx="361">
                  <c:v>253.959</c:v>
                </c:pt>
                <c:pt idx="362">
                  <c:v>252.363</c:v>
                </c:pt>
                <c:pt idx="363">
                  <c:v>250.6755</c:v>
                </c:pt>
                <c:pt idx="364">
                  <c:v>249.10950000000003</c:v>
                </c:pt>
                <c:pt idx="365">
                  <c:v>247.45050000000003</c:v>
                </c:pt>
                <c:pt idx="366">
                  <c:v>245.85449999999997</c:v>
                </c:pt>
                <c:pt idx="367">
                  <c:v>244.31849999999997</c:v>
                </c:pt>
                <c:pt idx="368">
                  <c:v>242.53199999999998</c:v>
                </c:pt>
                <c:pt idx="369">
                  <c:v>241.053</c:v>
                </c:pt>
                <c:pt idx="370">
                  <c:v>239.35050000000001</c:v>
                </c:pt>
                <c:pt idx="371">
                  <c:v>237.762</c:v>
                </c:pt>
                <c:pt idx="372">
                  <c:v>236.0505</c:v>
                </c:pt>
                <c:pt idx="373">
                  <c:v>234.423</c:v>
                </c:pt>
                <c:pt idx="374">
                  <c:v>232.791</c:v>
                </c:pt>
                <c:pt idx="375">
                  <c:v>231.07500000000002</c:v>
                </c:pt>
                <c:pt idx="376">
                  <c:v>229.524</c:v>
                </c:pt>
                <c:pt idx="377">
                  <c:v>227.8245</c:v>
                </c:pt>
                <c:pt idx="378">
                  <c:v>226.28249999999997</c:v>
                </c:pt>
                <c:pt idx="379">
                  <c:v>224.7585</c:v>
                </c:pt>
                <c:pt idx="380">
                  <c:v>223.09950000000001</c:v>
                </c:pt>
                <c:pt idx="381">
                  <c:v>221.649</c:v>
                </c:pt>
                <c:pt idx="382">
                  <c:v>220.03800000000001</c:v>
                </c:pt>
                <c:pt idx="383">
                  <c:v>218.553</c:v>
                </c:pt>
                <c:pt idx="384">
                  <c:v>216.96299999999999</c:v>
                </c:pt>
                <c:pt idx="385">
                  <c:v>215.43150000000003</c:v>
                </c:pt>
                <c:pt idx="386">
                  <c:v>213.9195</c:v>
                </c:pt>
                <c:pt idx="387">
                  <c:v>212.37450000000001</c:v>
                </c:pt>
                <c:pt idx="388">
                  <c:v>210.94349999999997</c:v>
                </c:pt>
                <c:pt idx="389">
                  <c:v>209.4255</c:v>
                </c:pt>
                <c:pt idx="390">
                  <c:v>208.041</c:v>
                </c:pt>
                <c:pt idx="391">
                  <c:v>206.685</c:v>
                </c:pt>
                <c:pt idx="392">
                  <c:v>205.16549999999998</c:v>
                </c:pt>
                <c:pt idx="393">
                  <c:v>203.916</c:v>
                </c:pt>
                <c:pt idx="394">
                  <c:v>202.488</c:v>
                </c:pt>
                <c:pt idx="395">
                  <c:v>201.1695</c:v>
                </c:pt>
                <c:pt idx="396">
                  <c:v>199.76250000000002</c:v>
                </c:pt>
                <c:pt idx="397">
                  <c:v>198.447</c:v>
                </c:pt>
                <c:pt idx="398">
                  <c:v>197.1525</c:v>
                </c:pt>
                <c:pt idx="399">
                  <c:v>195.78750000000002</c:v>
                </c:pt>
                <c:pt idx="400">
                  <c:v>194.565</c:v>
                </c:pt>
                <c:pt idx="401">
                  <c:v>193.22550000000001</c:v>
                </c:pt>
                <c:pt idx="402">
                  <c:v>191.976</c:v>
                </c:pt>
                <c:pt idx="403">
                  <c:v>190.7775</c:v>
                </c:pt>
                <c:pt idx="404">
                  <c:v>189.40199999999999</c:v>
                </c:pt>
                <c:pt idx="405">
                  <c:v>188.322</c:v>
                </c:pt>
                <c:pt idx="406">
                  <c:v>187.08749999999998</c:v>
                </c:pt>
                <c:pt idx="407">
                  <c:v>185.94</c:v>
                </c:pt>
                <c:pt idx="408">
                  <c:v>184.73699999999999</c:v>
                </c:pt>
                <c:pt idx="409">
                  <c:v>183.5925</c:v>
                </c:pt>
                <c:pt idx="410">
                  <c:v>182.4555</c:v>
                </c:pt>
                <c:pt idx="411">
                  <c:v>181.27499999999998</c:v>
                </c:pt>
                <c:pt idx="412">
                  <c:v>180.2055</c:v>
                </c:pt>
                <c:pt idx="413">
                  <c:v>179.0505</c:v>
                </c:pt>
                <c:pt idx="414">
                  <c:v>177.9555</c:v>
                </c:pt>
                <c:pt idx="415">
                  <c:v>176.928</c:v>
                </c:pt>
                <c:pt idx="416">
                  <c:v>175.72800000000001</c:v>
                </c:pt>
                <c:pt idx="417">
                  <c:v>174.786</c:v>
                </c:pt>
                <c:pt idx="418">
                  <c:v>173.7</c:v>
                </c:pt>
                <c:pt idx="419">
                  <c:v>172.6935</c:v>
                </c:pt>
                <c:pt idx="420">
                  <c:v>171.64950000000002</c:v>
                </c:pt>
                <c:pt idx="421">
                  <c:v>170.661</c:v>
                </c:pt>
                <c:pt idx="422">
                  <c:v>169.6935</c:v>
                </c:pt>
                <c:pt idx="423">
                  <c:v>168.64950000000002</c:v>
                </c:pt>
                <c:pt idx="424">
                  <c:v>167.7345</c:v>
                </c:pt>
                <c:pt idx="425">
                  <c:v>166.75049999999999</c:v>
                </c:pt>
                <c:pt idx="426">
                  <c:v>165.798</c:v>
                </c:pt>
                <c:pt idx="427">
                  <c:v>164.9025</c:v>
                </c:pt>
                <c:pt idx="428">
                  <c:v>163.92600000000002</c:v>
                </c:pt>
                <c:pt idx="429">
                  <c:v>163.2225</c:v>
                </c:pt>
                <c:pt idx="430">
                  <c:v>162.13800000000001</c:v>
                </c:pt>
                <c:pt idx="431">
                  <c:v>161.25</c:v>
                </c:pt>
                <c:pt idx="432">
                  <c:v>160.33799999999999</c:v>
                </c:pt>
                <c:pt idx="433">
                  <c:v>159.4725</c:v>
                </c:pt>
                <c:pt idx="434">
                  <c:v>158.613</c:v>
                </c:pt>
                <c:pt idx="435">
                  <c:v>157.75049999999999</c:v>
                </c:pt>
                <c:pt idx="436">
                  <c:v>156.9315</c:v>
                </c:pt>
                <c:pt idx="437">
                  <c:v>156.07499999999999</c:v>
                </c:pt>
                <c:pt idx="438">
                  <c:v>155.262</c:v>
                </c:pt>
                <c:pt idx="439">
                  <c:v>154.512</c:v>
                </c:pt>
                <c:pt idx="440">
                  <c:v>153.64350000000002</c:v>
                </c:pt>
                <c:pt idx="441">
                  <c:v>152.928</c:v>
                </c:pt>
                <c:pt idx="442">
                  <c:v>152.12549999999999</c:v>
                </c:pt>
                <c:pt idx="443">
                  <c:v>151.3905</c:v>
                </c:pt>
                <c:pt idx="444">
                  <c:v>150.60000000000002</c:v>
                </c:pt>
                <c:pt idx="445">
                  <c:v>149.86695</c:v>
                </c:pt>
                <c:pt idx="446">
                  <c:v>149.10480000000001</c:v>
                </c:pt>
                <c:pt idx="447">
                  <c:v>148.36245</c:v>
                </c:pt>
                <c:pt idx="448">
                  <c:v>147.65325000000001</c:v>
                </c:pt>
                <c:pt idx="449">
                  <c:v>146.89994999999999</c:v>
                </c:pt>
                <c:pt idx="450">
                  <c:v>146.20155</c:v>
                </c:pt>
                <c:pt idx="451">
                  <c:v>145.53629999999998</c:v>
                </c:pt>
                <c:pt idx="452">
                  <c:v>144.77685</c:v>
                </c:pt>
                <c:pt idx="453">
                  <c:v>144.15719999999999</c:v>
                </c:pt>
                <c:pt idx="454">
                  <c:v>143.46254999999999</c:v>
                </c:pt>
                <c:pt idx="455">
                  <c:v>142.80240000000001</c:v>
                </c:pt>
                <c:pt idx="456">
                  <c:v>142.08749999999998</c:v>
                </c:pt>
                <c:pt idx="457">
                  <c:v>141.41129999999998</c:v>
                </c:pt>
                <c:pt idx="458">
                  <c:v>140.75805</c:v>
                </c:pt>
                <c:pt idx="459">
                  <c:v>140.05005</c:v>
                </c:pt>
                <c:pt idx="460">
                  <c:v>139.41540000000001</c:v>
                </c:pt>
                <c:pt idx="461">
                  <c:v>138.73755</c:v>
                </c:pt>
                <c:pt idx="462">
                  <c:v>138.12090000000001</c:v>
                </c:pt>
                <c:pt idx="463">
                  <c:v>137.50409999999999</c:v>
                </c:pt>
                <c:pt idx="464">
                  <c:v>136.82145</c:v>
                </c:pt>
                <c:pt idx="465">
                  <c:v>136.27019999999999</c:v>
                </c:pt>
                <c:pt idx="466">
                  <c:v>135.61245</c:v>
                </c:pt>
                <c:pt idx="467">
                  <c:v>135.03629999999998</c:v>
                </c:pt>
                <c:pt idx="468">
                  <c:v>134.39999999999998</c:v>
                </c:pt>
                <c:pt idx="469">
                  <c:v>133.81455</c:v>
                </c:pt>
                <c:pt idx="470">
                  <c:v>133.23390000000001</c:v>
                </c:pt>
                <c:pt idx="471">
                  <c:v>132.61245</c:v>
                </c:pt>
                <c:pt idx="472">
                  <c:v>132.07259999999999</c:v>
                </c:pt>
                <c:pt idx="473">
                  <c:v>132.01245</c:v>
                </c:pt>
                <c:pt idx="474">
                  <c:v>131.86695</c:v>
                </c:pt>
                <c:pt idx="475">
                  <c:v>131.47980000000001</c:v>
                </c:pt>
                <c:pt idx="476">
                  <c:v>130.9008</c:v>
                </c:pt>
                <c:pt idx="477">
                  <c:v>130.29435000000001</c:v>
                </c:pt>
                <c:pt idx="478">
                  <c:v>129.57495</c:v>
                </c:pt>
                <c:pt idx="479">
                  <c:v>128.89109999999999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ED5-4B7A-A185-BA3C3DDB3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429952"/>
        <c:axId val="527431264"/>
      </c:areaChart>
      <c:lineChart>
        <c:grouping val="standard"/>
        <c:varyColors val="0"/>
        <c:ser>
          <c:idx val="24"/>
          <c:order val="24"/>
          <c:tx>
            <c:strRef>
              <c:f>'FPSO1 Base'!$AA$2</c:f>
              <c:strCache>
                <c:ptCount val="1"/>
                <c:pt idx="0">
                  <c:v>LIMITE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'FPSO1 Base'!$AA$3:$AA$730</c:f>
              <c:numCache>
                <c:formatCode>General</c:formatCode>
                <c:ptCount val="728"/>
                <c:pt idx="0">
                  <c:v>15000</c:v>
                </c:pt>
                <c:pt idx="1">
                  <c:v>15000</c:v>
                </c:pt>
                <c:pt idx="2">
                  <c:v>15000</c:v>
                </c:pt>
                <c:pt idx="3">
                  <c:v>15000</c:v>
                </c:pt>
                <c:pt idx="4">
                  <c:v>15000</c:v>
                </c:pt>
                <c:pt idx="5">
                  <c:v>15000</c:v>
                </c:pt>
                <c:pt idx="6">
                  <c:v>15000</c:v>
                </c:pt>
                <c:pt idx="7">
                  <c:v>15000</c:v>
                </c:pt>
                <c:pt idx="8">
                  <c:v>15000</c:v>
                </c:pt>
                <c:pt idx="9">
                  <c:v>15000</c:v>
                </c:pt>
                <c:pt idx="10">
                  <c:v>15000</c:v>
                </c:pt>
                <c:pt idx="11">
                  <c:v>15000</c:v>
                </c:pt>
                <c:pt idx="12">
                  <c:v>15000</c:v>
                </c:pt>
                <c:pt idx="13">
                  <c:v>15000</c:v>
                </c:pt>
                <c:pt idx="14">
                  <c:v>15000</c:v>
                </c:pt>
                <c:pt idx="15">
                  <c:v>15000</c:v>
                </c:pt>
                <c:pt idx="16">
                  <c:v>15000</c:v>
                </c:pt>
                <c:pt idx="17">
                  <c:v>15000</c:v>
                </c:pt>
                <c:pt idx="18">
                  <c:v>15000</c:v>
                </c:pt>
                <c:pt idx="19">
                  <c:v>15000</c:v>
                </c:pt>
                <c:pt idx="20">
                  <c:v>15000</c:v>
                </c:pt>
                <c:pt idx="21">
                  <c:v>15000</c:v>
                </c:pt>
                <c:pt idx="22">
                  <c:v>15000</c:v>
                </c:pt>
                <c:pt idx="23">
                  <c:v>15000</c:v>
                </c:pt>
                <c:pt idx="24">
                  <c:v>15000</c:v>
                </c:pt>
                <c:pt idx="25">
                  <c:v>15000</c:v>
                </c:pt>
                <c:pt idx="26">
                  <c:v>15000</c:v>
                </c:pt>
                <c:pt idx="27">
                  <c:v>15000</c:v>
                </c:pt>
                <c:pt idx="28">
                  <c:v>15000</c:v>
                </c:pt>
                <c:pt idx="29">
                  <c:v>15000</c:v>
                </c:pt>
                <c:pt idx="30">
                  <c:v>15000</c:v>
                </c:pt>
                <c:pt idx="31">
                  <c:v>15000</c:v>
                </c:pt>
                <c:pt idx="32">
                  <c:v>15000</c:v>
                </c:pt>
                <c:pt idx="33">
                  <c:v>15000</c:v>
                </c:pt>
                <c:pt idx="34">
                  <c:v>15000</c:v>
                </c:pt>
                <c:pt idx="35">
                  <c:v>15000</c:v>
                </c:pt>
                <c:pt idx="36">
                  <c:v>15000</c:v>
                </c:pt>
                <c:pt idx="37">
                  <c:v>15000</c:v>
                </c:pt>
                <c:pt idx="38">
                  <c:v>15000</c:v>
                </c:pt>
                <c:pt idx="39">
                  <c:v>15000</c:v>
                </c:pt>
                <c:pt idx="40">
                  <c:v>15000</c:v>
                </c:pt>
                <c:pt idx="41">
                  <c:v>15000</c:v>
                </c:pt>
                <c:pt idx="42">
                  <c:v>15000</c:v>
                </c:pt>
                <c:pt idx="43">
                  <c:v>15000</c:v>
                </c:pt>
                <c:pt idx="44">
                  <c:v>15000</c:v>
                </c:pt>
                <c:pt idx="45">
                  <c:v>15000</c:v>
                </c:pt>
                <c:pt idx="46">
                  <c:v>15000</c:v>
                </c:pt>
                <c:pt idx="47">
                  <c:v>15000</c:v>
                </c:pt>
                <c:pt idx="48">
                  <c:v>15000</c:v>
                </c:pt>
                <c:pt idx="49">
                  <c:v>15000</c:v>
                </c:pt>
                <c:pt idx="50">
                  <c:v>15000</c:v>
                </c:pt>
                <c:pt idx="51">
                  <c:v>15000</c:v>
                </c:pt>
                <c:pt idx="52">
                  <c:v>15000</c:v>
                </c:pt>
                <c:pt idx="53">
                  <c:v>15000</c:v>
                </c:pt>
                <c:pt idx="54">
                  <c:v>15000</c:v>
                </c:pt>
                <c:pt idx="55">
                  <c:v>15000</c:v>
                </c:pt>
                <c:pt idx="56">
                  <c:v>15000</c:v>
                </c:pt>
                <c:pt idx="57">
                  <c:v>15000</c:v>
                </c:pt>
                <c:pt idx="58">
                  <c:v>15000</c:v>
                </c:pt>
                <c:pt idx="59">
                  <c:v>15000</c:v>
                </c:pt>
                <c:pt idx="60">
                  <c:v>15000</c:v>
                </c:pt>
                <c:pt idx="61">
                  <c:v>15000</c:v>
                </c:pt>
                <c:pt idx="62">
                  <c:v>15000</c:v>
                </c:pt>
                <c:pt idx="63">
                  <c:v>15000</c:v>
                </c:pt>
                <c:pt idx="64">
                  <c:v>15000</c:v>
                </c:pt>
                <c:pt idx="65">
                  <c:v>15000</c:v>
                </c:pt>
                <c:pt idx="66">
                  <c:v>15000</c:v>
                </c:pt>
                <c:pt idx="67">
                  <c:v>15000</c:v>
                </c:pt>
                <c:pt idx="68">
                  <c:v>15000</c:v>
                </c:pt>
                <c:pt idx="69">
                  <c:v>15000</c:v>
                </c:pt>
                <c:pt idx="70">
                  <c:v>15000</c:v>
                </c:pt>
                <c:pt idx="71">
                  <c:v>15000</c:v>
                </c:pt>
                <c:pt idx="72">
                  <c:v>15000</c:v>
                </c:pt>
                <c:pt idx="73">
                  <c:v>15000</c:v>
                </c:pt>
                <c:pt idx="74">
                  <c:v>15000</c:v>
                </c:pt>
                <c:pt idx="75">
                  <c:v>15000</c:v>
                </c:pt>
                <c:pt idx="76">
                  <c:v>15000</c:v>
                </c:pt>
                <c:pt idx="77">
                  <c:v>15000</c:v>
                </c:pt>
                <c:pt idx="78">
                  <c:v>15000</c:v>
                </c:pt>
                <c:pt idx="79">
                  <c:v>15000</c:v>
                </c:pt>
                <c:pt idx="80">
                  <c:v>15000</c:v>
                </c:pt>
                <c:pt idx="81">
                  <c:v>15000</c:v>
                </c:pt>
                <c:pt idx="82">
                  <c:v>15000</c:v>
                </c:pt>
                <c:pt idx="83">
                  <c:v>15000</c:v>
                </c:pt>
                <c:pt idx="84">
                  <c:v>15000</c:v>
                </c:pt>
                <c:pt idx="85">
                  <c:v>15000</c:v>
                </c:pt>
                <c:pt idx="86">
                  <c:v>15000</c:v>
                </c:pt>
                <c:pt idx="87">
                  <c:v>15000</c:v>
                </c:pt>
                <c:pt idx="88">
                  <c:v>15000</c:v>
                </c:pt>
                <c:pt idx="89">
                  <c:v>15000</c:v>
                </c:pt>
                <c:pt idx="90">
                  <c:v>15000</c:v>
                </c:pt>
                <c:pt idx="91">
                  <c:v>15000</c:v>
                </c:pt>
                <c:pt idx="92">
                  <c:v>15000</c:v>
                </c:pt>
                <c:pt idx="93">
                  <c:v>15000</c:v>
                </c:pt>
                <c:pt idx="94">
                  <c:v>15000</c:v>
                </c:pt>
                <c:pt idx="95">
                  <c:v>15000</c:v>
                </c:pt>
                <c:pt idx="96">
                  <c:v>15000</c:v>
                </c:pt>
                <c:pt idx="97">
                  <c:v>15000</c:v>
                </c:pt>
                <c:pt idx="98">
                  <c:v>15000</c:v>
                </c:pt>
                <c:pt idx="99">
                  <c:v>15000</c:v>
                </c:pt>
                <c:pt idx="100">
                  <c:v>15000</c:v>
                </c:pt>
                <c:pt idx="101">
                  <c:v>15000</c:v>
                </c:pt>
                <c:pt idx="102">
                  <c:v>15000</c:v>
                </c:pt>
                <c:pt idx="103">
                  <c:v>15000</c:v>
                </c:pt>
                <c:pt idx="104">
                  <c:v>15000</c:v>
                </c:pt>
                <c:pt idx="105">
                  <c:v>15000</c:v>
                </c:pt>
                <c:pt idx="106">
                  <c:v>15000</c:v>
                </c:pt>
                <c:pt idx="107">
                  <c:v>15000</c:v>
                </c:pt>
                <c:pt idx="108">
                  <c:v>15000</c:v>
                </c:pt>
                <c:pt idx="109">
                  <c:v>15000</c:v>
                </c:pt>
                <c:pt idx="110">
                  <c:v>15000</c:v>
                </c:pt>
                <c:pt idx="111">
                  <c:v>15000</c:v>
                </c:pt>
                <c:pt idx="112">
                  <c:v>15000</c:v>
                </c:pt>
                <c:pt idx="113">
                  <c:v>15000</c:v>
                </c:pt>
                <c:pt idx="114">
                  <c:v>15000</c:v>
                </c:pt>
                <c:pt idx="115">
                  <c:v>15000</c:v>
                </c:pt>
                <c:pt idx="116">
                  <c:v>15000</c:v>
                </c:pt>
                <c:pt idx="117">
                  <c:v>15000</c:v>
                </c:pt>
                <c:pt idx="118">
                  <c:v>15000</c:v>
                </c:pt>
                <c:pt idx="119">
                  <c:v>15000</c:v>
                </c:pt>
                <c:pt idx="120">
                  <c:v>15000</c:v>
                </c:pt>
                <c:pt idx="121">
                  <c:v>15000</c:v>
                </c:pt>
                <c:pt idx="122">
                  <c:v>15000</c:v>
                </c:pt>
                <c:pt idx="123">
                  <c:v>15000</c:v>
                </c:pt>
                <c:pt idx="124">
                  <c:v>15000</c:v>
                </c:pt>
                <c:pt idx="125">
                  <c:v>15000</c:v>
                </c:pt>
                <c:pt idx="126">
                  <c:v>15000</c:v>
                </c:pt>
                <c:pt idx="127">
                  <c:v>15000</c:v>
                </c:pt>
                <c:pt idx="128">
                  <c:v>15000</c:v>
                </c:pt>
                <c:pt idx="129">
                  <c:v>15000</c:v>
                </c:pt>
                <c:pt idx="130">
                  <c:v>15000</c:v>
                </c:pt>
                <c:pt idx="131">
                  <c:v>15000</c:v>
                </c:pt>
                <c:pt idx="132">
                  <c:v>15000</c:v>
                </c:pt>
                <c:pt idx="133">
                  <c:v>15000</c:v>
                </c:pt>
                <c:pt idx="134">
                  <c:v>15000</c:v>
                </c:pt>
                <c:pt idx="135">
                  <c:v>15000</c:v>
                </c:pt>
                <c:pt idx="136">
                  <c:v>15000</c:v>
                </c:pt>
                <c:pt idx="137">
                  <c:v>15000</c:v>
                </c:pt>
                <c:pt idx="138">
                  <c:v>15000</c:v>
                </c:pt>
                <c:pt idx="139">
                  <c:v>15000</c:v>
                </c:pt>
                <c:pt idx="140">
                  <c:v>15000</c:v>
                </c:pt>
                <c:pt idx="141">
                  <c:v>15000</c:v>
                </c:pt>
                <c:pt idx="142">
                  <c:v>15000</c:v>
                </c:pt>
                <c:pt idx="143">
                  <c:v>15000</c:v>
                </c:pt>
                <c:pt idx="144">
                  <c:v>15000</c:v>
                </c:pt>
                <c:pt idx="145">
                  <c:v>15000</c:v>
                </c:pt>
                <c:pt idx="146">
                  <c:v>15000</c:v>
                </c:pt>
                <c:pt idx="147">
                  <c:v>15000</c:v>
                </c:pt>
                <c:pt idx="148">
                  <c:v>15000</c:v>
                </c:pt>
                <c:pt idx="149">
                  <c:v>15000</c:v>
                </c:pt>
                <c:pt idx="150">
                  <c:v>15000</c:v>
                </c:pt>
                <c:pt idx="151">
                  <c:v>15000</c:v>
                </c:pt>
                <c:pt idx="152">
                  <c:v>15000</c:v>
                </c:pt>
                <c:pt idx="153">
                  <c:v>15000</c:v>
                </c:pt>
                <c:pt idx="154">
                  <c:v>15000</c:v>
                </c:pt>
                <c:pt idx="155">
                  <c:v>15000</c:v>
                </c:pt>
                <c:pt idx="156">
                  <c:v>15000</c:v>
                </c:pt>
                <c:pt idx="157">
                  <c:v>15000</c:v>
                </c:pt>
                <c:pt idx="158">
                  <c:v>15000</c:v>
                </c:pt>
                <c:pt idx="159">
                  <c:v>15000</c:v>
                </c:pt>
                <c:pt idx="160">
                  <c:v>15000</c:v>
                </c:pt>
                <c:pt idx="161">
                  <c:v>15000</c:v>
                </c:pt>
                <c:pt idx="162">
                  <c:v>15000</c:v>
                </c:pt>
                <c:pt idx="163">
                  <c:v>15000</c:v>
                </c:pt>
                <c:pt idx="164">
                  <c:v>15000</c:v>
                </c:pt>
                <c:pt idx="165">
                  <c:v>15000</c:v>
                </c:pt>
                <c:pt idx="166">
                  <c:v>15000</c:v>
                </c:pt>
                <c:pt idx="167">
                  <c:v>15000</c:v>
                </c:pt>
                <c:pt idx="168">
                  <c:v>15000</c:v>
                </c:pt>
                <c:pt idx="169">
                  <c:v>15000</c:v>
                </c:pt>
                <c:pt idx="170">
                  <c:v>15000</c:v>
                </c:pt>
                <c:pt idx="171">
                  <c:v>15000</c:v>
                </c:pt>
                <c:pt idx="172">
                  <c:v>15000</c:v>
                </c:pt>
                <c:pt idx="173">
                  <c:v>15000</c:v>
                </c:pt>
                <c:pt idx="174">
                  <c:v>15000</c:v>
                </c:pt>
                <c:pt idx="175">
                  <c:v>15000</c:v>
                </c:pt>
                <c:pt idx="176">
                  <c:v>15000</c:v>
                </c:pt>
                <c:pt idx="177">
                  <c:v>15000</c:v>
                </c:pt>
                <c:pt idx="178">
                  <c:v>15000</c:v>
                </c:pt>
                <c:pt idx="179">
                  <c:v>15000</c:v>
                </c:pt>
                <c:pt idx="180">
                  <c:v>15000</c:v>
                </c:pt>
                <c:pt idx="181">
                  <c:v>15000</c:v>
                </c:pt>
                <c:pt idx="182">
                  <c:v>15000</c:v>
                </c:pt>
                <c:pt idx="183">
                  <c:v>15000</c:v>
                </c:pt>
                <c:pt idx="184">
                  <c:v>15000</c:v>
                </c:pt>
                <c:pt idx="185">
                  <c:v>15000</c:v>
                </c:pt>
                <c:pt idx="186">
                  <c:v>15000</c:v>
                </c:pt>
                <c:pt idx="187">
                  <c:v>15000</c:v>
                </c:pt>
                <c:pt idx="188">
                  <c:v>15000</c:v>
                </c:pt>
                <c:pt idx="189">
                  <c:v>15000</c:v>
                </c:pt>
                <c:pt idx="190">
                  <c:v>15000</c:v>
                </c:pt>
                <c:pt idx="191">
                  <c:v>15000</c:v>
                </c:pt>
                <c:pt idx="192">
                  <c:v>15000</c:v>
                </c:pt>
                <c:pt idx="193">
                  <c:v>15000</c:v>
                </c:pt>
                <c:pt idx="194">
                  <c:v>15000</c:v>
                </c:pt>
                <c:pt idx="195">
                  <c:v>15000</c:v>
                </c:pt>
                <c:pt idx="196">
                  <c:v>15000</c:v>
                </c:pt>
                <c:pt idx="197">
                  <c:v>15000</c:v>
                </c:pt>
                <c:pt idx="198">
                  <c:v>15000</c:v>
                </c:pt>
                <c:pt idx="199">
                  <c:v>15000</c:v>
                </c:pt>
                <c:pt idx="200">
                  <c:v>15000</c:v>
                </c:pt>
                <c:pt idx="201">
                  <c:v>15000</c:v>
                </c:pt>
                <c:pt idx="202">
                  <c:v>15000</c:v>
                </c:pt>
                <c:pt idx="203">
                  <c:v>15000</c:v>
                </c:pt>
                <c:pt idx="204">
                  <c:v>15000</c:v>
                </c:pt>
                <c:pt idx="205">
                  <c:v>15000</c:v>
                </c:pt>
                <c:pt idx="206">
                  <c:v>15000</c:v>
                </c:pt>
                <c:pt idx="207">
                  <c:v>15000</c:v>
                </c:pt>
                <c:pt idx="208">
                  <c:v>15000</c:v>
                </c:pt>
                <c:pt idx="209">
                  <c:v>15000</c:v>
                </c:pt>
                <c:pt idx="210">
                  <c:v>15000</c:v>
                </c:pt>
                <c:pt idx="211">
                  <c:v>15000</c:v>
                </c:pt>
                <c:pt idx="212">
                  <c:v>15000</c:v>
                </c:pt>
                <c:pt idx="213">
                  <c:v>15000</c:v>
                </c:pt>
                <c:pt idx="214">
                  <c:v>15000</c:v>
                </c:pt>
                <c:pt idx="215">
                  <c:v>15000</c:v>
                </c:pt>
                <c:pt idx="216">
                  <c:v>15000</c:v>
                </c:pt>
                <c:pt idx="217">
                  <c:v>15000</c:v>
                </c:pt>
                <c:pt idx="218">
                  <c:v>15000</c:v>
                </c:pt>
                <c:pt idx="219">
                  <c:v>15000</c:v>
                </c:pt>
                <c:pt idx="220">
                  <c:v>15000</c:v>
                </c:pt>
                <c:pt idx="221">
                  <c:v>15000</c:v>
                </c:pt>
                <c:pt idx="222">
                  <c:v>15000</c:v>
                </c:pt>
                <c:pt idx="223">
                  <c:v>15000</c:v>
                </c:pt>
                <c:pt idx="224">
                  <c:v>15000</c:v>
                </c:pt>
                <c:pt idx="225">
                  <c:v>15000</c:v>
                </c:pt>
                <c:pt idx="226">
                  <c:v>15000</c:v>
                </c:pt>
                <c:pt idx="227">
                  <c:v>15000</c:v>
                </c:pt>
                <c:pt idx="228">
                  <c:v>15000</c:v>
                </c:pt>
                <c:pt idx="229">
                  <c:v>15000</c:v>
                </c:pt>
                <c:pt idx="230">
                  <c:v>15000</c:v>
                </c:pt>
                <c:pt idx="231">
                  <c:v>15000</c:v>
                </c:pt>
                <c:pt idx="232">
                  <c:v>15000</c:v>
                </c:pt>
                <c:pt idx="233">
                  <c:v>15000</c:v>
                </c:pt>
                <c:pt idx="234">
                  <c:v>15000</c:v>
                </c:pt>
                <c:pt idx="235">
                  <c:v>15000</c:v>
                </c:pt>
                <c:pt idx="236">
                  <c:v>15000</c:v>
                </c:pt>
                <c:pt idx="237">
                  <c:v>15000</c:v>
                </c:pt>
                <c:pt idx="238">
                  <c:v>15000</c:v>
                </c:pt>
                <c:pt idx="239">
                  <c:v>15000</c:v>
                </c:pt>
                <c:pt idx="240">
                  <c:v>15000</c:v>
                </c:pt>
                <c:pt idx="241">
                  <c:v>15000</c:v>
                </c:pt>
                <c:pt idx="242">
                  <c:v>15000</c:v>
                </c:pt>
                <c:pt idx="243">
                  <c:v>15000</c:v>
                </c:pt>
                <c:pt idx="244">
                  <c:v>15000</c:v>
                </c:pt>
                <c:pt idx="245">
                  <c:v>15000</c:v>
                </c:pt>
                <c:pt idx="246">
                  <c:v>15000</c:v>
                </c:pt>
                <c:pt idx="247">
                  <c:v>15000</c:v>
                </c:pt>
                <c:pt idx="248">
                  <c:v>15000</c:v>
                </c:pt>
                <c:pt idx="249">
                  <c:v>15000</c:v>
                </c:pt>
                <c:pt idx="250">
                  <c:v>15000</c:v>
                </c:pt>
                <c:pt idx="251">
                  <c:v>15000</c:v>
                </c:pt>
                <c:pt idx="252">
                  <c:v>15000</c:v>
                </c:pt>
                <c:pt idx="253">
                  <c:v>15000</c:v>
                </c:pt>
                <c:pt idx="254">
                  <c:v>15000</c:v>
                </c:pt>
                <c:pt idx="255">
                  <c:v>15000</c:v>
                </c:pt>
                <c:pt idx="256">
                  <c:v>15000</c:v>
                </c:pt>
                <c:pt idx="257">
                  <c:v>15000</c:v>
                </c:pt>
                <c:pt idx="258">
                  <c:v>15000</c:v>
                </c:pt>
                <c:pt idx="259">
                  <c:v>15000</c:v>
                </c:pt>
                <c:pt idx="260">
                  <c:v>15000</c:v>
                </c:pt>
                <c:pt idx="261">
                  <c:v>15000</c:v>
                </c:pt>
                <c:pt idx="262">
                  <c:v>15000</c:v>
                </c:pt>
                <c:pt idx="263">
                  <c:v>15000</c:v>
                </c:pt>
                <c:pt idx="264">
                  <c:v>15000</c:v>
                </c:pt>
                <c:pt idx="265">
                  <c:v>15000</c:v>
                </c:pt>
                <c:pt idx="266">
                  <c:v>15000</c:v>
                </c:pt>
                <c:pt idx="267">
                  <c:v>15000</c:v>
                </c:pt>
                <c:pt idx="268">
                  <c:v>15000</c:v>
                </c:pt>
                <c:pt idx="269">
                  <c:v>15000</c:v>
                </c:pt>
                <c:pt idx="270">
                  <c:v>15000</c:v>
                </c:pt>
                <c:pt idx="271">
                  <c:v>15000</c:v>
                </c:pt>
                <c:pt idx="272">
                  <c:v>15000</c:v>
                </c:pt>
                <c:pt idx="273">
                  <c:v>15000</c:v>
                </c:pt>
                <c:pt idx="274">
                  <c:v>15000</c:v>
                </c:pt>
                <c:pt idx="275">
                  <c:v>15000</c:v>
                </c:pt>
                <c:pt idx="276">
                  <c:v>15000</c:v>
                </c:pt>
                <c:pt idx="277">
                  <c:v>15000</c:v>
                </c:pt>
                <c:pt idx="278">
                  <c:v>15000</c:v>
                </c:pt>
                <c:pt idx="279">
                  <c:v>15000</c:v>
                </c:pt>
                <c:pt idx="280">
                  <c:v>15000</c:v>
                </c:pt>
                <c:pt idx="281">
                  <c:v>15000</c:v>
                </c:pt>
                <c:pt idx="282">
                  <c:v>15000</c:v>
                </c:pt>
                <c:pt idx="283">
                  <c:v>15000</c:v>
                </c:pt>
                <c:pt idx="284">
                  <c:v>15000</c:v>
                </c:pt>
                <c:pt idx="285">
                  <c:v>15000</c:v>
                </c:pt>
                <c:pt idx="286">
                  <c:v>15000</c:v>
                </c:pt>
                <c:pt idx="287">
                  <c:v>15000</c:v>
                </c:pt>
                <c:pt idx="288">
                  <c:v>15000</c:v>
                </c:pt>
                <c:pt idx="289">
                  <c:v>15000</c:v>
                </c:pt>
                <c:pt idx="290">
                  <c:v>15000</c:v>
                </c:pt>
                <c:pt idx="291">
                  <c:v>15000</c:v>
                </c:pt>
                <c:pt idx="292">
                  <c:v>15000</c:v>
                </c:pt>
                <c:pt idx="293">
                  <c:v>15000</c:v>
                </c:pt>
                <c:pt idx="294">
                  <c:v>15000</c:v>
                </c:pt>
                <c:pt idx="295">
                  <c:v>15000</c:v>
                </c:pt>
                <c:pt idx="296">
                  <c:v>15000</c:v>
                </c:pt>
                <c:pt idx="297">
                  <c:v>15000</c:v>
                </c:pt>
                <c:pt idx="298">
                  <c:v>15000</c:v>
                </c:pt>
                <c:pt idx="299">
                  <c:v>15000</c:v>
                </c:pt>
                <c:pt idx="300">
                  <c:v>15000</c:v>
                </c:pt>
                <c:pt idx="301">
                  <c:v>15000</c:v>
                </c:pt>
                <c:pt idx="302">
                  <c:v>15000</c:v>
                </c:pt>
                <c:pt idx="303">
                  <c:v>15000</c:v>
                </c:pt>
                <c:pt idx="304">
                  <c:v>15000</c:v>
                </c:pt>
                <c:pt idx="305">
                  <c:v>15000</c:v>
                </c:pt>
                <c:pt idx="306">
                  <c:v>15000</c:v>
                </c:pt>
                <c:pt idx="307">
                  <c:v>15000</c:v>
                </c:pt>
                <c:pt idx="308">
                  <c:v>15000</c:v>
                </c:pt>
                <c:pt idx="309">
                  <c:v>15000</c:v>
                </c:pt>
                <c:pt idx="310">
                  <c:v>15000</c:v>
                </c:pt>
                <c:pt idx="311">
                  <c:v>15000</c:v>
                </c:pt>
                <c:pt idx="312">
                  <c:v>15000</c:v>
                </c:pt>
                <c:pt idx="313">
                  <c:v>15000</c:v>
                </c:pt>
                <c:pt idx="314">
                  <c:v>15000</c:v>
                </c:pt>
                <c:pt idx="315">
                  <c:v>15000</c:v>
                </c:pt>
                <c:pt idx="316">
                  <c:v>15000</c:v>
                </c:pt>
                <c:pt idx="317">
                  <c:v>15000</c:v>
                </c:pt>
                <c:pt idx="318">
                  <c:v>15000</c:v>
                </c:pt>
                <c:pt idx="319">
                  <c:v>15000</c:v>
                </c:pt>
                <c:pt idx="320">
                  <c:v>15000</c:v>
                </c:pt>
                <c:pt idx="321">
                  <c:v>15000</c:v>
                </c:pt>
                <c:pt idx="322">
                  <c:v>15000</c:v>
                </c:pt>
                <c:pt idx="323">
                  <c:v>15000</c:v>
                </c:pt>
                <c:pt idx="324">
                  <c:v>15000</c:v>
                </c:pt>
                <c:pt idx="325">
                  <c:v>15000</c:v>
                </c:pt>
                <c:pt idx="326">
                  <c:v>15000</c:v>
                </c:pt>
                <c:pt idx="327">
                  <c:v>15000</c:v>
                </c:pt>
                <c:pt idx="328">
                  <c:v>15000</c:v>
                </c:pt>
                <c:pt idx="329">
                  <c:v>15000</c:v>
                </c:pt>
                <c:pt idx="330">
                  <c:v>15000</c:v>
                </c:pt>
                <c:pt idx="331">
                  <c:v>15000</c:v>
                </c:pt>
                <c:pt idx="332">
                  <c:v>15000</c:v>
                </c:pt>
                <c:pt idx="333">
                  <c:v>15000</c:v>
                </c:pt>
                <c:pt idx="334">
                  <c:v>15000</c:v>
                </c:pt>
                <c:pt idx="335">
                  <c:v>15000</c:v>
                </c:pt>
                <c:pt idx="336">
                  <c:v>15000</c:v>
                </c:pt>
                <c:pt idx="337">
                  <c:v>15000</c:v>
                </c:pt>
                <c:pt idx="338">
                  <c:v>15000</c:v>
                </c:pt>
                <c:pt idx="339">
                  <c:v>15000</c:v>
                </c:pt>
                <c:pt idx="340">
                  <c:v>15000</c:v>
                </c:pt>
                <c:pt idx="341">
                  <c:v>15000</c:v>
                </c:pt>
                <c:pt idx="342">
                  <c:v>15000</c:v>
                </c:pt>
                <c:pt idx="343">
                  <c:v>15000</c:v>
                </c:pt>
                <c:pt idx="344">
                  <c:v>15000</c:v>
                </c:pt>
                <c:pt idx="345">
                  <c:v>15000</c:v>
                </c:pt>
                <c:pt idx="346">
                  <c:v>15000</c:v>
                </c:pt>
                <c:pt idx="347">
                  <c:v>15000</c:v>
                </c:pt>
                <c:pt idx="348">
                  <c:v>15000</c:v>
                </c:pt>
                <c:pt idx="349">
                  <c:v>15000</c:v>
                </c:pt>
                <c:pt idx="350">
                  <c:v>15000</c:v>
                </c:pt>
                <c:pt idx="351">
                  <c:v>15000</c:v>
                </c:pt>
                <c:pt idx="352">
                  <c:v>15000</c:v>
                </c:pt>
                <c:pt idx="353">
                  <c:v>15000</c:v>
                </c:pt>
                <c:pt idx="354">
                  <c:v>15000</c:v>
                </c:pt>
                <c:pt idx="355">
                  <c:v>15000</c:v>
                </c:pt>
                <c:pt idx="356">
                  <c:v>15000</c:v>
                </c:pt>
                <c:pt idx="357">
                  <c:v>15000</c:v>
                </c:pt>
                <c:pt idx="358">
                  <c:v>15000</c:v>
                </c:pt>
                <c:pt idx="359">
                  <c:v>15000</c:v>
                </c:pt>
                <c:pt idx="360">
                  <c:v>15000</c:v>
                </c:pt>
                <c:pt idx="361">
                  <c:v>15000</c:v>
                </c:pt>
                <c:pt idx="362">
                  <c:v>15000</c:v>
                </c:pt>
                <c:pt idx="363">
                  <c:v>15000</c:v>
                </c:pt>
                <c:pt idx="364">
                  <c:v>15000</c:v>
                </c:pt>
                <c:pt idx="365">
                  <c:v>15000</c:v>
                </c:pt>
                <c:pt idx="366">
                  <c:v>15000</c:v>
                </c:pt>
                <c:pt idx="367">
                  <c:v>15000</c:v>
                </c:pt>
                <c:pt idx="368">
                  <c:v>15000</c:v>
                </c:pt>
                <c:pt idx="369">
                  <c:v>15000</c:v>
                </c:pt>
                <c:pt idx="370">
                  <c:v>15000</c:v>
                </c:pt>
                <c:pt idx="371">
                  <c:v>15000</c:v>
                </c:pt>
                <c:pt idx="372">
                  <c:v>15000</c:v>
                </c:pt>
                <c:pt idx="373">
                  <c:v>15000</c:v>
                </c:pt>
                <c:pt idx="374">
                  <c:v>15000</c:v>
                </c:pt>
                <c:pt idx="375">
                  <c:v>15000</c:v>
                </c:pt>
                <c:pt idx="376">
                  <c:v>15000</c:v>
                </c:pt>
                <c:pt idx="377">
                  <c:v>15000</c:v>
                </c:pt>
                <c:pt idx="378">
                  <c:v>15000</c:v>
                </c:pt>
                <c:pt idx="379">
                  <c:v>15000</c:v>
                </c:pt>
                <c:pt idx="380">
                  <c:v>15000</c:v>
                </c:pt>
                <c:pt idx="381">
                  <c:v>15000</c:v>
                </c:pt>
                <c:pt idx="382">
                  <c:v>15000</c:v>
                </c:pt>
                <c:pt idx="383">
                  <c:v>15000</c:v>
                </c:pt>
                <c:pt idx="384">
                  <c:v>15000</c:v>
                </c:pt>
                <c:pt idx="385">
                  <c:v>15000</c:v>
                </c:pt>
                <c:pt idx="386">
                  <c:v>15000</c:v>
                </c:pt>
                <c:pt idx="387">
                  <c:v>15000</c:v>
                </c:pt>
                <c:pt idx="388">
                  <c:v>15000</c:v>
                </c:pt>
                <c:pt idx="389">
                  <c:v>15000</c:v>
                </c:pt>
                <c:pt idx="390">
                  <c:v>15000</c:v>
                </c:pt>
                <c:pt idx="391">
                  <c:v>15000</c:v>
                </c:pt>
                <c:pt idx="392">
                  <c:v>15000</c:v>
                </c:pt>
                <c:pt idx="393">
                  <c:v>15000</c:v>
                </c:pt>
                <c:pt idx="394">
                  <c:v>15000</c:v>
                </c:pt>
                <c:pt idx="395">
                  <c:v>15000</c:v>
                </c:pt>
                <c:pt idx="396">
                  <c:v>15000</c:v>
                </c:pt>
                <c:pt idx="397">
                  <c:v>15000</c:v>
                </c:pt>
                <c:pt idx="398">
                  <c:v>15000</c:v>
                </c:pt>
                <c:pt idx="399">
                  <c:v>15000</c:v>
                </c:pt>
                <c:pt idx="400">
                  <c:v>15000</c:v>
                </c:pt>
                <c:pt idx="401">
                  <c:v>15000</c:v>
                </c:pt>
                <c:pt idx="402">
                  <c:v>15000</c:v>
                </c:pt>
                <c:pt idx="403">
                  <c:v>15000</c:v>
                </c:pt>
                <c:pt idx="404">
                  <c:v>15000</c:v>
                </c:pt>
                <c:pt idx="405">
                  <c:v>15000</c:v>
                </c:pt>
                <c:pt idx="406">
                  <c:v>15000</c:v>
                </c:pt>
                <c:pt idx="407">
                  <c:v>15000</c:v>
                </c:pt>
                <c:pt idx="408">
                  <c:v>15000</c:v>
                </c:pt>
                <c:pt idx="409">
                  <c:v>15000</c:v>
                </c:pt>
                <c:pt idx="410">
                  <c:v>15000</c:v>
                </c:pt>
                <c:pt idx="411">
                  <c:v>15000</c:v>
                </c:pt>
                <c:pt idx="412">
                  <c:v>15000</c:v>
                </c:pt>
                <c:pt idx="413">
                  <c:v>15000</c:v>
                </c:pt>
                <c:pt idx="414">
                  <c:v>15000</c:v>
                </c:pt>
                <c:pt idx="415">
                  <c:v>15000</c:v>
                </c:pt>
                <c:pt idx="416">
                  <c:v>15000</c:v>
                </c:pt>
                <c:pt idx="417">
                  <c:v>15000</c:v>
                </c:pt>
                <c:pt idx="418">
                  <c:v>15000</c:v>
                </c:pt>
                <c:pt idx="419">
                  <c:v>15000</c:v>
                </c:pt>
                <c:pt idx="420">
                  <c:v>15000</c:v>
                </c:pt>
                <c:pt idx="421">
                  <c:v>15000</c:v>
                </c:pt>
                <c:pt idx="422">
                  <c:v>15000</c:v>
                </c:pt>
                <c:pt idx="423">
                  <c:v>15000</c:v>
                </c:pt>
                <c:pt idx="424">
                  <c:v>15000</c:v>
                </c:pt>
                <c:pt idx="425">
                  <c:v>15000</c:v>
                </c:pt>
                <c:pt idx="426">
                  <c:v>15000</c:v>
                </c:pt>
                <c:pt idx="427">
                  <c:v>15000</c:v>
                </c:pt>
                <c:pt idx="428">
                  <c:v>15000</c:v>
                </c:pt>
                <c:pt idx="429">
                  <c:v>15000</c:v>
                </c:pt>
                <c:pt idx="430">
                  <c:v>15000</c:v>
                </c:pt>
                <c:pt idx="431">
                  <c:v>15000</c:v>
                </c:pt>
                <c:pt idx="432">
                  <c:v>15000</c:v>
                </c:pt>
                <c:pt idx="433">
                  <c:v>15000</c:v>
                </c:pt>
                <c:pt idx="434">
                  <c:v>15000</c:v>
                </c:pt>
                <c:pt idx="435">
                  <c:v>15000</c:v>
                </c:pt>
                <c:pt idx="436">
                  <c:v>15000</c:v>
                </c:pt>
                <c:pt idx="437">
                  <c:v>15000</c:v>
                </c:pt>
                <c:pt idx="438">
                  <c:v>15000</c:v>
                </c:pt>
                <c:pt idx="439">
                  <c:v>15000</c:v>
                </c:pt>
                <c:pt idx="440">
                  <c:v>15000</c:v>
                </c:pt>
                <c:pt idx="441">
                  <c:v>15000</c:v>
                </c:pt>
                <c:pt idx="442">
                  <c:v>15000</c:v>
                </c:pt>
                <c:pt idx="443">
                  <c:v>15000</c:v>
                </c:pt>
                <c:pt idx="444">
                  <c:v>15000</c:v>
                </c:pt>
                <c:pt idx="445">
                  <c:v>15000</c:v>
                </c:pt>
                <c:pt idx="446">
                  <c:v>15000</c:v>
                </c:pt>
                <c:pt idx="447">
                  <c:v>15000</c:v>
                </c:pt>
                <c:pt idx="448">
                  <c:v>15000</c:v>
                </c:pt>
                <c:pt idx="449">
                  <c:v>15000</c:v>
                </c:pt>
                <c:pt idx="450">
                  <c:v>15000</c:v>
                </c:pt>
                <c:pt idx="451">
                  <c:v>15000</c:v>
                </c:pt>
                <c:pt idx="452">
                  <c:v>15000</c:v>
                </c:pt>
                <c:pt idx="453">
                  <c:v>15000</c:v>
                </c:pt>
                <c:pt idx="454">
                  <c:v>15000</c:v>
                </c:pt>
                <c:pt idx="455">
                  <c:v>15000</c:v>
                </c:pt>
                <c:pt idx="456">
                  <c:v>15000</c:v>
                </c:pt>
                <c:pt idx="457">
                  <c:v>15000</c:v>
                </c:pt>
                <c:pt idx="458">
                  <c:v>15000</c:v>
                </c:pt>
                <c:pt idx="459">
                  <c:v>15000</c:v>
                </c:pt>
                <c:pt idx="460">
                  <c:v>15000</c:v>
                </c:pt>
                <c:pt idx="461">
                  <c:v>15000</c:v>
                </c:pt>
                <c:pt idx="462">
                  <c:v>15000</c:v>
                </c:pt>
                <c:pt idx="463">
                  <c:v>15000</c:v>
                </c:pt>
                <c:pt idx="464">
                  <c:v>15000</c:v>
                </c:pt>
                <c:pt idx="465">
                  <c:v>15000</c:v>
                </c:pt>
                <c:pt idx="466">
                  <c:v>15000</c:v>
                </c:pt>
                <c:pt idx="467">
                  <c:v>15000</c:v>
                </c:pt>
                <c:pt idx="468">
                  <c:v>15000</c:v>
                </c:pt>
                <c:pt idx="469">
                  <c:v>15000</c:v>
                </c:pt>
                <c:pt idx="470">
                  <c:v>15000</c:v>
                </c:pt>
                <c:pt idx="471">
                  <c:v>15000</c:v>
                </c:pt>
                <c:pt idx="472">
                  <c:v>15000</c:v>
                </c:pt>
                <c:pt idx="473">
                  <c:v>15000</c:v>
                </c:pt>
                <c:pt idx="474">
                  <c:v>15000</c:v>
                </c:pt>
                <c:pt idx="475">
                  <c:v>15000</c:v>
                </c:pt>
                <c:pt idx="476">
                  <c:v>15000</c:v>
                </c:pt>
                <c:pt idx="477">
                  <c:v>15000</c:v>
                </c:pt>
                <c:pt idx="478">
                  <c:v>15000</c:v>
                </c:pt>
                <c:pt idx="479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ED5-4B7A-A185-BA3C3DDB3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429952"/>
        <c:axId val="527431264"/>
      </c:lineChart>
      <c:dateAx>
        <c:axId val="527429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7431264"/>
        <c:crosses val="autoZero"/>
        <c:auto val="1"/>
        <c:lblOffset val="100"/>
        <c:baseTimeUnit val="months"/>
      </c:dateAx>
      <c:valAx>
        <c:axId val="52743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Qo (m³/d)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74299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FPSO1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'FPSO1 Otim'!$C$5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Otim'!$C$6:$C$733</c:f>
              <c:numCache>
                <c:formatCode>General</c:formatCode>
                <c:ptCount val="728"/>
                <c:pt idx="0">
                  <c:v>53.941499999999998</c:v>
                </c:pt>
                <c:pt idx="1">
                  <c:v>1672.1775000000002</c:v>
                </c:pt>
                <c:pt idx="2">
                  <c:v>1672.1744999999999</c:v>
                </c:pt>
                <c:pt idx="3">
                  <c:v>1672.1714999999999</c:v>
                </c:pt>
                <c:pt idx="4">
                  <c:v>1672.17</c:v>
                </c:pt>
                <c:pt idx="5">
                  <c:v>1672.17</c:v>
                </c:pt>
                <c:pt idx="6">
                  <c:v>1672.1669999999999</c:v>
                </c:pt>
                <c:pt idx="7">
                  <c:v>1672.1669999999999</c:v>
                </c:pt>
                <c:pt idx="8">
                  <c:v>1672.1640000000002</c:v>
                </c:pt>
                <c:pt idx="9">
                  <c:v>1672.1625000000001</c:v>
                </c:pt>
                <c:pt idx="10">
                  <c:v>1672.1625000000001</c:v>
                </c:pt>
                <c:pt idx="11">
                  <c:v>1672.1594999999998</c:v>
                </c:pt>
                <c:pt idx="12">
                  <c:v>1745.9565</c:v>
                </c:pt>
                <c:pt idx="13">
                  <c:v>1745.9549999999999</c:v>
                </c:pt>
                <c:pt idx="14">
                  <c:v>1745.9535000000001</c:v>
                </c:pt>
                <c:pt idx="15">
                  <c:v>1745.9505000000001</c:v>
                </c:pt>
                <c:pt idx="16">
                  <c:v>1745.9520000000002</c:v>
                </c:pt>
                <c:pt idx="17">
                  <c:v>1745.9445000000001</c:v>
                </c:pt>
                <c:pt idx="18">
                  <c:v>1745.943</c:v>
                </c:pt>
                <c:pt idx="19">
                  <c:v>1745.94</c:v>
                </c:pt>
                <c:pt idx="20">
                  <c:v>1745.9324999999999</c:v>
                </c:pt>
                <c:pt idx="21">
                  <c:v>1745.913</c:v>
                </c:pt>
                <c:pt idx="22">
                  <c:v>1745.9070000000002</c:v>
                </c:pt>
                <c:pt idx="23">
                  <c:v>1745.8815</c:v>
                </c:pt>
                <c:pt idx="24">
                  <c:v>1700.8425</c:v>
                </c:pt>
                <c:pt idx="25">
                  <c:v>1700.7915000000003</c:v>
                </c:pt>
                <c:pt idx="26">
                  <c:v>1700.7345</c:v>
                </c:pt>
                <c:pt idx="27">
                  <c:v>1700.6655000000001</c:v>
                </c:pt>
                <c:pt idx="28">
                  <c:v>1700.58</c:v>
                </c:pt>
                <c:pt idx="29">
                  <c:v>1700.4945</c:v>
                </c:pt>
                <c:pt idx="30">
                  <c:v>1700.4119999999998</c:v>
                </c:pt>
                <c:pt idx="31">
                  <c:v>1700.3235</c:v>
                </c:pt>
                <c:pt idx="32">
                  <c:v>1700.22</c:v>
                </c:pt>
                <c:pt idx="33">
                  <c:v>1700.1285000000003</c:v>
                </c:pt>
                <c:pt idx="34">
                  <c:v>1700.0249999999999</c:v>
                </c:pt>
                <c:pt idx="35">
                  <c:v>1699.9275000000002</c:v>
                </c:pt>
                <c:pt idx="36">
                  <c:v>1701.6405</c:v>
                </c:pt>
                <c:pt idx="37">
                  <c:v>1701.5595000000001</c:v>
                </c:pt>
                <c:pt idx="38">
                  <c:v>1701.4634999999998</c:v>
                </c:pt>
                <c:pt idx="39">
                  <c:v>1701.3674999999998</c:v>
                </c:pt>
                <c:pt idx="40">
                  <c:v>1701.2804999999998</c:v>
                </c:pt>
                <c:pt idx="41">
                  <c:v>1701.1725000000001</c:v>
                </c:pt>
                <c:pt idx="42">
                  <c:v>1701.0675000000001</c:v>
                </c:pt>
                <c:pt idx="43">
                  <c:v>1700.9670000000001</c:v>
                </c:pt>
                <c:pt idx="44">
                  <c:v>1700.8425</c:v>
                </c:pt>
                <c:pt idx="45">
                  <c:v>1700.7195000000002</c:v>
                </c:pt>
                <c:pt idx="46">
                  <c:v>1700.598</c:v>
                </c:pt>
                <c:pt idx="47">
                  <c:v>1700.4584999999997</c:v>
                </c:pt>
                <c:pt idx="48">
                  <c:v>1689.5325</c:v>
                </c:pt>
                <c:pt idx="49">
                  <c:v>1689.4094999999998</c:v>
                </c:pt>
                <c:pt idx="50">
                  <c:v>1689.2655</c:v>
                </c:pt>
                <c:pt idx="51">
                  <c:v>1689.123</c:v>
                </c:pt>
                <c:pt idx="52">
                  <c:v>1688.9715000000001</c:v>
                </c:pt>
                <c:pt idx="53">
                  <c:v>1688.8125</c:v>
                </c:pt>
                <c:pt idx="54">
                  <c:v>1688.652</c:v>
                </c:pt>
                <c:pt idx="55">
                  <c:v>1688.4869999999999</c:v>
                </c:pt>
                <c:pt idx="56">
                  <c:v>1688.3235</c:v>
                </c:pt>
                <c:pt idx="57">
                  <c:v>1688.1554999999998</c:v>
                </c:pt>
                <c:pt idx="58">
                  <c:v>1687.9949999999999</c:v>
                </c:pt>
                <c:pt idx="59">
                  <c:v>1687.8255000000001</c:v>
                </c:pt>
                <c:pt idx="60">
                  <c:v>1678.6695</c:v>
                </c:pt>
                <c:pt idx="61">
                  <c:v>1678.5209999999997</c:v>
                </c:pt>
                <c:pt idx="62">
                  <c:v>1678.356</c:v>
                </c:pt>
                <c:pt idx="63">
                  <c:v>1678.2105000000001</c:v>
                </c:pt>
                <c:pt idx="64">
                  <c:v>1678.038</c:v>
                </c:pt>
                <c:pt idx="65">
                  <c:v>1677.8685</c:v>
                </c:pt>
                <c:pt idx="66">
                  <c:v>1677.7305000000001</c:v>
                </c:pt>
                <c:pt idx="67">
                  <c:v>1677.5535</c:v>
                </c:pt>
                <c:pt idx="68">
                  <c:v>1677.405</c:v>
                </c:pt>
                <c:pt idx="69">
                  <c:v>1677.258</c:v>
                </c:pt>
                <c:pt idx="70">
                  <c:v>1677.0990000000002</c:v>
                </c:pt>
                <c:pt idx="71">
                  <c:v>1676.9505000000001</c:v>
                </c:pt>
                <c:pt idx="72">
                  <c:v>1651.6934999999999</c:v>
                </c:pt>
                <c:pt idx="73">
                  <c:v>1651.5720000000001</c:v>
                </c:pt>
                <c:pt idx="74">
                  <c:v>1651.4459999999999</c:v>
                </c:pt>
                <c:pt idx="75">
                  <c:v>1651.2945</c:v>
                </c:pt>
                <c:pt idx="76">
                  <c:v>1651.1744999999999</c:v>
                </c:pt>
                <c:pt idx="77">
                  <c:v>1651.038</c:v>
                </c:pt>
                <c:pt idx="78">
                  <c:v>1650.8910000000001</c:v>
                </c:pt>
                <c:pt idx="79">
                  <c:v>1650.7725</c:v>
                </c:pt>
                <c:pt idx="80">
                  <c:v>1650.6345000000001</c:v>
                </c:pt>
                <c:pt idx="81">
                  <c:v>1650.5010000000002</c:v>
                </c:pt>
                <c:pt idx="82">
                  <c:v>1650.366</c:v>
                </c:pt>
                <c:pt idx="83">
                  <c:v>1650.2415000000001</c:v>
                </c:pt>
                <c:pt idx="84">
                  <c:v>1641.1334999999999</c:v>
                </c:pt>
                <c:pt idx="85">
                  <c:v>1641.03</c:v>
                </c:pt>
                <c:pt idx="86">
                  <c:v>1640.8845000000001</c:v>
                </c:pt>
                <c:pt idx="87">
                  <c:v>1640.7599999999998</c:v>
                </c:pt>
                <c:pt idx="88">
                  <c:v>1634.9790000000003</c:v>
                </c:pt>
                <c:pt idx="89">
                  <c:v>1630.2614999999998</c:v>
                </c:pt>
                <c:pt idx="90">
                  <c:v>1625.5515</c:v>
                </c:pt>
                <c:pt idx="91">
                  <c:v>1621.0155</c:v>
                </c:pt>
                <c:pt idx="92">
                  <c:v>1616.7360000000001</c:v>
                </c:pt>
                <c:pt idx="93">
                  <c:v>1612.4505000000001</c:v>
                </c:pt>
                <c:pt idx="94">
                  <c:v>1608.4109999999998</c:v>
                </c:pt>
                <c:pt idx="95">
                  <c:v>1604.346</c:v>
                </c:pt>
                <c:pt idx="96">
                  <c:v>1594.3530000000001</c:v>
                </c:pt>
                <c:pt idx="97">
                  <c:v>1591.1609999999998</c:v>
                </c:pt>
                <c:pt idx="98">
                  <c:v>1587.5954999999999</c:v>
                </c:pt>
                <c:pt idx="99">
                  <c:v>1584.192</c:v>
                </c:pt>
                <c:pt idx="100">
                  <c:v>1580.7314999999999</c:v>
                </c:pt>
                <c:pt idx="101">
                  <c:v>1577.442</c:v>
                </c:pt>
                <c:pt idx="102">
                  <c:v>1574.0684999999999</c:v>
                </c:pt>
                <c:pt idx="103">
                  <c:v>1570.761</c:v>
                </c:pt>
                <c:pt idx="104">
                  <c:v>1567.6019999999999</c:v>
                </c:pt>
                <c:pt idx="105">
                  <c:v>1564.3815</c:v>
                </c:pt>
                <c:pt idx="106">
                  <c:v>1561.3035</c:v>
                </c:pt>
                <c:pt idx="107">
                  <c:v>1558.1685</c:v>
                </c:pt>
                <c:pt idx="108">
                  <c:v>1547.7495000000001</c:v>
                </c:pt>
                <c:pt idx="109">
                  <c:v>1545.2460000000001</c:v>
                </c:pt>
                <c:pt idx="110">
                  <c:v>1542.5280000000002</c:v>
                </c:pt>
                <c:pt idx="111">
                  <c:v>1539.8685</c:v>
                </c:pt>
                <c:pt idx="112">
                  <c:v>1537.1174999999998</c:v>
                </c:pt>
                <c:pt idx="113">
                  <c:v>1534.4475</c:v>
                </c:pt>
                <c:pt idx="114">
                  <c:v>1531.731</c:v>
                </c:pt>
                <c:pt idx="115">
                  <c:v>1529.001</c:v>
                </c:pt>
                <c:pt idx="116">
                  <c:v>1526.367</c:v>
                </c:pt>
                <c:pt idx="117">
                  <c:v>1523.6505000000002</c:v>
                </c:pt>
                <c:pt idx="118">
                  <c:v>1521.0450000000001</c:v>
                </c:pt>
                <c:pt idx="119">
                  <c:v>1518.3344999999999</c:v>
                </c:pt>
                <c:pt idx="120">
                  <c:v>1501.3110000000001</c:v>
                </c:pt>
                <c:pt idx="121">
                  <c:v>1499.5815</c:v>
                </c:pt>
                <c:pt idx="122">
                  <c:v>1497.4725000000001</c:v>
                </c:pt>
                <c:pt idx="123">
                  <c:v>1495.3364999999999</c:v>
                </c:pt>
                <c:pt idx="124">
                  <c:v>1493.0294999999999</c:v>
                </c:pt>
                <c:pt idx="125">
                  <c:v>1490.7465</c:v>
                </c:pt>
                <c:pt idx="126">
                  <c:v>1488.3525</c:v>
                </c:pt>
                <c:pt idx="127">
                  <c:v>1485.8475000000001</c:v>
                </c:pt>
                <c:pt idx="128">
                  <c:v>1483.3980000000001</c:v>
                </c:pt>
                <c:pt idx="129">
                  <c:v>1480.7909999999999</c:v>
                </c:pt>
                <c:pt idx="130">
                  <c:v>1478.1975</c:v>
                </c:pt>
                <c:pt idx="131">
                  <c:v>1475.4524999999999</c:v>
                </c:pt>
                <c:pt idx="132">
                  <c:v>1465.5765000000001</c:v>
                </c:pt>
                <c:pt idx="133">
                  <c:v>1463.2739999999999</c:v>
                </c:pt>
                <c:pt idx="134">
                  <c:v>1460.4960000000001</c:v>
                </c:pt>
                <c:pt idx="135">
                  <c:v>1457.6655000000001</c:v>
                </c:pt>
                <c:pt idx="136">
                  <c:v>1454.472</c:v>
                </c:pt>
                <c:pt idx="137">
                  <c:v>1451.3910000000001</c:v>
                </c:pt>
                <c:pt idx="138">
                  <c:v>1447.9515000000001</c:v>
                </c:pt>
                <c:pt idx="139">
                  <c:v>1444.5014999999999</c:v>
                </c:pt>
                <c:pt idx="140">
                  <c:v>1441.1129999999998</c:v>
                </c:pt>
                <c:pt idx="141">
                  <c:v>1437.6030000000001</c:v>
                </c:pt>
                <c:pt idx="142">
                  <c:v>1434.204</c:v>
                </c:pt>
                <c:pt idx="143">
                  <c:v>1430.751</c:v>
                </c:pt>
                <c:pt idx="144">
                  <c:v>1427.3009999999999</c:v>
                </c:pt>
                <c:pt idx="145">
                  <c:v>1424.2725</c:v>
                </c:pt>
                <c:pt idx="146">
                  <c:v>1420.9214999999999</c:v>
                </c:pt>
                <c:pt idx="147">
                  <c:v>1417.7730000000001</c:v>
                </c:pt>
                <c:pt idx="148">
                  <c:v>1414.566</c:v>
                </c:pt>
                <c:pt idx="149">
                  <c:v>1411.4985000000001</c:v>
                </c:pt>
                <c:pt idx="150">
                  <c:v>1408.3530000000001</c:v>
                </c:pt>
                <c:pt idx="151">
                  <c:v>1405.2345</c:v>
                </c:pt>
                <c:pt idx="152">
                  <c:v>1402.173</c:v>
                </c:pt>
                <c:pt idx="153">
                  <c:v>1398.9960000000001</c:v>
                </c:pt>
                <c:pt idx="154">
                  <c:v>1395.8985</c:v>
                </c:pt>
                <c:pt idx="155">
                  <c:v>1392.5940000000001</c:v>
                </c:pt>
                <c:pt idx="156">
                  <c:v>1351.8375000000001</c:v>
                </c:pt>
                <c:pt idx="157">
                  <c:v>1350.51</c:v>
                </c:pt>
                <c:pt idx="158">
                  <c:v>1348.152</c:v>
                </c:pt>
                <c:pt idx="159">
                  <c:v>1344.9465</c:v>
                </c:pt>
                <c:pt idx="160">
                  <c:v>1340.6624999999999</c:v>
                </c:pt>
                <c:pt idx="161">
                  <c:v>1335.6195</c:v>
                </c:pt>
                <c:pt idx="162">
                  <c:v>1329.8174999999999</c:v>
                </c:pt>
                <c:pt idx="163">
                  <c:v>1323.8174999999999</c:v>
                </c:pt>
                <c:pt idx="164">
                  <c:v>1318.2375000000002</c:v>
                </c:pt>
                <c:pt idx="165">
                  <c:v>1312.854</c:v>
                </c:pt>
                <c:pt idx="166">
                  <c:v>1308.1544999999999</c:v>
                </c:pt>
                <c:pt idx="167">
                  <c:v>1303.7339999999999</c:v>
                </c:pt>
                <c:pt idx="168">
                  <c:v>1299.8835000000001</c:v>
                </c:pt>
                <c:pt idx="169">
                  <c:v>1296.7004999999999</c:v>
                </c:pt>
                <c:pt idx="170">
                  <c:v>1293.5985000000001</c:v>
                </c:pt>
                <c:pt idx="171">
                  <c:v>1290.8444999999999</c:v>
                </c:pt>
                <c:pt idx="172">
                  <c:v>1288.2825</c:v>
                </c:pt>
                <c:pt idx="173">
                  <c:v>1286.0355</c:v>
                </c:pt>
                <c:pt idx="174">
                  <c:v>1283.8409999999999</c:v>
                </c:pt>
                <c:pt idx="175">
                  <c:v>1281.8085000000001</c:v>
                </c:pt>
                <c:pt idx="176">
                  <c:v>1279.9559999999999</c:v>
                </c:pt>
                <c:pt idx="177">
                  <c:v>1278.1005</c:v>
                </c:pt>
                <c:pt idx="178">
                  <c:v>1276.3664999999999</c:v>
                </c:pt>
                <c:pt idx="179">
                  <c:v>1274.6505000000002</c:v>
                </c:pt>
                <c:pt idx="180">
                  <c:v>1272.9960000000001</c:v>
                </c:pt>
                <c:pt idx="181">
                  <c:v>1271.4839999999999</c:v>
                </c:pt>
                <c:pt idx="182">
                  <c:v>1269.8775000000001</c:v>
                </c:pt>
                <c:pt idx="183">
                  <c:v>1268.3595</c:v>
                </c:pt>
                <c:pt idx="184">
                  <c:v>1266.7350000000001</c:v>
                </c:pt>
                <c:pt idx="185">
                  <c:v>1265.259</c:v>
                </c:pt>
                <c:pt idx="186">
                  <c:v>1263.6869999999999</c:v>
                </c:pt>
                <c:pt idx="187">
                  <c:v>1262.1524999999999</c:v>
                </c:pt>
                <c:pt idx="188">
                  <c:v>1260.5955000000001</c:v>
                </c:pt>
                <c:pt idx="189">
                  <c:v>1259.0564999999999</c:v>
                </c:pt>
                <c:pt idx="190">
                  <c:v>1257.519</c:v>
                </c:pt>
                <c:pt idx="191">
                  <c:v>1255.914</c:v>
                </c:pt>
                <c:pt idx="192">
                  <c:v>1254.3075000000001</c:v>
                </c:pt>
                <c:pt idx="193">
                  <c:v>1252.8344999999999</c:v>
                </c:pt>
                <c:pt idx="194">
                  <c:v>1251.2130000000002</c:v>
                </c:pt>
                <c:pt idx="195">
                  <c:v>1249.56</c:v>
                </c:pt>
                <c:pt idx="196">
                  <c:v>1247.9279999999999</c:v>
                </c:pt>
                <c:pt idx="197">
                  <c:v>1246.2885000000001</c:v>
                </c:pt>
                <c:pt idx="198">
                  <c:v>1244.5259999999998</c:v>
                </c:pt>
                <c:pt idx="199">
                  <c:v>1242.8249999999998</c:v>
                </c:pt>
                <c:pt idx="200">
                  <c:v>1241.1374999999998</c:v>
                </c:pt>
                <c:pt idx="201">
                  <c:v>1239.3285000000001</c:v>
                </c:pt>
                <c:pt idx="202">
                  <c:v>1237.5975000000001</c:v>
                </c:pt>
                <c:pt idx="203">
                  <c:v>1235.7375000000002</c:v>
                </c:pt>
                <c:pt idx="204">
                  <c:v>1233.8715</c:v>
                </c:pt>
                <c:pt idx="205">
                  <c:v>1232.0595000000001</c:v>
                </c:pt>
                <c:pt idx="206">
                  <c:v>1230.0674999999999</c:v>
                </c:pt>
                <c:pt idx="207">
                  <c:v>1228.1010000000001</c:v>
                </c:pt>
                <c:pt idx="208">
                  <c:v>1225.98</c:v>
                </c:pt>
                <c:pt idx="209">
                  <c:v>1223.8530000000001</c:v>
                </c:pt>
                <c:pt idx="210">
                  <c:v>1221.5610000000001</c:v>
                </c:pt>
                <c:pt idx="211">
                  <c:v>1218.8924999999999</c:v>
                </c:pt>
                <c:pt idx="212">
                  <c:v>1216.26</c:v>
                </c:pt>
                <c:pt idx="213">
                  <c:v>1213.4580000000001</c:v>
                </c:pt>
                <c:pt idx="214">
                  <c:v>1210.596</c:v>
                </c:pt>
                <c:pt idx="215">
                  <c:v>1207.4100000000001</c:v>
                </c:pt>
                <c:pt idx="216">
                  <c:v>1203.6524999999999</c:v>
                </c:pt>
                <c:pt idx="217">
                  <c:v>1199.472</c:v>
                </c:pt>
                <c:pt idx="218">
                  <c:v>1193.0685000000001</c:v>
                </c:pt>
                <c:pt idx="219">
                  <c:v>1184.6189999999999</c:v>
                </c:pt>
                <c:pt idx="220">
                  <c:v>1172.796</c:v>
                </c:pt>
                <c:pt idx="221">
                  <c:v>1158.6914999999999</c:v>
                </c:pt>
                <c:pt idx="222">
                  <c:v>1141.3724999999999</c:v>
                </c:pt>
                <c:pt idx="223">
                  <c:v>1121.7165</c:v>
                </c:pt>
                <c:pt idx="224">
                  <c:v>1100.9279999999999</c:v>
                </c:pt>
                <c:pt idx="225">
                  <c:v>1078.527</c:v>
                </c:pt>
                <c:pt idx="226">
                  <c:v>1055.0535</c:v>
                </c:pt>
                <c:pt idx="227">
                  <c:v>1031.1555000000001</c:v>
                </c:pt>
                <c:pt idx="228">
                  <c:v>1008.3795</c:v>
                </c:pt>
                <c:pt idx="229">
                  <c:v>988.84799999999996</c:v>
                </c:pt>
                <c:pt idx="230">
                  <c:v>968.71050000000002</c:v>
                </c:pt>
                <c:pt idx="231">
                  <c:v>950.41499999999996</c:v>
                </c:pt>
                <c:pt idx="232">
                  <c:v>932.86950000000002</c:v>
                </c:pt>
                <c:pt idx="233">
                  <c:v>916.96800000000007</c:v>
                </c:pt>
                <c:pt idx="234">
                  <c:v>901.80000000000007</c:v>
                </c:pt>
                <c:pt idx="235">
                  <c:v>887.64750000000004</c:v>
                </c:pt>
                <c:pt idx="236">
                  <c:v>874.85400000000004</c:v>
                </c:pt>
                <c:pt idx="237">
                  <c:v>862.46250000000009</c:v>
                </c:pt>
                <c:pt idx="238">
                  <c:v>851.09850000000006</c:v>
                </c:pt>
                <c:pt idx="239">
                  <c:v>838.83600000000001</c:v>
                </c:pt>
                <c:pt idx="240">
                  <c:v>826.21949999999993</c:v>
                </c:pt>
                <c:pt idx="241">
                  <c:v>815.31600000000003</c:v>
                </c:pt>
                <c:pt idx="242">
                  <c:v>803.94</c:v>
                </c:pt>
                <c:pt idx="243">
                  <c:v>793.21349999999995</c:v>
                </c:pt>
                <c:pt idx="244">
                  <c:v>782.60400000000004</c:v>
                </c:pt>
                <c:pt idx="245">
                  <c:v>772.68000000000006</c:v>
                </c:pt>
                <c:pt idx="246">
                  <c:v>762.99450000000002</c:v>
                </c:pt>
                <c:pt idx="247">
                  <c:v>753.85050000000001</c:v>
                </c:pt>
                <c:pt idx="248">
                  <c:v>745.50749999999994</c:v>
                </c:pt>
                <c:pt idx="249">
                  <c:v>737.43000000000006</c:v>
                </c:pt>
                <c:pt idx="250">
                  <c:v>730.10249999999996</c:v>
                </c:pt>
                <c:pt idx="251">
                  <c:v>723.06600000000003</c:v>
                </c:pt>
                <c:pt idx="252">
                  <c:v>716.52149999999995</c:v>
                </c:pt>
                <c:pt idx="253">
                  <c:v>710.75249999999994</c:v>
                </c:pt>
                <c:pt idx="254">
                  <c:v>705.01499999999999</c:v>
                </c:pt>
                <c:pt idx="255">
                  <c:v>699.78</c:v>
                </c:pt>
                <c:pt idx="256">
                  <c:v>694.71449999999993</c:v>
                </c:pt>
                <c:pt idx="257">
                  <c:v>690.11249999999995</c:v>
                </c:pt>
                <c:pt idx="258">
                  <c:v>685.428</c:v>
                </c:pt>
                <c:pt idx="259">
                  <c:v>680.60849999999994</c:v>
                </c:pt>
                <c:pt idx="260">
                  <c:v>675.12149999999997</c:v>
                </c:pt>
                <c:pt idx="261">
                  <c:v>668.96100000000001</c:v>
                </c:pt>
                <c:pt idx="262">
                  <c:v>663.37950000000001</c:v>
                </c:pt>
                <c:pt idx="263">
                  <c:v>657.88049999999998</c:v>
                </c:pt>
                <c:pt idx="264">
                  <c:v>652.63499999999999</c:v>
                </c:pt>
                <c:pt idx="265">
                  <c:v>648.14099999999996</c:v>
                </c:pt>
                <c:pt idx="266">
                  <c:v>643.39649999999995</c:v>
                </c:pt>
                <c:pt idx="267">
                  <c:v>639.06299999999999</c:v>
                </c:pt>
                <c:pt idx="268">
                  <c:v>634.70249999999999</c:v>
                </c:pt>
                <c:pt idx="269">
                  <c:v>630.73800000000006</c:v>
                </c:pt>
                <c:pt idx="270">
                  <c:v>626.7645</c:v>
                </c:pt>
                <c:pt idx="271">
                  <c:v>622.86599999999999</c:v>
                </c:pt>
                <c:pt idx="272">
                  <c:v>619.23900000000003</c:v>
                </c:pt>
                <c:pt idx="273">
                  <c:v>615.471</c:v>
                </c:pt>
                <c:pt idx="274">
                  <c:v>612.03600000000006</c:v>
                </c:pt>
                <c:pt idx="275">
                  <c:v>608.54849999999999</c:v>
                </c:pt>
                <c:pt idx="276">
                  <c:v>605.19299999999998</c:v>
                </c:pt>
                <c:pt idx="277">
                  <c:v>602.26049999999998</c:v>
                </c:pt>
                <c:pt idx="278">
                  <c:v>599.1690000000001</c:v>
                </c:pt>
                <c:pt idx="279">
                  <c:v>596.23950000000002</c:v>
                </c:pt>
                <c:pt idx="280">
                  <c:v>593.38049999999998</c:v>
                </c:pt>
                <c:pt idx="281">
                  <c:v>590.67450000000008</c:v>
                </c:pt>
                <c:pt idx="282">
                  <c:v>587.99250000000006</c:v>
                </c:pt>
                <c:pt idx="283">
                  <c:v>585.44100000000003</c:v>
                </c:pt>
                <c:pt idx="284">
                  <c:v>583.05600000000004</c:v>
                </c:pt>
                <c:pt idx="285">
                  <c:v>580.74</c:v>
                </c:pt>
                <c:pt idx="286">
                  <c:v>578.53949999999998</c:v>
                </c:pt>
                <c:pt idx="287">
                  <c:v>576.36899999999991</c:v>
                </c:pt>
                <c:pt idx="288">
                  <c:v>574.24199999999996</c:v>
                </c:pt>
                <c:pt idx="289">
                  <c:v>572.38799999999992</c:v>
                </c:pt>
                <c:pt idx="290">
                  <c:v>570.32100000000003</c:v>
                </c:pt>
                <c:pt idx="291">
                  <c:v>568.4085</c:v>
                </c:pt>
                <c:pt idx="292">
                  <c:v>566.42250000000001</c:v>
                </c:pt>
                <c:pt idx="293">
                  <c:v>564.55050000000006</c:v>
                </c:pt>
                <c:pt idx="294">
                  <c:v>562.59449999999993</c:v>
                </c:pt>
                <c:pt idx="295">
                  <c:v>560.68049999999994</c:v>
                </c:pt>
                <c:pt idx="296">
                  <c:v>558.81299999999999</c:v>
                </c:pt>
                <c:pt idx="297">
                  <c:v>556.90049999999997</c:v>
                </c:pt>
                <c:pt idx="298">
                  <c:v>555.10199999999998</c:v>
                </c:pt>
                <c:pt idx="299">
                  <c:v>553.23900000000003</c:v>
                </c:pt>
                <c:pt idx="300">
                  <c:v>551.41949999999997</c:v>
                </c:pt>
                <c:pt idx="301">
                  <c:v>549.69450000000006</c:v>
                </c:pt>
                <c:pt idx="302">
                  <c:v>547.875</c:v>
                </c:pt>
                <c:pt idx="303">
                  <c:v>546.16650000000004</c:v>
                </c:pt>
                <c:pt idx="304">
                  <c:v>544.33050000000003</c:v>
                </c:pt>
                <c:pt idx="305">
                  <c:v>542.60249999999996</c:v>
                </c:pt>
                <c:pt idx="306">
                  <c:v>540.83399999999995</c:v>
                </c:pt>
                <c:pt idx="307">
                  <c:v>539.0385</c:v>
                </c:pt>
                <c:pt idx="308">
                  <c:v>537.32849999999996</c:v>
                </c:pt>
                <c:pt idx="309">
                  <c:v>535.51800000000003</c:v>
                </c:pt>
                <c:pt idx="310">
                  <c:v>533.64300000000003</c:v>
                </c:pt>
                <c:pt idx="311">
                  <c:v>531.17099999999994</c:v>
                </c:pt>
                <c:pt idx="312">
                  <c:v>528.78449999999998</c:v>
                </c:pt>
                <c:pt idx="313">
                  <c:v>526.6635</c:v>
                </c:pt>
                <c:pt idx="314">
                  <c:v>524.34300000000007</c:v>
                </c:pt>
                <c:pt idx="315">
                  <c:v>522.19200000000001</c:v>
                </c:pt>
                <c:pt idx="316">
                  <c:v>519.97199999999998</c:v>
                </c:pt>
                <c:pt idx="317">
                  <c:v>517.89599999999996</c:v>
                </c:pt>
                <c:pt idx="318">
                  <c:v>515.81399999999996</c:v>
                </c:pt>
                <c:pt idx="319">
                  <c:v>513.73500000000001</c:v>
                </c:pt>
                <c:pt idx="320">
                  <c:v>511.767</c:v>
                </c:pt>
                <c:pt idx="321">
                  <c:v>509.76599999999996</c:v>
                </c:pt>
                <c:pt idx="322">
                  <c:v>507.81299999999999</c:v>
                </c:pt>
                <c:pt idx="323">
                  <c:v>505.86750000000001</c:v>
                </c:pt>
                <c:pt idx="324">
                  <c:v>503.90699999999998</c:v>
                </c:pt>
                <c:pt idx="325">
                  <c:v>502.15350000000001</c:v>
                </c:pt>
                <c:pt idx="326">
                  <c:v>500.31450000000001</c:v>
                </c:pt>
                <c:pt idx="327">
                  <c:v>498.55949999999996</c:v>
                </c:pt>
                <c:pt idx="328">
                  <c:v>496.7235</c:v>
                </c:pt>
                <c:pt idx="329">
                  <c:v>495.06899999999996</c:v>
                </c:pt>
                <c:pt idx="330">
                  <c:v>493.32149999999996</c:v>
                </c:pt>
                <c:pt idx="331">
                  <c:v>491.62049999999999</c:v>
                </c:pt>
                <c:pt idx="332">
                  <c:v>489.99</c:v>
                </c:pt>
                <c:pt idx="333">
                  <c:v>488.40750000000003</c:v>
                </c:pt>
                <c:pt idx="334">
                  <c:v>486.76800000000003</c:v>
                </c:pt>
                <c:pt idx="335">
                  <c:v>485.19450000000006</c:v>
                </c:pt>
                <c:pt idx="336">
                  <c:v>483.58799999999997</c:v>
                </c:pt>
                <c:pt idx="337">
                  <c:v>482.19450000000006</c:v>
                </c:pt>
                <c:pt idx="338">
                  <c:v>480.6585</c:v>
                </c:pt>
                <c:pt idx="339">
                  <c:v>479.24850000000004</c:v>
                </c:pt>
                <c:pt idx="340">
                  <c:v>477.68100000000004</c:v>
                </c:pt>
                <c:pt idx="341">
                  <c:v>476.26949999999999</c:v>
                </c:pt>
                <c:pt idx="342">
                  <c:v>474.798</c:v>
                </c:pt>
                <c:pt idx="343">
                  <c:v>473.38049999999998</c:v>
                </c:pt>
                <c:pt idx="344">
                  <c:v>471.92399999999998</c:v>
                </c:pt>
                <c:pt idx="345">
                  <c:v>470.5455</c:v>
                </c:pt>
                <c:pt idx="346">
                  <c:v>469.14</c:v>
                </c:pt>
                <c:pt idx="347">
                  <c:v>467.80500000000001</c:v>
                </c:pt>
                <c:pt idx="348">
                  <c:v>466.43400000000003</c:v>
                </c:pt>
                <c:pt idx="349">
                  <c:v>465.1635</c:v>
                </c:pt>
                <c:pt idx="350">
                  <c:v>463.78800000000001</c:v>
                </c:pt>
                <c:pt idx="351">
                  <c:v>462.59700000000004</c:v>
                </c:pt>
                <c:pt idx="352">
                  <c:v>461.23649999999998</c:v>
                </c:pt>
                <c:pt idx="353">
                  <c:v>460.0095</c:v>
                </c:pt>
                <c:pt idx="354">
                  <c:v>458.733</c:v>
                </c:pt>
                <c:pt idx="355">
                  <c:v>457.40999999999997</c:v>
                </c:pt>
                <c:pt idx="356">
                  <c:v>456.20100000000002</c:v>
                </c:pt>
                <c:pt idx="357">
                  <c:v>454.95150000000001</c:v>
                </c:pt>
                <c:pt idx="358">
                  <c:v>453.61349999999999</c:v>
                </c:pt>
                <c:pt idx="359">
                  <c:v>452.40000000000003</c:v>
                </c:pt>
                <c:pt idx="360">
                  <c:v>451.125</c:v>
                </c:pt>
                <c:pt idx="361">
                  <c:v>449.91600000000005</c:v>
                </c:pt>
                <c:pt idx="362">
                  <c:v>448.66800000000001</c:v>
                </c:pt>
                <c:pt idx="363">
                  <c:v>447.36300000000006</c:v>
                </c:pt>
                <c:pt idx="364">
                  <c:v>446.21100000000001</c:v>
                </c:pt>
                <c:pt idx="365">
                  <c:v>444.87299999999999</c:v>
                </c:pt>
                <c:pt idx="366">
                  <c:v>443.61149999999998</c:v>
                </c:pt>
                <c:pt idx="367">
                  <c:v>442.42949999999996</c:v>
                </c:pt>
                <c:pt idx="368">
                  <c:v>441.06450000000001</c:v>
                </c:pt>
                <c:pt idx="369">
                  <c:v>439.92599999999999</c:v>
                </c:pt>
                <c:pt idx="370">
                  <c:v>438.62250000000006</c:v>
                </c:pt>
                <c:pt idx="371">
                  <c:v>437.37450000000001</c:v>
                </c:pt>
                <c:pt idx="372">
                  <c:v>436.14600000000002</c:v>
                </c:pt>
                <c:pt idx="373">
                  <c:v>435.00600000000003</c:v>
                </c:pt>
                <c:pt idx="374">
                  <c:v>433.7355</c:v>
                </c:pt>
                <c:pt idx="375">
                  <c:v>432.56850000000003</c:v>
                </c:pt>
                <c:pt idx="376">
                  <c:v>431.27850000000001</c:v>
                </c:pt>
                <c:pt idx="377">
                  <c:v>430.029</c:v>
                </c:pt>
                <c:pt idx="378">
                  <c:v>428.82149999999996</c:v>
                </c:pt>
                <c:pt idx="379">
                  <c:v>427.54499999999996</c:v>
                </c:pt>
                <c:pt idx="380">
                  <c:v>426.36750000000001</c:v>
                </c:pt>
                <c:pt idx="381">
                  <c:v>425.13599999999997</c:v>
                </c:pt>
                <c:pt idx="382">
                  <c:v>423.92550000000006</c:v>
                </c:pt>
                <c:pt idx="383">
                  <c:v>422.82</c:v>
                </c:pt>
                <c:pt idx="384">
                  <c:v>421.54349999999999</c:v>
                </c:pt>
                <c:pt idx="385">
                  <c:v>420.5145</c:v>
                </c:pt>
                <c:pt idx="386">
                  <c:v>419.37</c:v>
                </c:pt>
                <c:pt idx="387">
                  <c:v>418.26150000000001</c:v>
                </c:pt>
                <c:pt idx="388">
                  <c:v>417.10199999999998</c:v>
                </c:pt>
                <c:pt idx="389">
                  <c:v>416.01599999999996</c:v>
                </c:pt>
                <c:pt idx="390">
                  <c:v>414.88200000000006</c:v>
                </c:pt>
                <c:pt idx="391">
                  <c:v>413.74799999999999</c:v>
                </c:pt>
                <c:pt idx="392">
                  <c:v>412.69499999999999</c:v>
                </c:pt>
                <c:pt idx="393">
                  <c:v>411.57449999999994</c:v>
                </c:pt>
                <c:pt idx="394">
                  <c:v>410.54699999999997</c:v>
                </c:pt>
                <c:pt idx="395">
                  <c:v>409.49399999999997</c:v>
                </c:pt>
                <c:pt idx="396">
                  <c:v>408.40800000000002</c:v>
                </c:pt>
                <c:pt idx="397">
                  <c:v>407.42850000000004</c:v>
                </c:pt>
                <c:pt idx="398">
                  <c:v>406.32900000000006</c:v>
                </c:pt>
                <c:pt idx="399">
                  <c:v>405.37049999999999</c:v>
                </c:pt>
                <c:pt idx="400">
                  <c:v>404.25</c:v>
                </c:pt>
                <c:pt idx="401">
                  <c:v>403.27200000000005</c:v>
                </c:pt>
                <c:pt idx="402">
                  <c:v>402.17099999999994</c:v>
                </c:pt>
                <c:pt idx="403">
                  <c:v>401.13149999999996</c:v>
                </c:pt>
                <c:pt idx="404">
                  <c:v>400.14600000000002</c:v>
                </c:pt>
                <c:pt idx="405">
                  <c:v>399.14700000000005</c:v>
                </c:pt>
                <c:pt idx="406">
                  <c:v>398.19299999999998</c:v>
                </c:pt>
                <c:pt idx="407">
                  <c:v>397.161</c:v>
                </c:pt>
                <c:pt idx="408">
                  <c:v>396.12150000000003</c:v>
                </c:pt>
                <c:pt idx="409">
                  <c:v>395.24549999999999</c:v>
                </c:pt>
                <c:pt idx="410">
                  <c:v>394.27949999999998</c:v>
                </c:pt>
                <c:pt idx="411">
                  <c:v>393.26099999999997</c:v>
                </c:pt>
                <c:pt idx="412">
                  <c:v>392.3895</c:v>
                </c:pt>
                <c:pt idx="413">
                  <c:v>391.26</c:v>
                </c:pt>
                <c:pt idx="414">
                  <c:v>390.16800000000001</c:v>
                </c:pt>
                <c:pt idx="415">
                  <c:v>389.03399999999999</c:v>
                </c:pt>
                <c:pt idx="416">
                  <c:v>387.98849999999999</c:v>
                </c:pt>
                <c:pt idx="417">
                  <c:v>386.8605</c:v>
                </c:pt>
                <c:pt idx="418">
                  <c:v>385.88850000000002</c:v>
                </c:pt>
                <c:pt idx="419">
                  <c:v>384.78150000000005</c:v>
                </c:pt>
                <c:pt idx="420">
                  <c:v>383.74200000000002</c:v>
                </c:pt>
                <c:pt idx="421">
                  <c:v>382.74299999999999</c:v>
                </c:pt>
                <c:pt idx="422">
                  <c:v>381.80399999999997</c:v>
                </c:pt>
                <c:pt idx="423">
                  <c:v>380.81099999999998</c:v>
                </c:pt>
                <c:pt idx="424">
                  <c:v>379.72500000000002</c:v>
                </c:pt>
                <c:pt idx="425">
                  <c:v>378.80849999999998</c:v>
                </c:pt>
                <c:pt idx="426">
                  <c:v>377.7405</c:v>
                </c:pt>
                <c:pt idx="427">
                  <c:v>376.84350000000001</c:v>
                </c:pt>
                <c:pt idx="428">
                  <c:v>375.78149999999999</c:v>
                </c:pt>
                <c:pt idx="429">
                  <c:v>374.85750000000002</c:v>
                </c:pt>
                <c:pt idx="430">
                  <c:v>373.97399999999999</c:v>
                </c:pt>
                <c:pt idx="431">
                  <c:v>372.96750000000003</c:v>
                </c:pt>
                <c:pt idx="432">
                  <c:v>371.976</c:v>
                </c:pt>
                <c:pt idx="433">
                  <c:v>371.23349999999999</c:v>
                </c:pt>
                <c:pt idx="434">
                  <c:v>370.27499999999998</c:v>
                </c:pt>
                <c:pt idx="435">
                  <c:v>369.43349999999998</c:v>
                </c:pt>
                <c:pt idx="436">
                  <c:v>368.47949999999997</c:v>
                </c:pt>
                <c:pt idx="437">
                  <c:v>367.6755</c:v>
                </c:pt>
                <c:pt idx="438">
                  <c:v>366.77850000000001</c:v>
                </c:pt>
                <c:pt idx="439">
                  <c:v>365.83350000000002</c:v>
                </c:pt>
                <c:pt idx="440">
                  <c:v>365.0385</c:v>
                </c:pt>
                <c:pt idx="441">
                  <c:v>364.13249999999999</c:v>
                </c:pt>
                <c:pt idx="442">
                  <c:v>363.28199999999998</c:v>
                </c:pt>
                <c:pt idx="443">
                  <c:v>362.43</c:v>
                </c:pt>
                <c:pt idx="444">
                  <c:v>361.6275</c:v>
                </c:pt>
                <c:pt idx="445">
                  <c:v>360.70499999999998</c:v>
                </c:pt>
                <c:pt idx="446">
                  <c:v>359.92649999999998</c:v>
                </c:pt>
                <c:pt idx="447">
                  <c:v>277.48950000000002</c:v>
                </c:pt>
                <c:pt idx="448">
                  <c:v>296.41800000000001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90-45FF-823D-857AD61FB73F}"/>
            </c:ext>
          </c:extLst>
        </c:ser>
        <c:ser>
          <c:idx val="1"/>
          <c:order val="1"/>
          <c:tx>
            <c:strRef>
              <c:f>'FPSO1 Otim'!$D$5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Otim'!$D$6:$D$733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748.83</c:v>
                </c:pt>
                <c:pt idx="83">
                  <c:v>1152.7215000000001</c:v>
                </c:pt>
                <c:pt idx="84">
                  <c:v>1032.1244999999999</c:v>
                </c:pt>
                <c:pt idx="85">
                  <c:v>914.77049999999997</c:v>
                </c:pt>
                <c:pt idx="86">
                  <c:v>840.21749999999997</c:v>
                </c:pt>
                <c:pt idx="87">
                  <c:v>767.24699999999996</c:v>
                </c:pt>
                <c:pt idx="88">
                  <c:v>706.29899999999998</c:v>
                </c:pt>
                <c:pt idx="89">
                  <c:v>663.73950000000002</c:v>
                </c:pt>
                <c:pt idx="90">
                  <c:v>628.31999999999994</c:v>
                </c:pt>
                <c:pt idx="91">
                  <c:v>594.69150000000002</c:v>
                </c:pt>
                <c:pt idx="92">
                  <c:v>588.18149999999991</c:v>
                </c:pt>
                <c:pt idx="93">
                  <c:v>561.37649999999996</c:v>
                </c:pt>
                <c:pt idx="94">
                  <c:v>539.28749999999991</c:v>
                </c:pt>
                <c:pt idx="95">
                  <c:v>519.66600000000005</c:v>
                </c:pt>
                <c:pt idx="96">
                  <c:v>503.84700000000004</c:v>
                </c:pt>
                <c:pt idx="97">
                  <c:v>486.82800000000003</c:v>
                </c:pt>
                <c:pt idx="98">
                  <c:v>472.84950000000003</c:v>
                </c:pt>
                <c:pt idx="99">
                  <c:v>458.31899999999996</c:v>
                </c:pt>
                <c:pt idx="100">
                  <c:v>445.899</c:v>
                </c:pt>
                <c:pt idx="101">
                  <c:v>432.51900000000001</c:v>
                </c:pt>
                <c:pt idx="102">
                  <c:v>418.20000000000005</c:v>
                </c:pt>
                <c:pt idx="103">
                  <c:v>408.822</c:v>
                </c:pt>
                <c:pt idx="104">
                  <c:v>387.30900000000003</c:v>
                </c:pt>
                <c:pt idx="105">
                  <c:v>376.923</c:v>
                </c:pt>
                <c:pt idx="106">
                  <c:v>366.03300000000002</c:v>
                </c:pt>
                <c:pt idx="107">
                  <c:v>357.94650000000001</c:v>
                </c:pt>
                <c:pt idx="108">
                  <c:v>350.12099999999998</c:v>
                </c:pt>
                <c:pt idx="109">
                  <c:v>343.5915</c:v>
                </c:pt>
                <c:pt idx="110">
                  <c:v>338.745</c:v>
                </c:pt>
                <c:pt idx="111">
                  <c:v>331.89300000000003</c:v>
                </c:pt>
                <c:pt idx="112">
                  <c:v>328.05149999999998</c:v>
                </c:pt>
                <c:pt idx="113">
                  <c:v>323.12850000000003</c:v>
                </c:pt>
                <c:pt idx="114">
                  <c:v>318.1635</c:v>
                </c:pt>
                <c:pt idx="115">
                  <c:v>315.15449999999998</c:v>
                </c:pt>
                <c:pt idx="116">
                  <c:v>311.28000000000003</c:v>
                </c:pt>
                <c:pt idx="117">
                  <c:v>308.70299999999997</c:v>
                </c:pt>
                <c:pt idx="118">
                  <c:v>305.56200000000001</c:v>
                </c:pt>
                <c:pt idx="119">
                  <c:v>302.85599999999999</c:v>
                </c:pt>
                <c:pt idx="120">
                  <c:v>300.02100000000002</c:v>
                </c:pt>
                <c:pt idx="121">
                  <c:v>297.13200000000001</c:v>
                </c:pt>
                <c:pt idx="122">
                  <c:v>294.39749999999998</c:v>
                </c:pt>
                <c:pt idx="123">
                  <c:v>291.78750000000002</c:v>
                </c:pt>
                <c:pt idx="124">
                  <c:v>289.46550000000002</c:v>
                </c:pt>
                <c:pt idx="125">
                  <c:v>287.23950000000002</c:v>
                </c:pt>
                <c:pt idx="126">
                  <c:v>284.5575</c:v>
                </c:pt>
                <c:pt idx="127">
                  <c:v>282.23099999999999</c:v>
                </c:pt>
                <c:pt idx="128">
                  <c:v>277.50450000000001</c:v>
                </c:pt>
                <c:pt idx="129">
                  <c:v>274.55399999999997</c:v>
                </c:pt>
                <c:pt idx="130">
                  <c:v>272.27249999999998</c:v>
                </c:pt>
                <c:pt idx="131">
                  <c:v>269.8245</c:v>
                </c:pt>
                <c:pt idx="132">
                  <c:v>267.59399999999999</c:v>
                </c:pt>
                <c:pt idx="133">
                  <c:v>265.29599999999999</c:v>
                </c:pt>
                <c:pt idx="134">
                  <c:v>263.43599999999998</c:v>
                </c:pt>
                <c:pt idx="135">
                  <c:v>260.8125</c:v>
                </c:pt>
                <c:pt idx="136">
                  <c:v>257.88600000000002</c:v>
                </c:pt>
                <c:pt idx="137">
                  <c:v>256.17</c:v>
                </c:pt>
                <c:pt idx="138">
                  <c:v>253.88249999999999</c:v>
                </c:pt>
                <c:pt idx="139">
                  <c:v>251.37450000000001</c:v>
                </c:pt>
                <c:pt idx="140">
                  <c:v>248.25599999999997</c:v>
                </c:pt>
                <c:pt idx="141">
                  <c:v>246.40949999999998</c:v>
                </c:pt>
                <c:pt idx="142">
                  <c:v>244.65300000000002</c:v>
                </c:pt>
                <c:pt idx="143">
                  <c:v>243.29850000000002</c:v>
                </c:pt>
                <c:pt idx="144">
                  <c:v>241.12050000000002</c:v>
                </c:pt>
                <c:pt idx="145">
                  <c:v>239.83199999999999</c:v>
                </c:pt>
                <c:pt idx="146">
                  <c:v>237.54149999999998</c:v>
                </c:pt>
                <c:pt idx="147">
                  <c:v>235.899</c:v>
                </c:pt>
                <c:pt idx="148">
                  <c:v>234.30149999999998</c:v>
                </c:pt>
                <c:pt idx="149">
                  <c:v>232.76850000000002</c:v>
                </c:pt>
                <c:pt idx="150">
                  <c:v>231.21299999999999</c:v>
                </c:pt>
                <c:pt idx="151">
                  <c:v>229.74450000000002</c:v>
                </c:pt>
                <c:pt idx="152">
                  <c:v>225.04199999999997</c:v>
                </c:pt>
                <c:pt idx="153">
                  <c:v>223.87199999999999</c:v>
                </c:pt>
                <c:pt idx="154">
                  <c:v>222.846</c:v>
                </c:pt>
                <c:pt idx="155">
                  <c:v>221.19150000000002</c:v>
                </c:pt>
                <c:pt idx="156">
                  <c:v>219.92699999999999</c:v>
                </c:pt>
                <c:pt idx="157">
                  <c:v>218.72550000000001</c:v>
                </c:pt>
                <c:pt idx="158">
                  <c:v>217.46999999999997</c:v>
                </c:pt>
                <c:pt idx="159">
                  <c:v>216.10050000000001</c:v>
                </c:pt>
                <c:pt idx="160">
                  <c:v>214.90500000000003</c:v>
                </c:pt>
                <c:pt idx="161">
                  <c:v>213.89099999999999</c:v>
                </c:pt>
                <c:pt idx="162">
                  <c:v>212.58599999999998</c:v>
                </c:pt>
                <c:pt idx="163">
                  <c:v>211.209</c:v>
                </c:pt>
                <c:pt idx="164">
                  <c:v>208.78800000000001</c:v>
                </c:pt>
                <c:pt idx="165">
                  <c:v>207.786</c:v>
                </c:pt>
                <c:pt idx="166">
                  <c:v>206.673</c:v>
                </c:pt>
                <c:pt idx="167">
                  <c:v>205.6155</c:v>
                </c:pt>
                <c:pt idx="168">
                  <c:v>204.46350000000001</c:v>
                </c:pt>
                <c:pt idx="169">
                  <c:v>203.38200000000001</c:v>
                </c:pt>
                <c:pt idx="170">
                  <c:v>202.30199999999999</c:v>
                </c:pt>
                <c:pt idx="171">
                  <c:v>201.23849999999999</c:v>
                </c:pt>
                <c:pt idx="172">
                  <c:v>200.1705</c:v>
                </c:pt>
                <c:pt idx="173">
                  <c:v>199.077</c:v>
                </c:pt>
                <c:pt idx="174">
                  <c:v>198.03449999999998</c:v>
                </c:pt>
                <c:pt idx="175">
                  <c:v>196.99799999999999</c:v>
                </c:pt>
                <c:pt idx="176">
                  <c:v>195.15450000000001</c:v>
                </c:pt>
                <c:pt idx="177">
                  <c:v>194.24849999999998</c:v>
                </c:pt>
                <c:pt idx="178">
                  <c:v>193.2405</c:v>
                </c:pt>
                <c:pt idx="179">
                  <c:v>192.27299999999997</c:v>
                </c:pt>
                <c:pt idx="180">
                  <c:v>191.44499999999999</c:v>
                </c:pt>
                <c:pt idx="181">
                  <c:v>190.2225</c:v>
                </c:pt>
                <c:pt idx="182">
                  <c:v>189.21299999999999</c:v>
                </c:pt>
                <c:pt idx="183">
                  <c:v>188.232</c:v>
                </c:pt>
                <c:pt idx="184">
                  <c:v>187.28100000000001</c:v>
                </c:pt>
                <c:pt idx="185">
                  <c:v>186.3075</c:v>
                </c:pt>
                <c:pt idx="186">
                  <c:v>185.523</c:v>
                </c:pt>
                <c:pt idx="187">
                  <c:v>184.416</c:v>
                </c:pt>
                <c:pt idx="188">
                  <c:v>182.32650000000001</c:v>
                </c:pt>
                <c:pt idx="189">
                  <c:v>181.476</c:v>
                </c:pt>
                <c:pt idx="190">
                  <c:v>180.696</c:v>
                </c:pt>
                <c:pt idx="191">
                  <c:v>179.553</c:v>
                </c:pt>
                <c:pt idx="192">
                  <c:v>178.6515</c:v>
                </c:pt>
                <c:pt idx="193">
                  <c:v>177.79500000000002</c:v>
                </c:pt>
                <c:pt idx="194">
                  <c:v>176.86799999999999</c:v>
                </c:pt>
                <c:pt idx="195">
                  <c:v>175.935</c:v>
                </c:pt>
                <c:pt idx="196">
                  <c:v>175.03649999999999</c:v>
                </c:pt>
                <c:pt idx="197">
                  <c:v>174.1155</c:v>
                </c:pt>
                <c:pt idx="198">
                  <c:v>173.20499999999998</c:v>
                </c:pt>
                <c:pt idx="199">
                  <c:v>172.26149999999998</c:v>
                </c:pt>
                <c:pt idx="200">
                  <c:v>169.54349999999999</c:v>
                </c:pt>
                <c:pt idx="201">
                  <c:v>168.732</c:v>
                </c:pt>
                <c:pt idx="202">
                  <c:v>167.8425</c:v>
                </c:pt>
                <c:pt idx="203">
                  <c:v>166.96799999999999</c:v>
                </c:pt>
                <c:pt idx="204">
                  <c:v>166.047</c:v>
                </c:pt>
                <c:pt idx="205">
                  <c:v>165.17400000000001</c:v>
                </c:pt>
                <c:pt idx="206">
                  <c:v>164.29949999999999</c:v>
                </c:pt>
                <c:pt idx="207">
                  <c:v>163.43700000000001</c:v>
                </c:pt>
                <c:pt idx="208">
                  <c:v>162.6105</c:v>
                </c:pt>
                <c:pt idx="209">
                  <c:v>161.7825</c:v>
                </c:pt>
                <c:pt idx="210">
                  <c:v>161.01</c:v>
                </c:pt>
                <c:pt idx="211">
                  <c:v>160.2225</c:v>
                </c:pt>
                <c:pt idx="212">
                  <c:v>158.56950000000001</c:v>
                </c:pt>
                <c:pt idx="213">
                  <c:v>157.90199999999999</c:v>
                </c:pt>
                <c:pt idx="214">
                  <c:v>157.36500000000001</c:v>
                </c:pt>
                <c:pt idx="215">
                  <c:v>156.6045</c:v>
                </c:pt>
                <c:pt idx="216">
                  <c:v>155.88749999999999</c:v>
                </c:pt>
                <c:pt idx="217">
                  <c:v>155.02949999999998</c:v>
                </c:pt>
                <c:pt idx="218">
                  <c:v>154.36350000000002</c:v>
                </c:pt>
                <c:pt idx="219">
                  <c:v>153.726</c:v>
                </c:pt>
                <c:pt idx="220">
                  <c:v>153.12450000000001</c:v>
                </c:pt>
                <c:pt idx="221">
                  <c:v>152.5095</c:v>
                </c:pt>
                <c:pt idx="222">
                  <c:v>151.83150000000001</c:v>
                </c:pt>
                <c:pt idx="223">
                  <c:v>151.11449999999999</c:v>
                </c:pt>
                <c:pt idx="224">
                  <c:v>150.41849999999999</c:v>
                </c:pt>
                <c:pt idx="225">
                  <c:v>149.76749999999998</c:v>
                </c:pt>
                <c:pt idx="226">
                  <c:v>149.10750000000002</c:v>
                </c:pt>
                <c:pt idx="227">
                  <c:v>148.43700000000001</c:v>
                </c:pt>
                <c:pt idx="228">
                  <c:v>147.74849999999998</c:v>
                </c:pt>
                <c:pt idx="229">
                  <c:v>147.05850000000001</c:v>
                </c:pt>
                <c:pt idx="230">
                  <c:v>146.3655</c:v>
                </c:pt>
                <c:pt idx="231">
                  <c:v>145.6455</c:v>
                </c:pt>
                <c:pt idx="232">
                  <c:v>144.92249999999999</c:v>
                </c:pt>
                <c:pt idx="233">
                  <c:v>144.19200000000001</c:v>
                </c:pt>
                <c:pt idx="234">
                  <c:v>143.48099999999999</c:v>
                </c:pt>
                <c:pt idx="235">
                  <c:v>142.74</c:v>
                </c:pt>
                <c:pt idx="236">
                  <c:v>137.625</c:v>
                </c:pt>
                <c:pt idx="237">
                  <c:v>137.29050000000001</c:v>
                </c:pt>
                <c:pt idx="238">
                  <c:v>136.50150000000002</c:v>
                </c:pt>
                <c:pt idx="239">
                  <c:v>135.828</c:v>
                </c:pt>
                <c:pt idx="240">
                  <c:v>135.13200000000001</c:v>
                </c:pt>
                <c:pt idx="241">
                  <c:v>134.41200000000001</c:v>
                </c:pt>
                <c:pt idx="242">
                  <c:v>133.70250000000001</c:v>
                </c:pt>
                <c:pt idx="243">
                  <c:v>132.97050000000002</c:v>
                </c:pt>
                <c:pt idx="244">
                  <c:v>132.28799999999998</c:v>
                </c:pt>
                <c:pt idx="245">
                  <c:v>131.57550000000001</c:v>
                </c:pt>
                <c:pt idx="246">
                  <c:v>130.89599999999999</c:v>
                </c:pt>
                <c:pt idx="247">
                  <c:v>130.19400000000002</c:v>
                </c:pt>
                <c:pt idx="248">
                  <c:v>129.4965</c:v>
                </c:pt>
                <c:pt idx="249">
                  <c:v>128.89350000000002</c:v>
                </c:pt>
                <c:pt idx="250">
                  <c:v>128.23349999999999</c:v>
                </c:pt>
                <c:pt idx="251">
                  <c:v>127.563</c:v>
                </c:pt>
                <c:pt idx="252">
                  <c:v>126.88649999999998</c:v>
                </c:pt>
                <c:pt idx="253">
                  <c:v>126.27000000000001</c:v>
                </c:pt>
                <c:pt idx="254">
                  <c:v>125.62200000000001</c:v>
                </c:pt>
                <c:pt idx="255">
                  <c:v>124.9725</c:v>
                </c:pt>
                <c:pt idx="256">
                  <c:v>124.34100000000001</c:v>
                </c:pt>
                <c:pt idx="257">
                  <c:v>123.708</c:v>
                </c:pt>
                <c:pt idx="258">
                  <c:v>123.09599999999999</c:v>
                </c:pt>
                <c:pt idx="259">
                  <c:v>122.4915</c:v>
                </c:pt>
                <c:pt idx="260">
                  <c:v>121.90049999999999</c:v>
                </c:pt>
                <c:pt idx="261">
                  <c:v>121.34699999999999</c:v>
                </c:pt>
                <c:pt idx="262">
                  <c:v>120.744</c:v>
                </c:pt>
                <c:pt idx="263">
                  <c:v>120.16650000000001</c:v>
                </c:pt>
                <c:pt idx="264">
                  <c:v>119.57399999999998</c:v>
                </c:pt>
                <c:pt idx="265">
                  <c:v>119.00699999999999</c:v>
                </c:pt>
                <c:pt idx="266">
                  <c:v>118.416</c:v>
                </c:pt>
                <c:pt idx="267">
                  <c:v>117.82499999999999</c:v>
                </c:pt>
                <c:pt idx="268">
                  <c:v>117.285</c:v>
                </c:pt>
                <c:pt idx="269">
                  <c:v>116.703</c:v>
                </c:pt>
                <c:pt idx="270">
                  <c:v>116.14950000000002</c:v>
                </c:pt>
                <c:pt idx="271">
                  <c:v>115.581</c:v>
                </c:pt>
                <c:pt idx="272">
                  <c:v>115.026</c:v>
                </c:pt>
                <c:pt idx="273">
                  <c:v>114.49349999999998</c:v>
                </c:pt>
                <c:pt idx="274">
                  <c:v>113.95050000000001</c:v>
                </c:pt>
                <c:pt idx="275">
                  <c:v>113.40300000000001</c:v>
                </c:pt>
                <c:pt idx="276">
                  <c:v>112.82849999999999</c:v>
                </c:pt>
                <c:pt idx="277">
                  <c:v>112.30500000000001</c:v>
                </c:pt>
                <c:pt idx="278">
                  <c:v>111.76500000000001</c:v>
                </c:pt>
                <c:pt idx="279">
                  <c:v>111.19800000000001</c:v>
                </c:pt>
                <c:pt idx="280">
                  <c:v>110.69400000000002</c:v>
                </c:pt>
                <c:pt idx="281">
                  <c:v>110.1345</c:v>
                </c:pt>
                <c:pt idx="282">
                  <c:v>109.61849999999998</c:v>
                </c:pt>
                <c:pt idx="283">
                  <c:v>109.07250000000001</c:v>
                </c:pt>
                <c:pt idx="284">
                  <c:v>108.55199999999999</c:v>
                </c:pt>
                <c:pt idx="285">
                  <c:v>108.01950000000001</c:v>
                </c:pt>
                <c:pt idx="286">
                  <c:v>107.48850000000002</c:v>
                </c:pt>
                <c:pt idx="287">
                  <c:v>106.96950000000001</c:v>
                </c:pt>
                <c:pt idx="288">
                  <c:v>106.42500000000001</c:v>
                </c:pt>
                <c:pt idx="289">
                  <c:v>105.8835</c:v>
                </c:pt>
                <c:pt idx="290">
                  <c:v>105.351</c:v>
                </c:pt>
                <c:pt idx="291">
                  <c:v>104.79600000000001</c:v>
                </c:pt>
                <c:pt idx="292">
                  <c:v>104.27250000000001</c:v>
                </c:pt>
                <c:pt idx="293">
                  <c:v>103.7325</c:v>
                </c:pt>
                <c:pt idx="294">
                  <c:v>103.19850000000001</c:v>
                </c:pt>
                <c:pt idx="295">
                  <c:v>102.669</c:v>
                </c:pt>
                <c:pt idx="296">
                  <c:v>102.14850000000001</c:v>
                </c:pt>
                <c:pt idx="297">
                  <c:v>101.66250000000001</c:v>
                </c:pt>
                <c:pt idx="298">
                  <c:v>101.15700000000001</c:v>
                </c:pt>
                <c:pt idx="299">
                  <c:v>100.65899999999999</c:v>
                </c:pt>
                <c:pt idx="300">
                  <c:v>100.15350000000001</c:v>
                </c:pt>
                <c:pt idx="301">
                  <c:v>99.670500000000004</c:v>
                </c:pt>
                <c:pt idx="302">
                  <c:v>99.1965</c:v>
                </c:pt>
                <c:pt idx="303">
                  <c:v>98.712000000000018</c:v>
                </c:pt>
                <c:pt idx="304">
                  <c:v>98.218500000000006</c:v>
                </c:pt>
                <c:pt idx="305">
                  <c:v>97.766999999999996</c:v>
                </c:pt>
                <c:pt idx="306">
                  <c:v>97.301999999999992</c:v>
                </c:pt>
                <c:pt idx="307">
                  <c:v>96.834000000000003</c:v>
                </c:pt>
                <c:pt idx="308">
                  <c:v>96.359999999999985</c:v>
                </c:pt>
                <c:pt idx="309">
                  <c:v>95.947500000000005</c:v>
                </c:pt>
                <c:pt idx="310">
                  <c:v>95.486999999999995</c:v>
                </c:pt>
                <c:pt idx="311">
                  <c:v>95.044499999999999</c:v>
                </c:pt>
                <c:pt idx="312">
                  <c:v>94.600499999999997</c:v>
                </c:pt>
                <c:pt idx="313">
                  <c:v>94.165500000000009</c:v>
                </c:pt>
                <c:pt idx="314">
                  <c:v>93.713999999999999</c:v>
                </c:pt>
                <c:pt idx="315">
                  <c:v>93.289500000000004</c:v>
                </c:pt>
                <c:pt idx="316">
                  <c:v>92.858999999999995</c:v>
                </c:pt>
                <c:pt idx="317">
                  <c:v>92.427000000000007</c:v>
                </c:pt>
                <c:pt idx="318">
                  <c:v>92.003999999999991</c:v>
                </c:pt>
                <c:pt idx="319">
                  <c:v>91.57650000000001</c:v>
                </c:pt>
                <c:pt idx="320">
                  <c:v>91.14</c:v>
                </c:pt>
                <c:pt idx="321">
                  <c:v>90.754500000000007</c:v>
                </c:pt>
                <c:pt idx="322">
                  <c:v>90.335999999999999</c:v>
                </c:pt>
                <c:pt idx="323">
                  <c:v>89.929500000000004</c:v>
                </c:pt>
                <c:pt idx="324">
                  <c:v>89.509500000000003</c:v>
                </c:pt>
                <c:pt idx="325">
                  <c:v>89.111999999999995</c:v>
                </c:pt>
                <c:pt idx="326">
                  <c:v>88.823999999999998</c:v>
                </c:pt>
                <c:pt idx="327">
                  <c:v>88.268999999999991</c:v>
                </c:pt>
                <c:pt idx="328">
                  <c:v>87.976500000000001</c:v>
                </c:pt>
                <c:pt idx="329">
                  <c:v>87.453000000000003</c:v>
                </c:pt>
                <c:pt idx="330">
                  <c:v>87.085499999999996</c:v>
                </c:pt>
                <c:pt idx="331">
                  <c:v>86.697000000000003</c:v>
                </c:pt>
                <c:pt idx="332">
                  <c:v>86.306999999999988</c:v>
                </c:pt>
                <c:pt idx="333">
                  <c:v>85.945499999999996</c:v>
                </c:pt>
                <c:pt idx="334">
                  <c:v>85.551000000000002</c:v>
                </c:pt>
                <c:pt idx="335">
                  <c:v>85.180499999999995</c:v>
                </c:pt>
                <c:pt idx="336">
                  <c:v>84.772500000000008</c:v>
                </c:pt>
                <c:pt idx="337">
                  <c:v>84.387</c:v>
                </c:pt>
                <c:pt idx="338">
                  <c:v>83.980500000000006</c:v>
                </c:pt>
                <c:pt idx="339">
                  <c:v>83.602499999999992</c:v>
                </c:pt>
                <c:pt idx="340">
                  <c:v>83.215499999999992</c:v>
                </c:pt>
                <c:pt idx="341">
                  <c:v>82.810500000000005</c:v>
                </c:pt>
                <c:pt idx="342">
                  <c:v>82.445999999999998</c:v>
                </c:pt>
                <c:pt idx="343">
                  <c:v>82.02</c:v>
                </c:pt>
                <c:pt idx="344">
                  <c:v>81.652500000000003</c:v>
                </c:pt>
                <c:pt idx="345">
                  <c:v>81.284999999999997</c:v>
                </c:pt>
                <c:pt idx="346">
                  <c:v>80.908500000000004</c:v>
                </c:pt>
                <c:pt idx="347">
                  <c:v>80.516999999999996</c:v>
                </c:pt>
                <c:pt idx="348">
                  <c:v>80.152500000000003</c:v>
                </c:pt>
                <c:pt idx="349">
                  <c:v>79.772999999999996</c:v>
                </c:pt>
                <c:pt idx="350">
                  <c:v>79.408500000000004</c:v>
                </c:pt>
                <c:pt idx="351">
                  <c:v>79.018500000000003</c:v>
                </c:pt>
                <c:pt idx="352">
                  <c:v>78.661500000000004</c:v>
                </c:pt>
                <c:pt idx="353">
                  <c:v>78.286500000000004</c:v>
                </c:pt>
                <c:pt idx="354">
                  <c:v>77.941499999999991</c:v>
                </c:pt>
                <c:pt idx="355">
                  <c:v>77.566499999999991</c:v>
                </c:pt>
                <c:pt idx="356">
                  <c:v>77.188500000000005</c:v>
                </c:pt>
                <c:pt idx="357">
                  <c:v>76.878</c:v>
                </c:pt>
                <c:pt idx="358">
                  <c:v>76.573499999999996</c:v>
                </c:pt>
                <c:pt idx="359">
                  <c:v>76.147500000000008</c:v>
                </c:pt>
                <c:pt idx="360">
                  <c:v>75.781499999999994</c:v>
                </c:pt>
                <c:pt idx="361">
                  <c:v>75.45150000000001</c:v>
                </c:pt>
                <c:pt idx="362">
                  <c:v>75.097499999999997</c:v>
                </c:pt>
                <c:pt idx="363">
                  <c:v>74.742000000000004</c:v>
                </c:pt>
                <c:pt idx="364">
                  <c:v>74.438999999999993</c:v>
                </c:pt>
                <c:pt idx="365">
                  <c:v>74.092500000000001</c:v>
                </c:pt>
                <c:pt idx="366">
                  <c:v>73.766999999999996</c:v>
                </c:pt>
                <c:pt idx="367">
                  <c:v>73.430999999999997</c:v>
                </c:pt>
                <c:pt idx="368">
                  <c:v>73.100999999999999</c:v>
                </c:pt>
                <c:pt idx="369">
                  <c:v>72.798000000000002</c:v>
                </c:pt>
                <c:pt idx="370">
                  <c:v>72.474000000000004</c:v>
                </c:pt>
                <c:pt idx="371">
                  <c:v>72.143999999999991</c:v>
                </c:pt>
                <c:pt idx="372">
                  <c:v>71.836500000000001</c:v>
                </c:pt>
                <c:pt idx="373">
                  <c:v>71.581499999999991</c:v>
                </c:pt>
                <c:pt idx="374">
                  <c:v>71.162999999999997</c:v>
                </c:pt>
                <c:pt idx="375">
                  <c:v>70.938000000000002</c:v>
                </c:pt>
                <c:pt idx="376">
                  <c:v>70.545000000000002</c:v>
                </c:pt>
                <c:pt idx="377">
                  <c:v>70.3005</c:v>
                </c:pt>
                <c:pt idx="378">
                  <c:v>69.9465</c:v>
                </c:pt>
                <c:pt idx="379">
                  <c:v>69.675000000000011</c:v>
                </c:pt>
                <c:pt idx="380">
                  <c:v>69.272999999999996</c:v>
                </c:pt>
                <c:pt idx="381">
                  <c:v>68.911500000000004</c:v>
                </c:pt>
                <c:pt idx="382">
                  <c:v>68.623500000000007</c:v>
                </c:pt>
                <c:pt idx="383">
                  <c:v>68.359499999999997</c:v>
                </c:pt>
                <c:pt idx="384">
                  <c:v>68.080500000000001</c:v>
                </c:pt>
                <c:pt idx="385">
                  <c:v>67.822500000000005</c:v>
                </c:pt>
                <c:pt idx="386">
                  <c:v>67.524000000000001</c:v>
                </c:pt>
                <c:pt idx="387">
                  <c:v>67.228499999999997</c:v>
                </c:pt>
                <c:pt idx="388">
                  <c:v>66.955500000000001</c:v>
                </c:pt>
                <c:pt idx="389">
                  <c:v>66.697500000000005</c:v>
                </c:pt>
                <c:pt idx="390">
                  <c:v>66.406499999999994</c:v>
                </c:pt>
                <c:pt idx="391">
                  <c:v>66.118499999999997</c:v>
                </c:pt>
                <c:pt idx="392">
                  <c:v>65.858999999999995</c:v>
                </c:pt>
                <c:pt idx="393">
                  <c:v>65.590499999999992</c:v>
                </c:pt>
                <c:pt idx="394">
                  <c:v>65.316000000000003</c:v>
                </c:pt>
                <c:pt idx="395">
                  <c:v>65.038499999999999</c:v>
                </c:pt>
                <c:pt idx="396">
                  <c:v>64.388114999999999</c:v>
                </c:pt>
                <c:pt idx="397">
                  <c:v>63.744233850000001</c:v>
                </c:pt>
                <c:pt idx="398">
                  <c:v>63.106791511499999</c:v>
                </c:pt>
                <c:pt idx="399">
                  <c:v>62.475723596384995</c:v>
                </c:pt>
                <c:pt idx="400">
                  <c:v>61.850966360421147</c:v>
                </c:pt>
                <c:pt idx="401">
                  <c:v>61.232456696816932</c:v>
                </c:pt>
                <c:pt idx="402">
                  <c:v>60.620132129848763</c:v>
                </c:pt>
                <c:pt idx="403">
                  <c:v>60.013930808550278</c:v>
                </c:pt>
                <c:pt idx="404">
                  <c:v>59.413791500464775</c:v>
                </c:pt>
                <c:pt idx="405">
                  <c:v>58.819653585460124</c:v>
                </c:pt>
                <c:pt idx="406">
                  <c:v>58.231457049605524</c:v>
                </c:pt>
                <c:pt idx="407">
                  <c:v>57.649142479109472</c:v>
                </c:pt>
                <c:pt idx="408">
                  <c:v>57.072651054318378</c:v>
                </c:pt>
                <c:pt idx="409">
                  <c:v>56.501924543775196</c:v>
                </c:pt>
                <c:pt idx="410">
                  <c:v>55.936905298337443</c:v>
                </c:pt>
                <c:pt idx="411">
                  <c:v>55.377536245354065</c:v>
                </c:pt>
                <c:pt idx="412">
                  <c:v>54.823760882900523</c:v>
                </c:pt>
                <c:pt idx="413">
                  <c:v>54.275523274071517</c:v>
                </c:pt>
                <c:pt idx="414">
                  <c:v>53.7327680413308</c:v>
                </c:pt>
                <c:pt idx="415">
                  <c:v>53.195440360917495</c:v>
                </c:pt>
                <c:pt idx="416">
                  <c:v>52.663485957308318</c:v>
                </c:pt>
                <c:pt idx="417">
                  <c:v>52.136851097735232</c:v>
                </c:pt>
                <c:pt idx="418">
                  <c:v>51.615482586757878</c:v>
                </c:pt>
                <c:pt idx="419">
                  <c:v>51.099327760890297</c:v>
                </c:pt>
                <c:pt idx="420">
                  <c:v>50.588334483281393</c:v>
                </c:pt>
                <c:pt idx="421">
                  <c:v>50.082451138448576</c:v>
                </c:pt>
                <c:pt idx="422">
                  <c:v>49.58162662706409</c:v>
                </c:pt>
                <c:pt idx="423">
                  <c:v>49.085810360793445</c:v>
                </c:pt>
                <c:pt idx="424">
                  <c:v>48.594952257185511</c:v>
                </c:pt>
                <c:pt idx="425">
                  <c:v>48.109002734613654</c:v>
                </c:pt>
                <c:pt idx="426">
                  <c:v>47.627912707267519</c:v>
                </c:pt>
                <c:pt idx="427">
                  <c:v>47.151633580194847</c:v>
                </c:pt>
                <c:pt idx="428">
                  <c:v>46.680117244392896</c:v>
                </c:pt>
                <c:pt idx="429">
                  <c:v>46.213316071948967</c:v>
                </c:pt>
                <c:pt idx="430">
                  <c:v>45.751182911229478</c:v>
                </c:pt>
                <c:pt idx="431">
                  <c:v>45.293671082117186</c:v>
                </c:pt>
                <c:pt idx="432">
                  <c:v>44.840734371296016</c:v>
                </c:pt>
                <c:pt idx="433">
                  <c:v>44.392327027583057</c:v>
                </c:pt>
                <c:pt idx="434">
                  <c:v>43.948403757307226</c:v>
                </c:pt>
                <c:pt idx="435">
                  <c:v>43.508919719734152</c:v>
                </c:pt>
                <c:pt idx="436">
                  <c:v>43.073830522536809</c:v>
                </c:pt>
                <c:pt idx="437">
                  <c:v>42.643092217311441</c:v>
                </c:pt>
                <c:pt idx="438">
                  <c:v>42.216661295138323</c:v>
                </c:pt>
                <c:pt idx="439">
                  <c:v>41.794494682186937</c:v>
                </c:pt>
                <c:pt idx="440">
                  <c:v>41.376549735365067</c:v>
                </c:pt>
                <c:pt idx="441">
                  <c:v>40.962784238011416</c:v>
                </c:pt>
                <c:pt idx="442">
                  <c:v>40.553156395631298</c:v>
                </c:pt>
                <c:pt idx="443">
                  <c:v>40.147624831674982</c:v>
                </c:pt>
                <c:pt idx="444">
                  <c:v>39.746148583358234</c:v>
                </c:pt>
                <c:pt idx="445">
                  <c:v>39.348687097524653</c:v>
                </c:pt>
                <c:pt idx="446">
                  <c:v>38.955200226549408</c:v>
                </c:pt>
                <c:pt idx="447">
                  <c:v>38.565648224283912</c:v>
                </c:pt>
                <c:pt idx="448">
                  <c:v>38.179991742041075</c:v>
                </c:pt>
                <c:pt idx="449">
                  <c:v>37.798191824620666</c:v>
                </c:pt>
                <c:pt idx="450">
                  <c:v>37.42020990637446</c:v>
                </c:pt>
                <c:pt idx="451">
                  <c:v>37.046007807310716</c:v>
                </c:pt>
                <c:pt idx="452">
                  <c:v>36.675547729237607</c:v>
                </c:pt>
                <c:pt idx="453">
                  <c:v>36.308792251945228</c:v>
                </c:pt>
                <c:pt idx="454">
                  <c:v>35.945704329425773</c:v>
                </c:pt>
                <c:pt idx="455">
                  <c:v>35.586247286131517</c:v>
                </c:pt>
                <c:pt idx="456">
                  <c:v>35.230384813270199</c:v>
                </c:pt>
                <c:pt idx="457">
                  <c:v>34.878080965137499</c:v>
                </c:pt>
                <c:pt idx="458">
                  <c:v>34.529300155486126</c:v>
                </c:pt>
                <c:pt idx="459">
                  <c:v>34.184007153931262</c:v>
                </c:pt>
                <c:pt idx="460">
                  <c:v>33.842167082391946</c:v>
                </c:pt>
                <c:pt idx="461">
                  <c:v>33.503745411568026</c:v>
                </c:pt>
                <c:pt idx="462">
                  <c:v>33.168707957452348</c:v>
                </c:pt>
                <c:pt idx="463">
                  <c:v>32.837020877877826</c:v>
                </c:pt>
                <c:pt idx="464">
                  <c:v>32.508650669099048</c:v>
                </c:pt>
                <c:pt idx="465">
                  <c:v>32.183564162408054</c:v>
                </c:pt>
                <c:pt idx="466">
                  <c:v>31.861728520783974</c:v>
                </c:pt>
                <c:pt idx="467">
                  <c:v>31.543111235576134</c:v>
                </c:pt>
                <c:pt idx="468">
                  <c:v>31.227680123220374</c:v>
                </c:pt>
                <c:pt idx="469">
                  <c:v>30.915403321988169</c:v>
                </c:pt>
                <c:pt idx="470">
                  <c:v>30.606249288768286</c:v>
                </c:pt>
                <c:pt idx="471">
                  <c:v>30.300186795880602</c:v>
                </c:pt>
                <c:pt idx="472">
                  <c:v>29.997184927921797</c:v>
                </c:pt>
                <c:pt idx="473">
                  <c:v>29.69721307864258</c:v>
                </c:pt>
                <c:pt idx="474">
                  <c:v>29.400240947856155</c:v>
                </c:pt>
                <c:pt idx="475">
                  <c:v>29.106238538377593</c:v>
                </c:pt>
                <c:pt idx="476">
                  <c:v>28.815176152993818</c:v>
                </c:pt>
                <c:pt idx="477">
                  <c:v>28.527024391463879</c:v>
                </c:pt>
                <c:pt idx="478">
                  <c:v>28.241754147549241</c:v>
                </c:pt>
                <c:pt idx="479">
                  <c:v>27.959336606073748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90-45FF-823D-857AD61FB73F}"/>
            </c:ext>
          </c:extLst>
        </c:ser>
        <c:ser>
          <c:idx val="2"/>
          <c:order val="2"/>
          <c:tx>
            <c:strRef>
              <c:f>'FPSO1 Otim'!$E$5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Otim'!$E$6:$E$733</c:f>
              <c:numCache>
                <c:formatCode>General</c:formatCode>
                <c:ptCount val="728"/>
                <c:pt idx="0">
                  <c:v>2689.59</c:v>
                </c:pt>
                <c:pt idx="1">
                  <c:v>2203.4700000000003</c:v>
                </c:pt>
                <c:pt idx="2">
                  <c:v>1647.5249999999999</c:v>
                </c:pt>
                <c:pt idx="3">
                  <c:v>1479.3975</c:v>
                </c:pt>
                <c:pt idx="4">
                  <c:v>1401.4335000000001</c:v>
                </c:pt>
                <c:pt idx="5">
                  <c:v>1344.4289999999999</c:v>
                </c:pt>
                <c:pt idx="6">
                  <c:v>1305.99</c:v>
                </c:pt>
                <c:pt idx="7">
                  <c:v>1269.1275000000001</c:v>
                </c:pt>
                <c:pt idx="8">
                  <c:v>1223.4960000000001</c:v>
                </c:pt>
                <c:pt idx="9">
                  <c:v>1191.4950000000001</c:v>
                </c:pt>
                <c:pt idx="10">
                  <c:v>1165.7474999999999</c:v>
                </c:pt>
                <c:pt idx="11">
                  <c:v>1136.6775</c:v>
                </c:pt>
                <c:pt idx="12">
                  <c:v>1095.4965</c:v>
                </c:pt>
                <c:pt idx="13">
                  <c:v>1059.6990000000001</c:v>
                </c:pt>
                <c:pt idx="14">
                  <c:v>1035.7695000000001</c:v>
                </c:pt>
                <c:pt idx="15">
                  <c:v>1019.0175</c:v>
                </c:pt>
                <c:pt idx="16">
                  <c:v>1002.7529999999999</c:v>
                </c:pt>
                <c:pt idx="17">
                  <c:v>985.69200000000001</c:v>
                </c:pt>
                <c:pt idx="18">
                  <c:v>973.2315000000001</c:v>
                </c:pt>
                <c:pt idx="19">
                  <c:v>960.62099999999998</c:v>
                </c:pt>
                <c:pt idx="20">
                  <c:v>941.90699999999993</c:v>
                </c:pt>
                <c:pt idx="21">
                  <c:v>931.173</c:v>
                </c:pt>
                <c:pt idx="22">
                  <c:v>919.48049999999989</c:v>
                </c:pt>
                <c:pt idx="23">
                  <c:v>912.53549999999996</c:v>
                </c:pt>
                <c:pt idx="24">
                  <c:v>905.08800000000008</c:v>
                </c:pt>
                <c:pt idx="25">
                  <c:v>898.71450000000004</c:v>
                </c:pt>
                <c:pt idx="26">
                  <c:v>892.28399999999999</c:v>
                </c:pt>
                <c:pt idx="27">
                  <c:v>886.88400000000001</c:v>
                </c:pt>
                <c:pt idx="28">
                  <c:v>881.86349999999993</c:v>
                </c:pt>
                <c:pt idx="29">
                  <c:v>876.87149999999997</c:v>
                </c:pt>
                <c:pt idx="30">
                  <c:v>872.50650000000007</c:v>
                </c:pt>
                <c:pt idx="31">
                  <c:v>867.93450000000007</c:v>
                </c:pt>
                <c:pt idx="32">
                  <c:v>864.423</c:v>
                </c:pt>
                <c:pt idx="33">
                  <c:v>860.64</c:v>
                </c:pt>
                <c:pt idx="34">
                  <c:v>856.32899999999995</c:v>
                </c:pt>
                <c:pt idx="35">
                  <c:v>852.93450000000007</c:v>
                </c:pt>
                <c:pt idx="36">
                  <c:v>849</c:v>
                </c:pt>
                <c:pt idx="37">
                  <c:v>845.50650000000007</c:v>
                </c:pt>
                <c:pt idx="38">
                  <c:v>841.84649999999999</c:v>
                </c:pt>
                <c:pt idx="39">
                  <c:v>838.46399999999994</c:v>
                </c:pt>
                <c:pt idx="40">
                  <c:v>835.09799999999996</c:v>
                </c:pt>
                <c:pt idx="41">
                  <c:v>831.56850000000009</c:v>
                </c:pt>
                <c:pt idx="42">
                  <c:v>829.22849999999994</c:v>
                </c:pt>
                <c:pt idx="43">
                  <c:v>824.71499999999992</c:v>
                </c:pt>
                <c:pt idx="44">
                  <c:v>821.9369999999999</c:v>
                </c:pt>
                <c:pt idx="45">
                  <c:v>818.24099999999999</c:v>
                </c:pt>
                <c:pt idx="46">
                  <c:v>813.90449999999987</c:v>
                </c:pt>
                <c:pt idx="47">
                  <c:v>810.48450000000003</c:v>
                </c:pt>
                <c:pt idx="48">
                  <c:v>806.55599999999993</c:v>
                </c:pt>
                <c:pt idx="49">
                  <c:v>803.02649999999994</c:v>
                </c:pt>
                <c:pt idx="50">
                  <c:v>799.28699999999992</c:v>
                </c:pt>
                <c:pt idx="51">
                  <c:v>795.87750000000005</c:v>
                </c:pt>
                <c:pt idx="52">
                  <c:v>792.55049999999994</c:v>
                </c:pt>
                <c:pt idx="53">
                  <c:v>789.1244999999999</c:v>
                </c:pt>
                <c:pt idx="54">
                  <c:v>786.09750000000008</c:v>
                </c:pt>
                <c:pt idx="55">
                  <c:v>782.85599999999999</c:v>
                </c:pt>
                <c:pt idx="56">
                  <c:v>776.78250000000003</c:v>
                </c:pt>
                <c:pt idx="57">
                  <c:v>773.64299999999992</c:v>
                </c:pt>
                <c:pt idx="58">
                  <c:v>770.41199999999992</c:v>
                </c:pt>
                <c:pt idx="59">
                  <c:v>767.64300000000003</c:v>
                </c:pt>
                <c:pt idx="60">
                  <c:v>764.55600000000004</c:v>
                </c:pt>
                <c:pt idx="61">
                  <c:v>761.75850000000003</c:v>
                </c:pt>
                <c:pt idx="62">
                  <c:v>758.71199999999999</c:v>
                </c:pt>
                <c:pt idx="63">
                  <c:v>755.85450000000003</c:v>
                </c:pt>
                <c:pt idx="64">
                  <c:v>753.00600000000009</c:v>
                </c:pt>
                <c:pt idx="65">
                  <c:v>750.03749999999991</c:v>
                </c:pt>
                <c:pt idx="66">
                  <c:v>747.303</c:v>
                </c:pt>
                <c:pt idx="67">
                  <c:v>744.33150000000001</c:v>
                </c:pt>
                <c:pt idx="68">
                  <c:v>735.66</c:v>
                </c:pt>
                <c:pt idx="69">
                  <c:v>732.678</c:v>
                </c:pt>
                <c:pt idx="70">
                  <c:v>729.77699999999993</c:v>
                </c:pt>
                <c:pt idx="71">
                  <c:v>727.47</c:v>
                </c:pt>
                <c:pt idx="72">
                  <c:v>724.82549999999992</c:v>
                </c:pt>
                <c:pt idx="73">
                  <c:v>722.40149999999994</c:v>
                </c:pt>
                <c:pt idx="74">
                  <c:v>719.78700000000003</c:v>
                </c:pt>
                <c:pt idx="75">
                  <c:v>717.31499999999994</c:v>
                </c:pt>
                <c:pt idx="76">
                  <c:v>714.84749999999997</c:v>
                </c:pt>
                <c:pt idx="77">
                  <c:v>712.26299999999992</c:v>
                </c:pt>
                <c:pt idx="78">
                  <c:v>709.91700000000003</c:v>
                </c:pt>
                <c:pt idx="79">
                  <c:v>707.44350000000009</c:v>
                </c:pt>
                <c:pt idx="80">
                  <c:v>705.14549999999997</c:v>
                </c:pt>
                <c:pt idx="81">
                  <c:v>702.99149999999997</c:v>
                </c:pt>
                <c:pt idx="82">
                  <c:v>700.47300000000007</c:v>
                </c:pt>
                <c:pt idx="83">
                  <c:v>698.42550000000006</c:v>
                </c:pt>
                <c:pt idx="84">
                  <c:v>696.03150000000005</c:v>
                </c:pt>
                <c:pt idx="85">
                  <c:v>693.85350000000005</c:v>
                </c:pt>
                <c:pt idx="86">
                  <c:v>691.51949999999999</c:v>
                </c:pt>
                <c:pt idx="87">
                  <c:v>689.33399999999995</c:v>
                </c:pt>
                <c:pt idx="88">
                  <c:v>687.1875</c:v>
                </c:pt>
                <c:pt idx="89">
                  <c:v>684.97499999999991</c:v>
                </c:pt>
                <c:pt idx="90">
                  <c:v>682.91700000000003</c:v>
                </c:pt>
                <c:pt idx="91">
                  <c:v>680.67450000000008</c:v>
                </c:pt>
                <c:pt idx="92">
                  <c:v>678.56850000000009</c:v>
                </c:pt>
                <c:pt idx="93">
                  <c:v>676.572</c:v>
                </c:pt>
                <c:pt idx="94">
                  <c:v>674.23050000000001</c:v>
                </c:pt>
                <c:pt idx="95">
                  <c:v>672.33899999999994</c:v>
                </c:pt>
                <c:pt idx="96">
                  <c:v>670.09950000000003</c:v>
                </c:pt>
                <c:pt idx="97">
                  <c:v>668.03250000000003</c:v>
                </c:pt>
                <c:pt idx="98">
                  <c:v>665.77500000000009</c:v>
                </c:pt>
                <c:pt idx="99">
                  <c:v>663.66600000000005</c:v>
                </c:pt>
                <c:pt idx="100">
                  <c:v>661.56000000000006</c:v>
                </c:pt>
                <c:pt idx="101">
                  <c:v>659.36850000000004</c:v>
                </c:pt>
                <c:pt idx="102">
                  <c:v>657.36300000000006</c:v>
                </c:pt>
                <c:pt idx="103">
                  <c:v>655.17450000000008</c:v>
                </c:pt>
                <c:pt idx="104">
                  <c:v>653.11649999999997</c:v>
                </c:pt>
                <c:pt idx="105">
                  <c:v>651.10350000000005</c:v>
                </c:pt>
                <c:pt idx="106">
                  <c:v>648.89850000000001</c:v>
                </c:pt>
                <c:pt idx="107">
                  <c:v>647.93399999999997</c:v>
                </c:pt>
                <c:pt idx="108">
                  <c:v>646.85550000000001</c:v>
                </c:pt>
                <c:pt idx="109">
                  <c:v>645.774</c:v>
                </c:pt>
                <c:pt idx="110">
                  <c:v>644.45699999999999</c:v>
                </c:pt>
                <c:pt idx="111">
                  <c:v>643.08299999999997</c:v>
                </c:pt>
                <c:pt idx="112">
                  <c:v>641.63100000000009</c:v>
                </c:pt>
                <c:pt idx="113">
                  <c:v>640.03800000000001</c:v>
                </c:pt>
                <c:pt idx="114">
                  <c:v>638.53499999999997</c:v>
                </c:pt>
                <c:pt idx="115">
                  <c:v>636.82500000000005</c:v>
                </c:pt>
                <c:pt idx="116">
                  <c:v>630.4905</c:v>
                </c:pt>
                <c:pt idx="117">
                  <c:v>628.64549999999997</c:v>
                </c:pt>
                <c:pt idx="118">
                  <c:v>626.84550000000002</c:v>
                </c:pt>
                <c:pt idx="119">
                  <c:v>625.30649999999991</c:v>
                </c:pt>
                <c:pt idx="120">
                  <c:v>623.44949999999994</c:v>
                </c:pt>
                <c:pt idx="121">
                  <c:v>621.73199999999997</c:v>
                </c:pt>
                <c:pt idx="122">
                  <c:v>619.85550000000001</c:v>
                </c:pt>
                <c:pt idx="123">
                  <c:v>618.03</c:v>
                </c:pt>
                <c:pt idx="124">
                  <c:v>616.18500000000006</c:v>
                </c:pt>
                <c:pt idx="125">
                  <c:v>614.18700000000001</c:v>
                </c:pt>
                <c:pt idx="126">
                  <c:v>612.62850000000003</c:v>
                </c:pt>
                <c:pt idx="127">
                  <c:v>611.38799999999992</c:v>
                </c:pt>
                <c:pt idx="128">
                  <c:v>609.76199999999994</c:v>
                </c:pt>
                <c:pt idx="129">
                  <c:v>608.52750000000003</c:v>
                </c:pt>
                <c:pt idx="130">
                  <c:v>607.16549999999995</c:v>
                </c:pt>
                <c:pt idx="131">
                  <c:v>606.024</c:v>
                </c:pt>
                <c:pt idx="132">
                  <c:v>604.60050000000001</c:v>
                </c:pt>
                <c:pt idx="133">
                  <c:v>603.25350000000003</c:v>
                </c:pt>
                <c:pt idx="134">
                  <c:v>601.63799999999992</c:v>
                </c:pt>
                <c:pt idx="135">
                  <c:v>600.024</c:v>
                </c:pt>
                <c:pt idx="136">
                  <c:v>598.34249999999997</c:v>
                </c:pt>
                <c:pt idx="137">
                  <c:v>596.48700000000008</c:v>
                </c:pt>
                <c:pt idx="138">
                  <c:v>594.73800000000006</c:v>
                </c:pt>
                <c:pt idx="139">
                  <c:v>592.76250000000005</c:v>
                </c:pt>
                <c:pt idx="140">
                  <c:v>590.87850000000003</c:v>
                </c:pt>
                <c:pt idx="141">
                  <c:v>589.08899999999994</c:v>
                </c:pt>
                <c:pt idx="142">
                  <c:v>586.875</c:v>
                </c:pt>
                <c:pt idx="143">
                  <c:v>585.09749999999997</c:v>
                </c:pt>
                <c:pt idx="144">
                  <c:v>583.02449999999999</c:v>
                </c:pt>
                <c:pt idx="145">
                  <c:v>581.10450000000003</c:v>
                </c:pt>
                <c:pt idx="146">
                  <c:v>578.97450000000003</c:v>
                </c:pt>
                <c:pt idx="147">
                  <c:v>576.99149999999997</c:v>
                </c:pt>
                <c:pt idx="148">
                  <c:v>575.00850000000003</c:v>
                </c:pt>
                <c:pt idx="149">
                  <c:v>572.95049999999992</c:v>
                </c:pt>
                <c:pt idx="150">
                  <c:v>571.101</c:v>
                </c:pt>
                <c:pt idx="151">
                  <c:v>569.05050000000006</c:v>
                </c:pt>
                <c:pt idx="152">
                  <c:v>551.31000000000006</c:v>
                </c:pt>
                <c:pt idx="153">
                  <c:v>548.45550000000003</c:v>
                </c:pt>
                <c:pt idx="154">
                  <c:v>546.86699999999996</c:v>
                </c:pt>
                <c:pt idx="155">
                  <c:v>545.39549999999997</c:v>
                </c:pt>
                <c:pt idx="156">
                  <c:v>543.73800000000006</c:v>
                </c:pt>
                <c:pt idx="157">
                  <c:v>542.226</c:v>
                </c:pt>
                <c:pt idx="158">
                  <c:v>540.55050000000006</c:v>
                </c:pt>
                <c:pt idx="159">
                  <c:v>538.91100000000006</c:v>
                </c:pt>
                <c:pt idx="160">
                  <c:v>537.26549999999997</c:v>
                </c:pt>
                <c:pt idx="161">
                  <c:v>535.46250000000009</c:v>
                </c:pt>
                <c:pt idx="162">
                  <c:v>533.84249999999997</c:v>
                </c:pt>
                <c:pt idx="163">
                  <c:v>532.03800000000001</c:v>
                </c:pt>
                <c:pt idx="164">
                  <c:v>530.274</c:v>
                </c:pt>
                <c:pt idx="165">
                  <c:v>528.60450000000003</c:v>
                </c:pt>
                <c:pt idx="166">
                  <c:v>526.5809999999999</c:v>
                </c:pt>
                <c:pt idx="167">
                  <c:v>525.024</c:v>
                </c:pt>
                <c:pt idx="168">
                  <c:v>523.15049999999997</c:v>
                </c:pt>
                <c:pt idx="169">
                  <c:v>521.46749999999997</c:v>
                </c:pt>
                <c:pt idx="170">
                  <c:v>519.61200000000008</c:v>
                </c:pt>
                <c:pt idx="171">
                  <c:v>517.851</c:v>
                </c:pt>
                <c:pt idx="172">
                  <c:v>516.12149999999997</c:v>
                </c:pt>
                <c:pt idx="173">
                  <c:v>514.3125</c:v>
                </c:pt>
                <c:pt idx="174">
                  <c:v>512.68500000000006</c:v>
                </c:pt>
                <c:pt idx="175">
                  <c:v>510.86249999999995</c:v>
                </c:pt>
                <c:pt idx="176">
                  <c:v>509.18999999999994</c:v>
                </c:pt>
                <c:pt idx="177">
                  <c:v>507.59249999999997</c:v>
                </c:pt>
                <c:pt idx="178">
                  <c:v>505.54049999999995</c:v>
                </c:pt>
                <c:pt idx="179">
                  <c:v>503.89050000000003</c:v>
                </c:pt>
                <c:pt idx="180">
                  <c:v>502.00049999999999</c:v>
                </c:pt>
                <c:pt idx="181">
                  <c:v>500.286</c:v>
                </c:pt>
                <c:pt idx="182">
                  <c:v>498.40049999999997</c:v>
                </c:pt>
                <c:pt idx="183">
                  <c:v>496.60949999999997</c:v>
                </c:pt>
                <c:pt idx="184">
                  <c:v>494.86649999999997</c:v>
                </c:pt>
                <c:pt idx="185">
                  <c:v>492.94949999999994</c:v>
                </c:pt>
                <c:pt idx="186">
                  <c:v>491.226</c:v>
                </c:pt>
                <c:pt idx="187">
                  <c:v>489.31200000000001</c:v>
                </c:pt>
                <c:pt idx="188">
                  <c:v>487.59749999999997</c:v>
                </c:pt>
                <c:pt idx="189">
                  <c:v>485.93999999999994</c:v>
                </c:pt>
                <c:pt idx="190">
                  <c:v>483.92399999999998</c:v>
                </c:pt>
                <c:pt idx="191">
                  <c:v>482.298</c:v>
                </c:pt>
                <c:pt idx="192">
                  <c:v>480.40049999999997</c:v>
                </c:pt>
                <c:pt idx="193">
                  <c:v>478.66949999999997</c:v>
                </c:pt>
                <c:pt idx="194">
                  <c:v>476.76299999999998</c:v>
                </c:pt>
                <c:pt idx="195">
                  <c:v>474.97950000000003</c:v>
                </c:pt>
                <c:pt idx="196">
                  <c:v>473.16600000000005</c:v>
                </c:pt>
                <c:pt idx="197">
                  <c:v>471.26250000000005</c:v>
                </c:pt>
                <c:pt idx="198">
                  <c:v>469.524</c:v>
                </c:pt>
                <c:pt idx="199">
                  <c:v>467.625</c:v>
                </c:pt>
                <c:pt idx="200">
                  <c:v>465.84749999999997</c:v>
                </c:pt>
                <c:pt idx="201">
                  <c:v>464.11649999999997</c:v>
                </c:pt>
                <c:pt idx="202">
                  <c:v>462.19350000000003</c:v>
                </c:pt>
                <c:pt idx="203">
                  <c:v>460.23449999999997</c:v>
                </c:pt>
                <c:pt idx="204">
                  <c:v>457.24950000000001</c:v>
                </c:pt>
                <c:pt idx="205">
                  <c:v>454.5</c:v>
                </c:pt>
                <c:pt idx="206">
                  <c:v>451.57500000000005</c:v>
                </c:pt>
                <c:pt idx="207">
                  <c:v>448.86300000000006</c:v>
                </c:pt>
                <c:pt idx="208">
                  <c:v>446.226</c:v>
                </c:pt>
                <c:pt idx="209">
                  <c:v>443.41200000000003</c:v>
                </c:pt>
                <c:pt idx="210">
                  <c:v>440.93999999999994</c:v>
                </c:pt>
                <c:pt idx="211">
                  <c:v>438.22499999999997</c:v>
                </c:pt>
                <c:pt idx="212">
                  <c:v>435.678</c:v>
                </c:pt>
                <c:pt idx="213">
                  <c:v>433.28250000000003</c:v>
                </c:pt>
                <c:pt idx="214">
                  <c:v>430.52699999999993</c:v>
                </c:pt>
                <c:pt idx="215">
                  <c:v>428.34749999999997</c:v>
                </c:pt>
                <c:pt idx="216">
                  <c:v>425.8125</c:v>
                </c:pt>
                <c:pt idx="217">
                  <c:v>423.48449999999997</c:v>
                </c:pt>
                <c:pt idx="218">
                  <c:v>421.00049999999999</c:v>
                </c:pt>
                <c:pt idx="219">
                  <c:v>418.70550000000003</c:v>
                </c:pt>
                <c:pt idx="220">
                  <c:v>416.40750000000003</c:v>
                </c:pt>
                <c:pt idx="221">
                  <c:v>413.97450000000003</c:v>
                </c:pt>
                <c:pt idx="222">
                  <c:v>411.786</c:v>
                </c:pt>
                <c:pt idx="223">
                  <c:v>409.3125</c:v>
                </c:pt>
                <c:pt idx="224">
                  <c:v>406.95899999999995</c:v>
                </c:pt>
                <c:pt idx="225">
                  <c:v>404.78250000000003</c:v>
                </c:pt>
                <c:pt idx="226">
                  <c:v>402.255</c:v>
                </c:pt>
                <c:pt idx="227">
                  <c:v>400.28250000000003</c:v>
                </c:pt>
                <c:pt idx="228">
                  <c:v>397.98749999999995</c:v>
                </c:pt>
                <c:pt idx="229">
                  <c:v>395.89050000000003</c:v>
                </c:pt>
                <c:pt idx="230">
                  <c:v>393.68700000000001</c:v>
                </c:pt>
                <c:pt idx="231">
                  <c:v>391.65750000000003</c:v>
                </c:pt>
                <c:pt idx="232">
                  <c:v>389.70899999999995</c:v>
                </c:pt>
                <c:pt idx="233">
                  <c:v>387.61200000000002</c:v>
                </c:pt>
                <c:pt idx="234">
                  <c:v>385.75349999999997</c:v>
                </c:pt>
                <c:pt idx="235">
                  <c:v>383.73749999999995</c:v>
                </c:pt>
                <c:pt idx="236">
                  <c:v>381.87149999999997</c:v>
                </c:pt>
                <c:pt idx="237">
                  <c:v>380.08050000000003</c:v>
                </c:pt>
                <c:pt idx="238">
                  <c:v>378.01349999999996</c:v>
                </c:pt>
                <c:pt idx="239">
                  <c:v>376.37850000000003</c:v>
                </c:pt>
                <c:pt idx="240">
                  <c:v>374.4375</c:v>
                </c:pt>
                <c:pt idx="241">
                  <c:v>372.666</c:v>
                </c:pt>
                <c:pt idx="242">
                  <c:v>370.81200000000001</c:v>
                </c:pt>
                <c:pt idx="243">
                  <c:v>369.048</c:v>
                </c:pt>
                <c:pt idx="244">
                  <c:v>367.31849999999997</c:v>
                </c:pt>
                <c:pt idx="245">
                  <c:v>365.46299999999997</c:v>
                </c:pt>
                <c:pt idx="246">
                  <c:v>364.173</c:v>
                </c:pt>
                <c:pt idx="247">
                  <c:v>362.4255</c:v>
                </c:pt>
                <c:pt idx="248">
                  <c:v>360.27750000000003</c:v>
                </c:pt>
                <c:pt idx="249">
                  <c:v>358.572</c:v>
                </c:pt>
                <c:pt idx="250">
                  <c:v>356.75400000000002</c:v>
                </c:pt>
                <c:pt idx="251">
                  <c:v>355.185</c:v>
                </c:pt>
                <c:pt idx="252">
                  <c:v>353.50049999999999</c:v>
                </c:pt>
                <c:pt idx="253">
                  <c:v>351.90749999999997</c:v>
                </c:pt>
                <c:pt idx="254">
                  <c:v>350.238</c:v>
                </c:pt>
                <c:pt idx="255">
                  <c:v>389.274</c:v>
                </c:pt>
                <c:pt idx="256">
                  <c:v>391.56000000000006</c:v>
                </c:pt>
                <c:pt idx="257">
                  <c:v>390.21299999999997</c:v>
                </c:pt>
                <c:pt idx="258">
                  <c:v>389.274</c:v>
                </c:pt>
                <c:pt idx="259">
                  <c:v>388.15049999999997</c:v>
                </c:pt>
                <c:pt idx="260">
                  <c:v>387.22950000000003</c:v>
                </c:pt>
                <c:pt idx="261">
                  <c:v>386.35949999999997</c:v>
                </c:pt>
                <c:pt idx="262">
                  <c:v>385.21800000000002</c:v>
                </c:pt>
                <c:pt idx="263">
                  <c:v>384.26550000000003</c:v>
                </c:pt>
                <c:pt idx="264">
                  <c:v>383.0745</c:v>
                </c:pt>
                <c:pt idx="265">
                  <c:v>381.93150000000003</c:v>
                </c:pt>
                <c:pt idx="266">
                  <c:v>380.625</c:v>
                </c:pt>
                <c:pt idx="267">
                  <c:v>379.33050000000003</c:v>
                </c:pt>
                <c:pt idx="268">
                  <c:v>378.012</c:v>
                </c:pt>
                <c:pt idx="269">
                  <c:v>376.52549999999997</c:v>
                </c:pt>
                <c:pt idx="270">
                  <c:v>375.012</c:v>
                </c:pt>
                <c:pt idx="271">
                  <c:v>374.59950000000003</c:v>
                </c:pt>
                <c:pt idx="272">
                  <c:v>374.15250000000003</c:v>
                </c:pt>
                <c:pt idx="273">
                  <c:v>373.161</c:v>
                </c:pt>
                <c:pt idx="274">
                  <c:v>371.6925</c:v>
                </c:pt>
                <c:pt idx="275">
                  <c:v>370.60950000000003</c:v>
                </c:pt>
                <c:pt idx="276">
                  <c:v>369.40049999999997</c:v>
                </c:pt>
                <c:pt idx="277">
                  <c:v>367.75350000000003</c:v>
                </c:pt>
                <c:pt idx="278">
                  <c:v>365.77499999999998</c:v>
                </c:pt>
                <c:pt idx="279">
                  <c:v>364.077</c:v>
                </c:pt>
                <c:pt idx="280">
                  <c:v>362.262</c:v>
                </c:pt>
                <c:pt idx="281">
                  <c:v>360.41250000000002</c:v>
                </c:pt>
                <c:pt idx="282">
                  <c:v>358.75350000000003</c:v>
                </c:pt>
                <c:pt idx="283">
                  <c:v>356.97450000000003</c:v>
                </c:pt>
                <c:pt idx="284">
                  <c:v>355.35449999999997</c:v>
                </c:pt>
                <c:pt idx="285">
                  <c:v>353.94</c:v>
                </c:pt>
                <c:pt idx="286">
                  <c:v>352.1925</c:v>
                </c:pt>
                <c:pt idx="287">
                  <c:v>350.81849999999997</c:v>
                </c:pt>
                <c:pt idx="288">
                  <c:v>349.125</c:v>
                </c:pt>
                <c:pt idx="289">
                  <c:v>347.625</c:v>
                </c:pt>
                <c:pt idx="290">
                  <c:v>346.35</c:v>
                </c:pt>
                <c:pt idx="291">
                  <c:v>344.44349999999997</c:v>
                </c:pt>
                <c:pt idx="292">
                  <c:v>342.85950000000003</c:v>
                </c:pt>
                <c:pt idx="293">
                  <c:v>341.18700000000001</c:v>
                </c:pt>
                <c:pt idx="294">
                  <c:v>339.61649999999997</c:v>
                </c:pt>
                <c:pt idx="295">
                  <c:v>337.887</c:v>
                </c:pt>
                <c:pt idx="296">
                  <c:v>336.303</c:v>
                </c:pt>
                <c:pt idx="297">
                  <c:v>334.76549999999997</c:v>
                </c:pt>
                <c:pt idx="298">
                  <c:v>333.07799999999997</c:v>
                </c:pt>
                <c:pt idx="299">
                  <c:v>331.62149999999997</c:v>
                </c:pt>
                <c:pt idx="300">
                  <c:v>330.02549999999997</c:v>
                </c:pt>
                <c:pt idx="301">
                  <c:v>328.536</c:v>
                </c:pt>
                <c:pt idx="302">
                  <c:v>326.87549999999999</c:v>
                </c:pt>
                <c:pt idx="303">
                  <c:v>325.24649999999997</c:v>
                </c:pt>
                <c:pt idx="304">
                  <c:v>323.673</c:v>
                </c:pt>
                <c:pt idx="305">
                  <c:v>322.02449999999999</c:v>
                </c:pt>
                <c:pt idx="306">
                  <c:v>320.52750000000003</c:v>
                </c:pt>
                <c:pt idx="307">
                  <c:v>318.9255</c:v>
                </c:pt>
                <c:pt idx="308">
                  <c:v>317.39550000000003</c:v>
                </c:pt>
                <c:pt idx="309">
                  <c:v>315.93150000000003</c:v>
                </c:pt>
                <c:pt idx="310">
                  <c:v>314.11649999999997</c:v>
                </c:pt>
                <c:pt idx="311">
                  <c:v>312.62850000000003</c:v>
                </c:pt>
                <c:pt idx="312">
                  <c:v>310.96199999999999</c:v>
                </c:pt>
                <c:pt idx="313">
                  <c:v>309.399</c:v>
                </c:pt>
                <c:pt idx="314">
                  <c:v>307.6755</c:v>
                </c:pt>
                <c:pt idx="315">
                  <c:v>306</c:v>
                </c:pt>
                <c:pt idx="316">
                  <c:v>304.31849999999997</c:v>
                </c:pt>
                <c:pt idx="317">
                  <c:v>302.50049999999999</c:v>
                </c:pt>
                <c:pt idx="318">
                  <c:v>300.84749999999997</c:v>
                </c:pt>
                <c:pt idx="319">
                  <c:v>299.03700000000003</c:v>
                </c:pt>
                <c:pt idx="320">
                  <c:v>297.315</c:v>
                </c:pt>
                <c:pt idx="321">
                  <c:v>295.69349999999997</c:v>
                </c:pt>
                <c:pt idx="322">
                  <c:v>293.71800000000002</c:v>
                </c:pt>
                <c:pt idx="323">
                  <c:v>292.137</c:v>
                </c:pt>
                <c:pt idx="324">
                  <c:v>290.262</c:v>
                </c:pt>
                <c:pt idx="325">
                  <c:v>288.55650000000003</c:v>
                </c:pt>
                <c:pt idx="326">
                  <c:v>286.6995</c:v>
                </c:pt>
                <c:pt idx="327">
                  <c:v>284.952</c:v>
                </c:pt>
                <c:pt idx="328">
                  <c:v>283.197</c:v>
                </c:pt>
                <c:pt idx="329">
                  <c:v>281.39999999999998</c:v>
                </c:pt>
                <c:pt idx="330">
                  <c:v>279.702</c:v>
                </c:pt>
                <c:pt idx="331">
                  <c:v>277.91250000000002</c:v>
                </c:pt>
                <c:pt idx="332">
                  <c:v>276.18150000000003</c:v>
                </c:pt>
                <c:pt idx="333">
                  <c:v>274.56</c:v>
                </c:pt>
                <c:pt idx="334">
                  <c:v>272.625</c:v>
                </c:pt>
                <c:pt idx="335">
                  <c:v>271.053</c:v>
                </c:pt>
                <c:pt idx="336">
                  <c:v>269.238</c:v>
                </c:pt>
                <c:pt idx="337">
                  <c:v>267.52050000000003</c:v>
                </c:pt>
                <c:pt idx="338">
                  <c:v>265.6875</c:v>
                </c:pt>
                <c:pt idx="339">
                  <c:v>263.94</c:v>
                </c:pt>
                <c:pt idx="340">
                  <c:v>262.197</c:v>
                </c:pt>
                <c:pt idx="341">
                  <c:v>260.37450000000001</c:v>
                </c:pt>
                <c:pt idx="342">
                  <c:v>258.678</c:v>
                </c:pt>
                <c:pt idx="343">
                  <c:v>256.83749999999998</c:v>
                </c:pt>
                <c:pt idx="344">
                  <c:v>255.14550000000003</c:v>
                </c:pt>
                <c:pt idx="345">
                  <c:v>253.488</c:v>
                </c:pt>
                <c:pt idx="346">
                  <c:v>251.61150000000004</c:v>
                </c:pt>
                <c:pt idx="347">
                  <c:v>249.96750000000003</c:v>
                </c:pt>
                <c:pt idx="348">
                  <c:v>248.13750000000002</c:v>
                </c:pt>
                <c:pt idx="349">
                  <c:v>246.447</c:v>
                </c:pt>
                <c:pt idx="350">
                  <c:v>244.62450000000001</c:v>
                </c:pt>
                <c:pt idx="351">
                  <c:v>242.928</c:v>
                </c:pt>
                <c:pt idx="352">
                  <c:v>241.2225</c:v>
                </c:pt>
                <c:pt idx="353">
                  <c:v>239.4495</c:v>
                </c:pt>
                <c:pt idx="354">
                  <c:v>237.822</c:v>
                </c:pt>
                <c:pt idx="355">
                  <c:v>236.10000000000002</c:v>
                </c:pt>
                <c:pt idx="356">
                  <c:v>234.459</c:v>
                </c:pt>
                <c:pt idx="357">
                  <c:v>232.935</c:v>
                </c:pt>
                <c:pt idx="358">
                  <c:v>231.17400000000004</c:v>
                </c:pt>
                <c:pt idx="359">
                  <c:v>229.76549999999997</c:v>
                </c:pt>
                <c:pt idx="360">
                  <c:v>228.14999999999998</c:v>
                </c:pt>
                <c:pt idx="361">
                  <c:v>226.68150000000003</c:v>
                </c:pt>
                <c:pt idx="362">
                  <c:v>225.12450000000001</c:v>
                </c:pt>
                <c:pt idx="363">
                  <c:v>223.68150000000003</c:v>
                </c:pt>
                <c:pt idx="364">
                  <c:v>222.22949999999997</c:v>
                </c:pt>
                <c:pt idx="365">
                  <c:v>220.77449999999999</c:v>
                </c:pt>
                <c:pt idx="366">
                  <c:v>219.411</c:v>
                </c:pt>
                <c:pt idx="367">
                  <c:v>217.98749999999998</c:v>
                </c:pt>
                <c:pt idx="368">
                  <c:v>216.6525</c:v>
                </c:pt>
                <c:pt idx="369">
                  <c:v>215.4195</c:v>
                </c:pt>
                <c:pt idx="370">
                  <c:v>214.005</c:v>
                </c:pt>
                <c:pt idx="371">
                  <c:v>212.916</c:v>
                </c:pt>
                <c:pt idx="372">
                  <c:v>211.62450000000001</c:v>
                </c:pt>
                <c:pt idx="373">
                  <c:v>210.435</c:v>
                </c:pt>
                <c:pt idx="374">
                  <c:v>209.16300000000001</c:v>
                </c:pt>
                <c:pt idx="375">
                  <c:v>207.96750000000003</c:v>
                </c:pt>
                <c:pt idx="376">
                  <c:v>206.7945</c:v>
                </c:pt>
                <c:pt idx="377">
                  <c:v>205.57500000000002</c:v>
                </c:pt>
                <c:pt idx="378">
                  <c:v>204.48450000000003</c:v>
                </c:pt>
                <c:pt idx="379">
                  <c:v>203.29949999999997</c:v>
                </c:pt>
                <c:pt idx="380">
                  <c:v>202.209</c:v>
                </c:pt>
                <c:pt idx="381">
                  <c:v>201.2055</c:v>
                </c:pt>
                <c:pt idx="382">
                  <c:v>200.02200000000002</c:v>
                </c:pt>
                <c:pt idx="383">
                  <c:v>199.077</c:v>
                </c:pt>
                <c:pt idx="384">
                  <c:v>198</c:v>
                </c:pt>
                <c:pt idx="385">
                  <c:v>197.0085</c:v>
                </c:pt>
                <c:pt idx="386">
                  <c:v>195.9495</c:v>
                </c:pt>
                <c:pt idx="387">
                  <c:v>194.976</c:v>
                </c:pt>
                <c:pt idx="388">
                  <c:v>193.98450000000003</c:v>
                </c:pt>
                <c:pt idx="389">
                  <c:v>192.98699999999997</c:v>
                </c:pt>
                <c:pt idx="390">
                  <c:v>192.036</c:v>
                </c:pt>
                <c:pt idx="391">
                  <c:v>191.0505</c:v>
                </c:pt>
                <c:pt idx="392">
                  <c:v>190.137</c:v>
                </c:pt>
                <c:pt idx="393">
                  <c:v>189.2175</c:v>
                </c:pt>
                <c:pt idx="394">
                  <c:v>188.19899999999998</c:v>
                </c:pt>
                <c:pt idx="395">
                  <c:v>187.5975</c:v>
                </c:pt>
                <c:pt idx="396">
                  <c:v>186.47549999999998</c:v>
                </c:pt>
                <c:pt idx="397">
                  <c:v>185.613</c:v>
                </c:pt>
                <c:pt idx="398">
                  <c:v>184.72500000000002</c:v>
                </c:pt>
                <c:pt idx="399">
                  <c:v>183.8955</c:v>
                </c:pt>
                <c:pt idx="400">
                  <c:v>183.024</c:v>
                </c:pt>
                <c:pt idx="401">
                  <c:v>182.14950000000002</c:v>
                </c:pt>
                <c:pt idx="402">
                  <c:v>181.3545</c:v>
                </c:pt>
                <c:pt idx="403">
                  <c:v>180.47549999999998</c:v>
                </c:pt>
                <c:pt idx="404">
                  <c:v>179.685</c:v>
                </c:pt>
                <c:pt idx="405">
                  <c:v>178.476</c:v>
                </c:pt>
                <c:pt idx="406">
                  <c:v>176.91899999999998</c:v>
                </c:pt>
                <c:pt idx="407">
                  <c:v>175.7655</c:v>
                </c:pt>
                <c:pt idx="408">
                  <c:v>174.45</c:v>
                </c:pt>
                <c:pt idx="409">
                  <c:v>173.3955</c:v>
                </c:pt>
                <c:pt idx="410">
                  <c:v>172.35000000000002</c:v>
                </c:pt>
                <c:pt idx="411">
                  <c:v>171.363</c:v>
                </c:pt>
                <c:pt idx="412">
                  <c:v>170.4195</c:v>
                </c:pt>
                <c:pt idx="413">
                  <c:v>169.42500000000001</c:v>
                </c:pt>
                <c:pt idx="414">
                  <c:v>168.6045</c:v>
                </c:pt>
                <c:pt idx="415">
                  <c:v>167.625</c:v>
                </c:pt>
                <c:pt idx="416">
                  <c:v>166.7175</c:v>
                </c:pt>
                <c:pt idx="417">
                  <c:v>169.6935</c:v>
                </c:pt>
                <c:pt idx="418">
                  <c:v>169.23149999999998</c:v>
                </c:pt>
                <c:pt idx="419">
                  <c:v>168.6045</c:v>
                </c:pt>
                <c:pt idx="420">
                  <c:v>167.8245</c:v>
                </c:pt>
                <c:pt idx="421">
                  <c:v>167.178</c:v>
                </c:pt>
                <c:pt idx="422">
                  <c:v>166.42500000000001</c:v>
                </c:pt>
                <c:pt idx="423">
                  <c:v>165.774</c:v>
                </c:pt>
                <c:pt idx="424">
                  <c:v>165.1215</c:v>
                </c:pt>
                <c:pt idx="425">
                  <c:v>164.39999999999998</c:v>
                </c:pt>
                <c:pt idx="426">
                  <c:v>163.7415</c:v>
                </c:pt>
                <c:pt idx="427">
                  <c:v>163.09950000000001</c:v>
                </c:pt>
                <c:pt idx="428">
                  <c:v>162.435</c:v>
                </c:pt>
                <c:pt idx="429">
                  <c:v>161.8785</c:v>
                </c:pt>
                <c:pt idx="430">
                  <c:v>161.14350000000002</c:v>
                </c:pt>
                <c:pt idx="431">
                  <c:v>160.6215</c:v>
                </c:pt>
                <c:pt idx="432">
                  <c:v>159.9255</c:v>
                </c:pt>
                <c:pt idx="433">
                  <c:v>159.363</c:v>
                </c:pt>
                <c:pt idx="434">
                  <c:v>158.72549999999998</c:v>
                </c:pt>
                <c:pt idx="435">
                  <c:v>158.1285</c:v>
                </c:pt>
                <c:pt idx="436">
                  <c:v>157.548</c:v>
                </c:pt>
                <c:pt idx="437">
                  <c:v>156.9255</c:v>
                </c:pt>
                <c:pt idx="438">
                  <c:v>156.363</c:v>
                </c:pt>
                <c:pt idx="439">
                  <c:v>154.79937000000001</c:v>
                </c:pt>
                <c:pt idx="440">
                  <c:v>153.2513763</c:v>
                </c:pt>
                <c:pt idx="441">
                  <c:v>151.71886253700001</c:v>
                </c:pt>
                <c:pt idx="442">
                  <c:v>150.20167391163</c:v>
                </c:pt>
                <c:pt idx="443">
                  <c:v>148.6996571725137</c:v>
                </c:pt>
                <c:pt idx="444">
                  <c:v>147.21266060078855</c:v>
                </c:pt>
                <c:pt idx="445">
                  <c:v>145.74053399478066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90-45FF-823D-857AD61FB73F}"/>
            </c:ext>
          </c:extLst>
        </c:ser>
        <c:ser>
          <c:idx val="3"/>
          <c:order val="3"/>
          <c:tx>
            <c:strRef>
              <c:f>'FPSO1 Otim'!$F$5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Otim'!$F$6:$F$733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1537.8899999999999</c:v>
                </c:pt>
                <c:pt idx="7">
                  <c:v>1759.9949999999999</c:v>
                </c:pt>
                <c:pt idx="8">
                  <c:v>1842.9450000000002</c:v>
                </c:pt>
                <c:pt idx="9">
                  <c:v>1931.16</c:v>
                </c:pt>
                <c:pt idx="10">
                  <c:v>2016.4349999999999</c:v>
                </c:pt>
                <c:pt idx="11">
                  <c:v>2074.14</c:v>
                </c:pt>
                <c:pt idx="12">
                  <c:v>2115.8999999999996</c:v>
                </c:pt>
                <c:pt idx="13">
                  <c:v>2099.52</c:v>
                </c:pt>
                <c:pt idx="14">
                  <c:v>2075.145</c:v>
                </c:pt>
                <c:pt idx="15">
                  <c:v>2039.5650000000001</c:v>
                </c:pt>
                <c:pt idx="16">
                  <c:v>1964.4900000000002</c:v>
                </c:pt>
                <c:pt idx="17">
                  <c:v>1875.8849999999998</c:v>
                </c:pt>
                <c:pt idx="18">
                  <c:v>1836.8999999999999</c:v>
                </c:pt>
                <c:pt idx="19">
                  <c:v>1796.91</c:v>
                </c:pt>
                <c:pt idx="20">
                  <c:v>1751.6849999999999</c:v>
                </c:pt>
                <c:pt idx="21">
                  <c:v>1698.03</c:v>
                </c:pt>
                <c:pt idx="22">
                  <c:v>1643.6100000000001</c:v>
                </c:pt>
                <c:pt idx="23">
                  <c:v>1608.6750000000002</c:v>
                </c:pt>
                <c:pt idx="24">
                  <c:v>1576.8000000000002</c:v>
                </c:pt>
                <c:pt idx="25">
                  <c:v>1548.7049999999999</c:v>
                </c:pt>
                <c:pt idx="26">
                  <c:v>1537.29</c:v>
                </c:pt>
                <c:pt idx="27">
                  <c:v>1519.4850000000001</c:v>
                </c:pt>
                <c:pt idx="28">
                  <c:v>1506.135</c:v>
                </c:pt>
                <c:pt idx="29">
                  <c:v>1490.5844999999999</c:v>
                </c:pt>
                <c:pt idx="30">
                  <c:v>1476.4470000000001</c:v>
                </c:pt>
                <c:pt idx="31">
                  <c:v>1461.0374999999999</c:v>
                </c:pt>
                <c:pt idx="32">
                  <c:v>1447.0529999999999</c:v>
                </c:pt>
                <c:pt idx="33">
                  <c:v>1433.625</c:v>
                </c:pt>
                <c:pt idx="34">
                  <c:v>1419.8744999999999</c:v>
                </c:pt>
                <c:pt idx="35">
                  <c:v>1407.8340000000001</c:v>
                </c:pt>
                <c:pt idx="36">
                  <c:v>1395.0255000000002</c:v>
                </c:pt>
                <c:pt idx="37">
                  <c:v>1384.2645</c:v>
                </c:pt>
                <c:pt idx="38">
                  <c:v>1373.7345</c:v>
                </c:pt>
                <c:pt idx="39">
                  <c:v>1361.3969999999999</c:v>
                </c:pt>
                <c:pt idx="40">
                  <c:v>1351.9904999999999</c:v>
                </c:pt>
                <c:pt idx="41">
                  <c:v>1341.2505000000001</c:v>
                </c:pt>
                <c:pt idx="42">
                  <c:v>1331.7645</c:v>
                </c:pt>
                <c:pt idx="43">
                  <c:v>1321.6185</c:v>
                </c:pt>
                <c:pt idx="44">
                  <c:v>1312.3185000000001</c:v>
                </c:pt>
                <c:pt idx="45">
                  <c:v>1303.1370000000002</c:v>
                </c:pt>
                <c:pt idx="46">
                  <c:v>1293.4559999999999</c:v>
                </c:pt>
                <c:pt idx="47">
                  <c:v>1288.6275000000001</c:v>
                </c:pt>
                <c:pt idx="48">
                  <c:v>1277.8004999999998</c:v>
                </c:pt>
                <c:pt idx="49">
                  <c:v>1269.297</c:v>
                </c:pt>
                <c:pt idx="50">
                  <c:v>1260.8039999999999</c:v>
                </c:pt>
                <c:pt idx="51">
                  <c:v>1250.2905000000001</c:v>
                </c:pt>
                <c:pt idx="52">
                  <c:v>1241.934</c:v>
                </c:pt>
                <c:pt idx="53">
                  <c:v>1232.1495</c:v>
                </c:pt>
                <c:pt idx="54">
                  <c:v>1223.3595</c:v>
                </c:pt>
                <c:pt idx="55">
                  <c:v>1213.8945000000001</c:v>
                </c:pt>
                <c:pt idx="56">
                  <c:v>1205.0925</c:v>
                </c:pt>
                <c:pt idx="57">
                  <c:v>1196.4675</c:v>
                </c:pt>
                <c:pt idx="58">
                  <c:v>1187.5815</c:v>
                </c:pt>
                <c:pt idx="59">
                  <c:v>1179.6164999999999</c:v>
                </c:pt>
                <c:pt idx="60">
                  <c:v>1171.038</c:v>
                </c:pt>
                <c:pt idx="61">
                  <c:v>1159.0035</c:v>
                </c:pt>
                <c:pt idx="62">
                  <c:v>1151.1960000000001</c:v>
                </c:pt>
                <c:pt idx="63">
                  <c:v>1143.0060000000001</c:v>
                </c:pt>
                <c:pt idx="64">
                  <c:v>1136.1224999999999</c:v>
                </c:pt>
                <c:pt idx="65">
                  <c:v>1128.4304999999999</c:v>
                </c:pt>
                <c:pt idx="66">
                  <c:v>1121.4555</c:v>
                </c:pt>
                <c:pt idx="67">
                  <c:v>1113.8820000000001</c:v>
                </c:pt>
                <c:pt idx="68">
                  <c:v>1106.8125</c:v>
                </c:pt>
                <c:pt idx="69">
                  <c:v>1099.845</c:v>
                </c:pt>
                <c:pt idx="70">
                  <c:v>1092.6374999999998</c:v>
                </c:pt>
                <c:pt idx="71">
                  <c:v>1086.1575</c:v>
                </c:pt>
                <c:pt idx="72">
                  <c:v>1079.1690000000001</c:v>
                </c:pt>
                <c:pt idx="73">
                  <c:v>1065.0419999999999</c:v>
                </c:pt>
                <c:pt idx="74">
                  <c:v>1058.8605</c:v>
                </c:pt>
                <c:pt idx="75">
                  <c:v>1052.4314999999999</c:v>
                </c:pt>
                <c:pt idx="76">
                  <c:v>1047.2294999999999</c:v>
                </c:pt>
                <c:pt idx="77">
                  <c:v>1041.144</c:v>
                </c:pt>
                <c:pt idx="78">
                  <c:v>1035.6044999999999</c:v>
                </c:pt>
                <c:pt idx="79">
                  <c:v>1029.6374999999998</c:v>
                </c:pt>
                <c:pt idx="80">
                  <c:v>1024.077</c:v>
                </c:pt>
                <c:pt idx="81">
                  <c:v>1018.5239999999999</c:v>
                </c:pt>
                <c:pt idx="82">
                  <c:v>1012.6005</c:v>
                </c:pt>
                <c:pt idx="83">
                  <c:v>1007.2139999999999</c:v>
                </c:pt>
                <c:pt idx="84">
                  <c:v>1001.3249999999999</c:v>
                </c:pt>
                <c:pt idx="85">
                  <c:v>995.94</c:v>
                </c:pt>
                <c:pt idx="86">
                  <c:v>990.89549999999997</c:v>
                </c:pt>
                <c:pt idx="87">
                  <c:v>984.97800000000007</c:v>
                </c:pt>
                <c:pt idx="88">
                  <c:v>980.27399999999989</c:v>
                </c:pt>
                <c:pt idx="89">
                  <c:v>974.80049999999994</c:v>
                </c:pt>
                <c:pt idx="90">
                  <c:v>969.822</c:v>
                </c:pt>
                <c:pt idx="91">
                  <c:v>964.45049999999992</c:v>
                </c:pt>
                <c:pt idx="92">
                  <c:v>959.44350000000009</c:v>
                </c:pt>
                <c:pt idx="93">
                  <c:v>954.447</c:v>
                </c:pt>
                <c:pt idx="94">
                  <c:v>949.22550000000001</c:v>
                </c:pt>
                <c:pt idx="95">
                  <c:v>944.45549999999992</c:v>
                </c:pt>
                <c:pt idx="96">
                  <c:v>939.28800000000001</c:v>
                </c:pt>
                <c:pt idx="97">
                  <c:v>934.548</c:v>
                </c:pt>
                <c:pt idx="98">
                  <c:v>930.072</c:v>
                </c:pt>
                <c:pt idx="99">
                  <c:v>924.81749999999988</c:v>
                </c:pt>
                <c:pt idx="100">
                  <c:v>920.625</c:v>
                </c:pt>
                <c:pt idx="101">
                  <c:v>915.76200000000006</c:v>
                </c:pt>
                <c:pt idx="102">
                  <c:v>911.31</c:v>
                </c:pt>
                <c:pt idx="103">
                  <c:v>906.4994999999999</c:v>
                </c:pt>
                <c:pt idx="104">
                  <c:v>902.03250000000003</c:v>
                </c:pt>
                <c:pt idx="105">
                  <c:v>897.58049999999992</c:v>
                </c:pt>
                <c:pt idx="106">
                  <c:v>892.88700000000006</c:v>
                </c:pt>
                <c:pt idx="107">
                  <c:v>888.65249999999992</c:v>
                </c:pt>
                <c:pt idx="108">
                  <c:v>884.02500000000009</c:v>
                </c:pt>
                <c:pt idx="109">
                  <c:v>879.81</c:v>
                </c:pt>
                <c:pt idx="110">
                  <c:v>875.73450000000003</c:v>
                </c:pt>
                <c:pt idx="111">
                  <c:v>871.21499999999992</c:v>
                </c:pt>
                <c:pt idx="112">
                  <c:v>867.375</c:v>
                </c:pt>
                <c:pt idx="113">
                  <c:v>863.08800000000008</c:v>
                </c:pt>
                <c:pt idx="114">
                  <c:v>859.23450000000003</c:v>
                </c:pt>
                <c:pt idx="115">
                  <c:v>855.02550000000008</c:v>
                </c:pt>
                <c:pt idx="116">
                  <c:v>851.12850000000003</c:v>
                </c:pt>
                <c:pt idx="117">
                  <c:v>847.25850000000014</c:v>
                </c:pt>
                <c:pt idx="118">
                  <c:v>843.22499999999991</c:v>
                </c:pt>
                <c:pt idx="119">
                  <c:v>839.553</c:v>
                </c:pt>
                <c:pt idx="120">
                  <c:v>835.57499999999993</c:v>
                </c:pt>
                <c:pt idx="121">
                  <c:v>826.33049999999992</c:v>
                </c:pt>
                <c:pt idx="122">
                  <c:v>822.66599999999994</c:v>
                </c:pt>
                <c:pt idx="123">
                  <c:v>819.01350000000002</c:v>
                </c:pt>
                <c:pt idx="124">
                  <c:v>815.928</c:v>
                </c:pt>
                <c:pt idx="125">
                  <c:v>812.40000000000009</c:v>
                </c:pt>
                <c:pt idx="126">
                  <c:v>809.178</c:v>
                </c:pt>
                <c:pt idx="127">
                  <c:v>805.73700000000008</c:v>
                </c:pt>
                <c:pt idx="128">
                  <c:v>802.48799999999994</c:v>
                </c:pt>
                <c:pt idx="129">
                  <c:v>799.23450000000003</c:v>
                </c:pt>
                <c:pt idx="130">
                  <c:v>795.83699999999999</c:v>
                </c:pt>
                <c:pt idx="131">
                  <c:v>792.71399999999994</c:v>
                </c:pt>
                <c:pt idx="132">
                  <c:v>790.05000000000007</c:v>
                </c:pt>
                <c:pt idx="133">
                  <c:v>786.33899999999994</c:v>
                </c:pt>
                <c:pt idx="134">
                  <c:v>783.39899999999989</c:v>
                </c:pt>
                <c:pt idx="135">
                  <c:v>779.97299999999996</c:v>
                </c:pt>
                <c:pt idx="136">
                  <c:v>777.25350000000003</c:v>
                </c:pt>
                <c:pt idx="137">
                  <c:v>774.02550000000008</c:v>
                </c:pt>
                <c:pt idx="138">
                  <c:v>771.10950000000003</c:v>
                </c:pt>
                <c:pt idx="139">
                  <c:v>767.89949999999999</c:v>
                </c:pt>
                <c:pt idx="140">
                  <c:v>764.89049999999997</c:v>
                </c:pt>
                <c:pt idx="141">
                  <c:v>761.91600000000005</c:v>
                </c:pt>
                <c:pt idx="142">
                  <c:v>758.74950000000001</c:v>
                </c:pt>
                <c:pt idx="143">
                  <c:v>755.83050000000003</c:v>
                </c:pt>
                <c:pt idx="144">
                  <c:v>752.65049999999997</c:v>
                </c:pt>
                <c:pt idx="145">
                  <c:v>749.54100000000005</c:v>
                </c:pt>
                <c:pt idx="146">
                  <c:v>746.577</c:v>
                </c:pt>
                <c:pt idx="147">
                  <c:v>742.9815000000001</c:v>
                </c:pt>
                <c:pt idx="148">
                  <c:v>740.08050000000003</c:v>
                </c:pt>
                <c:pt idx="149">
                  <c:v>736.62450000000001</c:v>
                </c:pt>
                <c:pt idx="150">
                  <c:v>733.476</c:v>
                </c:pt>
                <c:pt idx="151">
                  <c:v>730.05</c:v>
                </c:pt>
                <c:pt idx="152">
                  <c:v>726.84749999999997</c:v>
                </c:pt>
                <c:pt idx="153">
                  <c:v>723.62850000000003</c:v>
                </c:pt>
                <c:pt idx="154">
                  <c:v>720.41249999999991</c:v>
                </c:pt>
                <c:pt idx="155">
                  <c:v>717.73800000000006</c:v>
                </c:pt>
                <c:pt idx="156">
                  <c:v>714.81299999999999</c:v>
                </c:pt>
                <c:pt idx="157">
                  <c:v>701.73450000000003</c:v>
                </c:pt>
                <c:pt idx="158">
                  <c:v>701.93999999999994</c:v>
                </c:pt>
                <c:pt idx="159">
                  <c:v>701.54700000000003</c:v>
                </c:pt>
                <c:pt idx="160">
                  <c:v>699.48450000000003</c:v>
                </c:pt>
                <c:pt idx="161">
                  <c:v>695.25</c:v>
                </c:pt>
                <c:pt idx="162">
                  <c:v>690.99149999999997</c:v>
                </c:pt>
                <c:pt idx="163">
                  <c:v>686.21250000000009</c:v>
                </c:pt>
                <c:pt idx="164">
                  <c:v>681.56850000000009</c:v>
                </c:pt>
                <c:pt idx="165">
                  <c:v>676.86300000000006</c:v>
                </c:pt>
                <c:pt idx="166">
                  <c:v>671.87549999999999</c:v>
                </c:pt>
                <c:pt idx="167">
                  <c:v>667.29449999999997</c:v>
                </c:pt>
                <c:pt idx="168">
                  <c:v>662.27549999999997</c:v>
                </c:pt>
                <c:pt idx="169">
                  <c:v>657.55649999999991</c:v>
                </c:pt>
                <c:pt idx="170">
                  <c:v>653.10450000000003</c:v>
                </c:pt>
                <c:pt idx="171">
                  <c:v>647.8125</c:v>
                </c:pt>
                <c:pt idx="172">
                  <c:v>643.59749999999997</c:v>
                </c:pt>
                <c:pt idx="173">
                  <c:v>638.66249999999991</c:v>
                </c:pt>
                <c:pt idx="174">
                  <c:v>634.197</c:v>
                </c:pt>
                <c:pt idx="175">
                  <c:v>628.30050000000006</c:v>
                </c:pt>
                <c:pt idx="176">
                  <c:v>621.83399999999995</c:v>
                </c:pt>
                <c:pt idx="177">
                  <c:v>615.423</c:v>
                </c:pt>
                <c:pt idx="178">
                  <c:v>608.70000000000005</c:v>
                </c:pt>
                <c:pt idx="179">
                  <c:v>602.78250000000003</c:v>
                </c:pt>
                <c:pt idx="180">
                  <c:v>596.50049999999999</c:v>
                </c:pt>
                <c:pt idx="181">
                  <c:v>590.70899999999995</c:v>
                </c:pt>
                <c:pt idx="182">
                  <c:v>585.29100000000005</c:v>
                </c:pt>
                <c:pt idx="183">
                  <c:v>579.13350000000003</c:v>
                </c:pt>
                <c:pt idx="184">
                  <c:v>574.35450000000003</c:v>
                </c:pt>
                <c:pt idx="185">
                  <c:v>568.90049999999997</c:v>
                </c:pt>
                <c:pt idx="186">
                  <c:v>563.928</c:v>
                </c:pt>
                <c:pt idx="187">
                  <c:v>558.75</c:v>
                </c:pt>
                <c:pt idx="188">
                  <c:v>553.98450000000003</c:v>
                </c:pt>
                <c:pt idx="189">
                  <c:v>549.33899999999994</c:v>
                </c:pt>
                <c:pt idx="190">
                  <c:v>544.41300000000001</c:v>
                </c:pt>
                <c:pt idx="191">
                  <c:v>540.03600000000006</c:v>
                </c:pt>
                <c:pt idx="192">
                  <c:v>535.42499999999995</c:v>
                </c:pt>
                <c:pt idx="193">
                  <c:v>531.12149999999997</c:v>
                </c:pt>
                <c:pt idx="194">
                  <c:v>527.11649999999997</c:v>
                </c:pt>
                <c:pt idx="195">
                  <c:v>522.4815000000001</c:v>
                </c:pt>
                <c:pt idx="196">
                  <c:v>518.83050000000003</c:v>
                </c:pt>
                <c:pt idx="197">
                  <c:v>514.60050000000001</c:v>
                </c:pt>
                <c:pt idx="198">
                  <c:v>510.75</c:v>
                </c:pt>
                <c:pt idx="199">
                  <c:v>506.71199999999999</c:v>
                </c:pt>
                <c:pt idx="200">
                  <c:v>502.947</c:v>
                </c:pt>
                <c:pt idx="201">
                  <c:v>499.25850000000003</c:v>
                </c:pt>
                <c:pt idx="202">
                  <c:v>495.32549999999998</c:v>
                </c:pt>
                <c:pt idx="203">
                  <c:v>491.85450000000003</c:v>
                </c:pt>
                <c:pt idx="204">
                  <c:v>488.11200000000002</c:v>
                </c:pt>
                <c:pt idx="205">
                  <c:v>484.66949999999997</c:v>
                </c:pt>
                <c:pt idx="206">
                  <c:v>481.33050000000003</c:v>
                </c:pt>
                <c:pt idx="207">
                  <c:v>477.67199999999997</c:v>
                </c:pt>
                <c:pt idx="208">
                  <c:v>474.68999999999994</c:v>
                </c:pt>
                <c:pt idx="209">
                  <c:v>471.52500000000003</c:v>
                </c:pt>
                <c:pt idx="210">
                  <c:v>468.678</c:v>
                </c:pt>
                <c:pt idx="211">
                  <c:v>465.61200000000002</c:v>
                </c:pt>
                <c:pt idx="212">
                  <c:v>462.726</c:v>
                </c:pt>
                <c:pt idx="213">
                  <c:v>459.93149999999997</c:v>
                </c:pt>
                <c:pt idx="214">
                  <c:v>456.97499999999997</c:v>
                </c:pt>
                <c:pt idx="215">
                  <c:v>454.25850000000003</c:v>
                </c:pt>
                <c:pt idx="216">
                  <c:v>451.38750000000005</c:v>
                </c:pt>
                <c:pt idx="217">
                  <c:v>448.75349999999997</c:v>
                </c:pt>
                <c:pt idx="218">
                  <c:v>446.286</c:v>
                </c:pt>
                <c:pt idx="219">
                  <c:v>443.41050000000007</c:v>
                </c:pt>
                <c:pt idx="220">
                  <c:v>441.12150000000003</c:v>
                </c:pt>
                <c:pt idx="221">
                  <c:v>438.48749999999995</c:v>
                </c:pt>
                <c:pt idx="222">
                  <c:v>436.11300000000006</c:v>
                </c:pt>
                <c:pt idx="223">
                  <c:v>433.54950000000002</c:v>
                </c:pt>
                <c:pt idx="224">
                  <c:v>431.202</c:v>
                </c:pt>
                <c:pt idx="225">
                  <c:v>428.87849999999997</c:v>
                </c:pt>
                <c:pt idx="226">
                  <c:v>426.40049999999997</c:v>
                </c:pt>
                <c:pt idx="227">
                  <c:v>424.161</c:v>
                </c:pt>
                <c:pt idx="228">
                  <c:v>421.69949999999994</c:v>
                </c:pt>
                <c:pt idx="229">
                  <c:v>419.41949999999997</c:v>
                </c:pt>
                <c:pt idx="230">
                  <c:v>417.36300000000006</c:v>
                </c:pt>
                <c:pt idx="231">
                  <c:v>414.96449999999993</c:v>
                </c:pt>
                <c:pt idx="232">
                  <c:v>413.03250000000003</c:v>
                </c:pt>
                <c:pt idx="233">
                  <c:v>410.80050000000006</c:v>
                </c:pt>
                <c:pt idx="234">
                  <c:v>408.75</c:v>
                </c:pt>
                <c:pt idx="235">
                  <c:v>406.52549999999997</c:v>
                </c:pt>
                <c:pt idx="236">
                  <c:v>404.51550000000003</c:v>
                </c:pt>
                <c:pt idx="237">
                  <c:v>402.48449999999997</c:v>
                </c:pt>
                <c:pt idx="238">
                  <c:v>400.34999999999997</c:v>
                </c:pt>
                <c:pt idx="239">
                  <c:v>398.39549999999997</c:v>
                </c:pt>
                <c:pt idx="240">
                  <c:v>396.27449999999999</c:v>
                </c:pt>
                <c:pt idx="241">
                  <c:v>394.30649999999997</c:v>
                </c:pt>
                <c:pt idx="242">
                  <c:v>392.44350000000003</c:v>
                </c:pt>
                <c:pt idx="243">
                  <c:v>390.24149999999997</c:v>
                </c:pt>
                <c:pt idx="244">
                  <c:v>388.5</c:v>
                </c:pt>
                <c:pt idx="245">
                  <c:v>386.50049999999999</c:v>
                </c:pt>
                <c:pt idx="246">
                  <c:v>384.62849999999997</c:v>
                </c:pt>
                <c:pt idx="247">
                  <c:v>382.65</c:v>
                </c:pt>
                <c:pt idx="248">
                  <c:v>380.80650000000003</c:v>
                </c:pt>
                <c:pt idx="249">
                  <c:v>378.96750000000003</c:v>
                </c:pt>
                <c:pt idx="250">
                  <c:v>376.99950000000001</c:v>
                </c:pt>
                <c:pt idx="251">
                  <c:v>375.702</c:v>
                </c:pt>
                <c:pt idx="252">
                  <c:v>373.79999999999995</c:v>
                </c:pt>
                <c:pt idx="253">
                  <c:v>371.613</c:v>
                </c:pt>
                <c:pt idx="254">
                  <c:v>369.89550000000003</c:v>
                </c:pt>
                <c:pt idx="255">
                  <c:v>368.01749999999998</c:v>
                </c:pt>
                <c:pt idx="256">
                  <c:v>366.435</c:v>
                </c:pt>
                <c:pt idx="257">
                  <c:v>364.72500000000002</c:v>
                </c:pt>
                <c:pt idx="258">
                  <c:v>363.072</c:v>
                </c:pt>
                <c:pt idx="259">
                  <c:v>361.37549999999999</c:v>
                </c:pt>
                <c:pt idx="260">
                  <c:v>431.202</c:v>
                </c:pt>
                <c:pt idx="261">
                  <c:v>435.29100000000005</c:v>
                </c:pt>
                <c:pt idx="262">
                  <c:v>432.62549999999999</c:v>
                </c:pt>
                <c:pt idx="263">
                  <c:v>430.86300000000006</c:v>
                </c:pt>
                <c:pt idx="264">
                  <c:v>428.59950000000003</c:v>
                </c:pt>
                <c:pt idx="265">
                  <c:v>426.024</c:v>
                </c:pt>
                <c:pt idx="266">
                  <c:v>423.65250000000003</c:v>
                </c:pt>
                <c:pt idx="267">
                  <c:v>421.01849999999996</c:v>
                </c:pt>
                <c:pt idx="268">
                  <c:v>418.95899999999995</c:v>
                </c:pt>
                <c:pt idx="269">
                  <c:v>416.54999999999995</c:v>
                </c:pt>
                <c:pt idx="270">
                  <c:v>414.19350000000003</c:v>
                </c:pt>
                <c:pt idx="271">
                  <c:v>411.77549999999997</c:v>
                </c:pt>
                <c:pt idx="272">
                  <c:v>409.452</c:v>
                </c:pt>
                <c:pt idx="273">
                  <c:v>407.15250000000003</c:v>
                </c:pt>
                <c:pt idx="274">
                  <c:v>404.65049999999997</c:v>
                </c:pt>
                <c:pt idx="275">
                  <c:v>413.25</c:v>
                </c:pt>
                <c:pt idx="276">
                  <c:v>412.79999999999995</c:v>
                </c:pt>
                <c:pt idx="277">
                  <c:v>411.14549999999997</c:v>
                </c:pt>
                <c:pt idx="278">
                  <c:v>409.30649999999997</c:v>
                </c:pt>
                <c:pt idx="279">
                  <c:v>407.625</c:v>
                </c:pt>
                <c:pt idx="280">
                  <c:v>406.30649999999997</c:v>
                </c:pt>
                <c:pt idx="281">
                  <c:v>404.72550000000001</c:v>
                </c:pt>
                <c:pt idx="282">
                  <c:v>403.35450000000003</c:v>
                </c:pt>
                <c:pt idx="283">
                  <c:v>401.72550000000001</c:v>
                </c:pt>
                <c:pt idx="284">
                  <c:v>400.25850000000003</c:v>
                </c:pt>
                <c:pt idx="285">
                  <c:v>398.661</c:v>
                </c:pt>
                <c:pt idx="286">
                  <c:v>397.04999999999995</c:v>
                </c:pt>
                <c:pt idx="287">
                  <c:v>395.54100000000005</c:v>
                </c:pt>
                <c:pt idx="288">
                  <c:v>393.82500000000005</c:v>
                </c:pt>
                <c:pt idx="289">
                  <c:v>392.25</c:v>
                </c:pt>
                <c:pt idx="290">
                  <c:v>390.75</c:v>
                </c:pt>
                <c:pt idx="291">
                  <c:v>388.98150000000004</c:v>
                </c:pt>
                <c:pt idx="292">
                  <c:v>387.60450000000003</c:v>
                </c:pt>
                <c:pt idx="293">
                  <c:v>385.97550000000001</c:v>
                </c:pt>
                <c:pt idx="294">
                  <c:v>384.678</c:v>
                </c:pt>
                <c:pt idx="295">
                  <c:v>383.74950000000001</c:v>
                </c:pt>
                <c:pt idx="296">
                  <c:v>382.28249999999997</c:v>
                </c:pt>
                <c:pt idx="297">
                  <c:v>380.928</c:v>
                </c:pt>
                <c:pt idx="298">
                  <c:v>379.42499999999995</c:v>
                </c:pt>
                <c:pt idx="299">
                  <c:v>377.952</c:v>
                </c:pt>
                <c:pt idx="300">
                  <c:v>376.27499999999998</c:v>
                </c:pt>
                <c:pt idx="301">
                  <c:v>374.709</c:v>
                </c:pt>
                <c:pt idx="302">
                  <c:v>373.065</c:v>
                </c:pt>
                <c:pt idx="303">
                  <c:v>371.19900000000001</c:v>
                </c:pt>
                <c:pt idx="304">
                  <c:v>369.62850000000003</c:v>
                </c:pt>
                <c:pt idx="305">
                  <c:v>367.77449999999999</c:v>
                </c:pt>
                <c:pt idx="306">
                  <c:v>366.12149999999997</c:v>
                </c:pt>
                <c:pt idx="307">
                  <c:v>364.3005</c:v>
                </c:pt>
                <c:pt idx="308">
                  <c:v>362.565</c:v>
                </c:pt>
                <c:pt idx="309">
                  <c:v>360.91949999999997</c:v>
                </c:pt>
                <c:pt idx="310">
                  <c:v>359.12549999999999</c:v>
                </c:pt>
                <c:pt idx="311">
                  <c:v>357.55650000000003</c:v>
                </c:pt>
                <c:pt idx="312">
                  <c:v>355.82550000000003</c:v>
                </c:pt>
                <c:pt idx="313">
                  <c:v>354.21750000000003</c:v>
                </c:pt>
                <c:pt idx="314">
                  <c:v>352.76549999999997</c:v>
                </c:pt>
                <c:pt idx="315">
                  <c:v>351.02699999999999</c:v>
                </c:pt>
                <c:pt idx="316">
                  <c:v>349.69349999999997</c:v>
                </c:pt>
                <c:pt idx="317">
                  <c:v>348.12450000000001</c:v>
                </c:pt>
                <c:pt idx="318">
                  <c:v>346.74149999999997</c:v>
                </c:pt>
                <c:pt idx="319">
                  <c:v>345.22500000000002</c:v>
                </c:pt>
                <c:pt idx="320">
                  <c:v>343.863</c:v>
                </c:pt>
                <c:pt idx="321">
                  <c:v>342.50850000000003</c:v>
                </c:pt>
                <c:pt idx="322">
                  <c:v>341.0745</c:v>
                </c:pt>
                <c:pt idx="323">
                  <c:v>339.798</c:v>
                </c:pt>
                <c:pt idx="324">
                  <c:v>338.4255</c:v>
                </c:pt>
                <c:pt idx="325">
                  <c:v>337.113</c:v>
                </c:pt>
                <c:pt idx="326">
                  <c:v>335.928</c:v>
                </c:pt>
                <c:pt idx="327">
                  <c:v>334.5</c:v>
                </c:pt>
                <c:pt idx="328">
                  <c:v>333.387</c:v>
                </c:pt>
                <c:pt idx="329">
                  <c:v>332.12549999999999</c:v>
                </c:pt>
                <c:pt idx="330">
                  <c:v>330.91949999999997</c:v>
                </c:pt>
                <c:pt idx="331">
                  <c:v>329.67449999999997</c:v>
                </c:pt>
                <c:pt idx="332">
                  <c:v>328.476</c:v>
                </c:pt>
                <c:pt idx="333">
                  <c:v>327.339</c:v>
                </c:pt>
                <c:pt idx="334">
                  <c:v>326.12549999999999</c:v>
                </c:pt>
                <c:pt idx="335">
                  <c:v>325.01549999999997</c:v>
                </c:pt>
                <c:pt idx="336">
                  <c:v>323.8245</c:v>
                </c:pt>
                <c:pt idx="337">
                  <c:v>322.74149999999997</c:v>
                </c:pt>
                <c:pt idx="338">
                  <c:v>321.678</c:v>
                </c:pt>
                <c:pt idx="339">
                  <c:v>320.46449999999999</c:v>
                </c:pt>
                <c:pt idx="340">
                  <c:v>319.5</c:v>
                </c:pt>
                <c:pt idx="341">
                  <c:v>318.375</c:v>
                </c:pt>
                <c:pt idx="342">
                  <c:v>317.34749999999997</c:v>
                </c:pt>
                <c:pt idx="343">
                  <c:v>316.20000000000005</c:v>
                </c:pt>
                <c:pt idx="344">
                  <c:v>315.19349999999997</c:v>
                </c:pt>
                <c:pt idx="345">
                  <c:v>314.15250000000003</c:v>
                </c:pt>
                <c:pt idx="346">
                  <c:v>313.04999999999995</c:v>
                </c:pt>
                <c:pt idx="347">
                  <c:v>312.072</c:v>
                </c:pt>
                <c:pt idx="348">
                  <c:v>310.99950000000001</c:v>
                </c:pt>
                <c:pt idx="349">
                  <c:v>310.041</c:v>
                </c:pt>
                <c:pt idx="350">
                  <c:v>309.09749999999997</c:v>
                </c:pt>
                <c:pt idx="351">
                  <c:v>308.04300000000001</c:v>
                </c:pt>
                <c:pt idx="352">
                  <c:v>307.137</c:v>
                </c:pt>
                <c:pt idx="353">
                  <c:v>306.1755</c:v>
                </c:pt>
                <c:pt idx="354">
                  <c:v>305.226</c:v>
                </c:pt>
                <c:pt idx="355">
                  <c:v>304.27499999999998</c:v>
                </c:pt>
                <c:pt idx="356">
                  <c:v>303.363</c:v>
                </c:pt>
                <c:pt idx="357">
                  <c:v>302.49149999999997</c:v>
                </c:pt>
                <c:pt idx="358">
                  <c:v>301.57500000000005</c:v>
                </c:pt>
                <c:pt idx="359">
                  <c:v>300.75</c:v>
                </c:pt>
                <c:pt idx="360">
                  <c:v>299.85000000000002</c:v>
                </c:pt>
                <c:pt idx="361">
                  <c:v>298.98450000000003</c:v>
                </c:pt>
                <c:pt idx="362">
                  <c:v>298.185</c:v>
                </c:pt>
                <c:pt idx="363">
                  <c:v>297.1875</c:v>
                </c:pt>
                <c:pt idx="364">
                  <c:v>296.39550000000003</c:v>
                </c:pt>
                <c:pt idx="365">
                  <c:v>295.45050000000003</c:v>
                </c:pt>
                <c:pt idx="366">
                  <c:v>294.58050000000003</c:v>
                </c:pt>
                <c:pt idx="367">
                  <c:v>293.625</c:v>
                </c:pt>
                <c:pt idx="368">
                  <c:v>292.69349999999997</c:v>
                </c:pt>
                <c:pt idx="369">
                  <c:v>291.75</c:v>
                </c:pt>
                <c:pt idx="370">
                  <c:v>290.8005</c:v>
                </c:pt>
                <c:pt idx="371">
                  <c:v>289.911</c:v>
                </c:pt>
                <c:pt idx="372">
                  <c:v>288.97500000000002</c:v>
                </c:pt>
                <c:pt idx="373">
                  <c:v>288.09749999999997</c:v>
                </c:pt>
                <c:pt idx="374">
                  <c:v>287.274</c:v>
                </c:pt>
                <c:pt idx="375">
                  <c:v>286.25850000000003</c:v>
                </c:pt>
                <c:pt idx="376">
                  <c:v>285.48450000000003</c:v>
                </c:pt>
                <c:pt idx="377">
                  <c:v>284.54999999999995</c:v>
                </c:pt>
                <c:pt idx="378">
                  <c:v>283.69349999999997</c:v>
                </c:pt>
                <c:pt idx="379">
                  <c:v>282.75</c:v>
                </c:pt>
                <c:pt idx="380">
                  <c:v>281.87850000000003</c:v>
                </c:pt>
                <c:pt idx="381">
                  <c:v>281.00850000000003</c:v>
                </c:pt>
                <c:pt idx="382">
                  <c:v>280.07550000000003</c:v>
                </c:pt>
                <c:pt idx="383">
                  <c:v>279.24149999999997</c:v>
                </c:pt>
                <c:pt idx="384">
                  <c:v>278.27549999999997</c:v>
                </c:pt>
                <c:pt idx="385">
                  <c:v>277.452</c:v>
                </c:pt>
                <c:pt idx="386">
                  <c:v>276.62850000000003</c:v>
                </c:pt>
                <c:pt idx="387">
                  <c:v>275.70600000000002</c:v>
                </c:pt>
                <c:pt idx="388">
                  <c:v>274.98450000000003</c:v>
                </c:pt>
                <c:pt idx="389">
                  <c:v>274.09950000000003</c:v>
                </c:pt>
                <c:pt idx="390">
                  <c:v>273.291</c:v>
                </c:pt>
                <c:pt idx="391">
                  <c:v>272.4495</c:v>
                </c:pt>
                <c:pt idx="392">
                  <c:v>271.64550000000003</c:v>
                </c:pt>
                <c:pt idx="393">
                  <c:v>270.822</c:v>
                </c:pt>
                <c:pt idx="394">
                  <c:v>269.97450000000003</c:v>
                </c:pt>
                <c:pt idx="395">
                  <c:v>269.202</c:v>
                </c:pt>
                <c:pt idx="396">
                  <c:v>268.39949999999999</c:v>
                </c:pt>
                <c:pt idx="397">
                  <c:v>267.60449999999997</c:v>
                </c:pt>
                <c:pt idx="398">
                  <c:v>266.83050000000003</c:v>
                </c:pt>
                <c:pt idx="399">
                  <c:v>266.09550000000002</c:v>
                </c:pt>
                <c:pt idx="400">
                  <c:v>265.524</c:v>
                </c:pt>
                <c:pt idx="401">
                  <c:v>264.49950000000001</c:v>
                </c:pt>
                <c:pt idx="402">
                  <c:v>263.685</c:v>
                </c:pt>
                <c:pt idx="403">
                  <c:v>262.77449999999999</c:v>
                </c:pt>
                <c:pt idx="404">
                  <c:v>261.91949999999997</c:v>
                </c:pt>
                <c:pt idx="405">
                  <c:v>261.048</c:v>
                </c:pt>
                <c:pt idx="406">
                  <c:v>260.17499999999995</c:v>
                </c:pt>
                <c:pt idx="407">
                  <c:v>259.40250000000003</c:v>
                </c:pt>
                <c:pt idx="408">
                  <c:v>258.47550000000001</c:v>
                </c:pt>
                <c:pt idx="409">
                  <c:v>257.73450000000003</c:v>
                </c:pt>
                <c:pt idx="410">
                  <c:v>256.959</c:v>
                </c:pt>
                <c:pt idx="411">
                  <c:v>256.04399999999998</c:v>
                </c:pt>
                <c:pt idx="412">
                  <c:v>255.291</c:v>
                </c:pt>
                <c:pt idx="413">
                  <c:v>254.4255</c:v>
                </c:pt>
                <c:pt idx="414">
                  <c:v>253.5975</c:v>
                </c:pt>
                <c:pt idx="415">
                  <c:v>252.72450000000001</c:v>
                </c:pt>
                <c:pt idx="416">
                  <c:v>251.952</c:v>
                </c:pt>
                <c:pt idx="417">
                  <c:v>251.12850000000003</c:v>
                </c:pt>
                <c:pt idx="418">
                  <c:v>250.37549999999999</c:v>
                </c:pt>
                <c:pt idx="419">
                  <c:v>249.62850000000003</c:v>
                </c:pt>
                <c:pt idx="420">
                  <c:v>248.8245</c:v>
                </c:pt>
                <c:pt idx="421">
                  <c:v>248.12850000000003</c:v>
                </c:pt>
                <c:pt idx="422">
                  <c:v>247.6695</c:v>
                </c:pt>
                <c:pt idx="423">
                  <c:v>247.15199999999999</c:v>
                </c:pt>
                <c:pt idx="424">
                  <c:v>246.60449999999997</c:v>
                </c:pt>
                <c:pt idx="425">
                  <c:v>245.89949999999999</c:v>
                </c:pt>
                <c:pt idx="426">
                  <c:v>245.226</c:v>
                </c:pt>
                <c:pt idx="427">
                  <c:v>244.52549999999999</c:v>
                </c:pt>
                <c:pt idx="428">
                  <c:v>243.87149999999997</c:v>
                </c:pt>
                <c:pt idx="429">
                  <c:v>243.2415</c:v>
                </c:pt>
                <c:pt idx="430">
                  <c:v>242.59950000000001</c:v>
                </c:pt>
                <c:pt idx="431">
                  <c:v>241.98450000000003</c:v>
                </c:pt>
                <c:pt idx="432">
                  <c:v>241.37549999999999</c:v>
                </c:pt>
                <c:pt idx="433">
                  <c:v>240.774</c:v>
                </c:pt>
                <c:pt idx="434">
                  <c:v>240.21750000000003</c:v>
                </c:pt>
                <c:pt idx="435">
                  <c:v>239.59800000000001</c:v>
                </c:pt>
                <c:pt idx="436">
                  <c:v>239.05650000000003</c:v>
                </c:pt>
                <c:pt idx="437">
                  <c:v>238.42499999999998</c:v>
                </c:pt>
                <c:pt idx="438">
                  <c:v>237.9195</c:v>
                </c:pt>
                <c:pt idx="439">
                  <c:v>237.29999999999998</c:v>
                </c:pt>
                <c:pt idx="440">
                  <c:v>236.73450000000003</c:v>
                </c:pt>
                <c:pt idx="441">
                  <c:v>236.178</c:v>
                </c:pt>
                <c:pt idx="442">
                  <c:v>235.60050000000001</c:v>
                </c:pt>
                <c:pt idx="443">
                  <c:v>235.01549999999997</c:v>
                </c:pt>
                <c:pt idx="444">
                  <c:v>234.52499999999998</c:v>
                </c:pt>
                <c:pt idx="445">
                  <c:v>233.976</c:v>
                </c:pt>
                <c:pt idx="446">
                  <c:v>233.46750000000003</c:v>
                </c:pt>
                <c:pt idx="447">
                  <c:v>232.86150000000004</c:v>
                </c:pt>
                <c:pt idx="448">
                  <c:v>232.3305</c:v>
                </c:pt>
                <c:pt idx="449">
                  <c:v>231.75</c:v>
                </c:pt>
                <c:pt idx="450">
                  <c:v>231.2415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90-45FF-823D-857AD61FB73F}"/>
            </c:ext>
          </c:extLst>
        </c:ser>
        <c:ser>
          <c:idx val="4"/>
          <c:order val="4"/>
          <c:tx>
            <c:strRef>
              <c:f>'FPSO1 Otim'!$G$5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Otim'!$G$6:$G$733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927.06150000000002</c:v>
                </c:pt>
                <c:pt idx="38">
                  <c:v>675.52949999999998</c:v>
                </c:pt>
                <c:pt idx="39">
                  <c:v>622.07249999999999</c:v>
                </c:pt>
                <c:pt idx="40">
                  <c:v>585.29100000000005</c:v>
                </c:pt>
                <c:pt idx="41">
                  <c:v>552.91499999999996</c:v>
                </c:pt>
                <c:pt idx="42">
                  <c:v>532.03050000000007</c:v>
                </c:pt>
                <c:pt idx="43">
                  <c:v>511.85250000000002</c:v>
                </c:pt>
                <c:pt idx="44">
                  <c:v>492.84300000000002</c:v>
                </c:pt>
                <c:pt idx="45">
                  <c:v>496.10699999999997</c:v>
                </c:pt>
                <c:pt idx="46">
                  <c:v>484.32</c:v>
                </c:pt>
                <c:pt idx="47">
                  <c:v>476.08350000000002</c:v>
                </c:pt>
                <c:pt idx="48">
                  <c:v>469.66800000000001</c:v>
                </c:pt>
                <c:pt idx="49">
                  <c:v>465.09449999999998</c:v>
                </c:pt>
                <c:pt idx="50">
                  <c:v>461.13900000000001</c:v>
                </c:pt>
                <c:pt idx="51">
                  <c:v>455.60250000000002</c:v>
                </c:pt>
                <c:pt idx="52">
                  <c:v>451.21350000000007</c:v>
                </c:pt>
                <c:pt idx="53">
                  <c:v>446.46900000000005</c:v>
                </c:pt>
                <c:pt idx="54">
                  <c:v>441.36750000000001</c:v>
                </c:pt>
                <c:pt idx="55">
                  <c:v>433.82849999999996</c:v>
                </c:pt>
                <c:pt idx="56">
                  <c:v>430.52249999999998</c:v>
                </c:pt>
                <c:pt idx="57">
                  <c:v>415.98599999999999</c:v>
                </c:pt>
                <c:pt idx="58">
                  <c:v>413.80799999999999</c:v>
                </c:pt>
                <c:pt idx="59">
                  <c:v>409.60650000000004</c:v>
                </c:pt>
                <c:pt idx="60">
                  <c:v>406.51800000000003</c:v>
                </c:pt>
                <c:pt idx="61">
                  <c:v>402.44550000000004</c:v>
                </c:pt>
                <c:pt idx="62">
                  <c:v>399.95100000000002</c:v>
                </c:pt>
                <c:pt idx="63">
                  <c:v>397.15049999999997</c:v>
                </c:pt>
                <c:pt idx="64">
                  <c:v>395.78550000000007</c:v>
                </c:pt>
                <c:pt idx="65">
                  <c:v>394.5795</c:v>
                </c:pt>
                <c:pt idx="66">
                  <c:v>395.05949999999996</c:v>
                </c:pt>
                <c:pt idx="67">
                  <c:v>395.54999999999995</c:v>
                </c:pt>
                <c:pt idx="68">
                  <c:v>395.05649999999997</c:v>
                </c:pt>
                <c:pt idx="69">
                  <c:v>394.89300000000003</c:v>
                </c:pt>
                <c:pt idx="70">
                  <c:v>394.81499999999994</c:v>
                </c:pt>
                <c:pt idx="71">
                  <c:v>394.31100000000004</c:v>
                </c:pt>
                <c:pt idx="72">
                  <c:v>393.61500000000001</c:v>
                </c:pt>
                <c:pt idx="73">
                  <c:v>392.3655</c:v>
                </c:pt>
                <c:pt idx="74">
                  <c:v>390.61950000000002</c:v>
                </c:pt>
                <c:pt idx="75">
                  <c:v>388.74750000000006</c:v>
                </c:pt>
                <c:pt idx="76">
                  <c:v>386.20799999999997</c:v>
                </c:pt>
                <c:pt idx="77">
                  <c:v>383.58450000000005</c:v>
                </c:pt>
                <c:pt idx="78">
                  <c:v>381.35550000000001</c:v>
                </c:pt>
                <c:pt idx="79">
                  <c:v>377.80799999999999</c:v>
                </c:pt>
                <c:pt idx="80">
                  <c:v>376.101</c:v>
                </c:pt>
                <c:pt idx="81">
                  <c:v>371.70749999999998</c:v>
                </c:pt>
                <c:pt idx="82">
                  <c:v>368.79449999999997</c:v>
                </c:pt>
                <c:pt idx="83">
                  <c:v>365.66699999999997</c:v>
                </c:pt>
                <c:pt idx="84">
                  <c:v>362.76</c:v>
                </c:pt>
                <c:pt idx="85">
                  <c:v>359.34749999999997</c:v>
                </c:pt>
                <c:pt idx="86">
                  <c:v>356.08199999999999</c:v>
                </c:pt>
                <c:pt idx="87">
                  <c:v>353.67449999999997</c:v>
                </c:pt>
                <c:pt idx="88">
                  <c:v>350.32500000000005</c:v>
                </c:pt>
                <c:pt idx="89">
                  <c:v>346.45650000000001</c:v>
                </c:pt>
                <c:pt idx="90">
                  <c:v>343.25549999999998</c:v>
                </c:pt>
                <c:pt idx="91">
                  <c:v>339.51150000000001</c:v>
                </c:pt>
                <c:pt idx="92">
                  <c:v>335.12400000000002</c:v>
                </c:pt>
                <c:pt idx="93">
                  <c:v>330.01800000000003</c:v>
                </c:pt>
                <c:pt idx="94">
                  <c:v>327.04199999999997</c:v>
                </c:pt>
                <c:pt idx="95">
                  <c:v>323.988</c:v>
                </c:pt>
                <c:pt idx="96">
                  <c:v>321.92700000000002</c:v>
                </c:pt>
                <c:pt idx="97">
                  <c:v>318.41699999999997</c:v>
                </c:pt>
                <c:pt idx="98">
                  <c:v>315.99149999999997</c:v>
                </c:pt>
                <c:pt idx="99">
                  <c:v>313.09800000000001</c:v>
                </c:pt>
                <c:pt idx="100">
                  <c:v>310.16250000000002</c:v>
                </c:pt>
                <c:pt idx="101">
                  <c:v>307.59899999999999</c:v>
                </c:pt>
                <c:pt idx="102">
                  <c:v>305.01599999999996</c:v>
                </c:pt>
                <c:pt idx="103">
                  <c:v>302.88750000000005</c:v>
                </c:pt>
                <c:pt idx="104">
                  <c:v>300.23400000000004</c:v>
                </c:pt>
                <c:pt idx="105">
                  <c:v>294.28649999999999</c:v>
                </c:pt>
                <c:pt idx="106">
                  <c:v>291.94799999999998</c:v>
                </c:pt>
                <c:pt idx="107">
                  <c:v>289.47149999999999</c:v>
                </c:pt>
                <c:pt idx="108">
                  <c:v>284.91149999999999</c:v>
                </c:pt>
                <c:pt idx="109">
                  <c:v>281.988</c:v>
                </c:pt>
                <c:pt idx="110">
                  <c:v>278.67449999999997</c:v>
                </c:pt>
                <c:pt idx="111">
                  <c:v>275.65649999999999</c:v>
                </c:pt>
                <c:pt idx="112">
                  <c:v>273.14550000000003</c:v>
                </c:pt>
                <c:pt idx="113">
                  <c:v>270.91050000000001</c:v>
                </c:pt>
                <c:pt idx="114">
                  <c:v>269.26499999999999</c:v>
                </c:pt>
                <c:pt idx="115">
                  <c:v>267.20550000000003</c:v>
                </c:pt>
                <c:pt idx="116">
                  <c:v>264.53399999999999</c:v>
                </c:pt>
                <c:pt idx="117">
                  <c:v>260.26349999999996</c:v>
                </c:pt>
                <c:pt idx="118">
                  <c:v>257.75400000000002</c:v>
                </c:pt>
                <c:pt idx="119">
                  <c:v>254.94749999999999</c:v>
                </c:pt>
                <c:pt idx="120">
                  <c:v>252.80700000000002</c:v>
                </c:pt>
                <c:pt idx="121">
                  <c:v>250.64849999999998</c:v>
                </c:pt>
                <c:pt idx="122">
                  <c:v>248.67000000000002</c:v>
                </c:pt>
                <c:pt idx="123">
                  <c:v>246.75</c:v>
                </c:pt>
                <c:pt idx="124">
                  <c:v>244.79399999999998</c:v>
                </c:pt>
                <c:pt idx="125">
                  <c:v>243.048</c:v>
                </c:pt>
                <c:pt idx="126">
                  <c:v>241.33350000000002</c:v>
                </c:pt>
                <c:pt idx="127">
                  <c:v>239.40450000000001</c:v>
                </c:pt>
                <c:pt idx="128">
                  <c:v>237.642</c:v>
                </c:pt>
                <c:pt idx="129">
                  <c:v>234.98400000000001</c:v>
                </c:pt>
                <c:pt idx="130">
                  <c:v>233.67599999999999</c:v>
                </c:pt>
                <c:pt idx="131">
                  <c:v>232.11900000000003</c:v>
                </c:pt>
                <c:pt idx="132">
                  <c:v>230.02950000000001</c:v>
                </c:pt>
                <c:pt idx="133">
                  <c:v>228.47399999999999</c:v>
                </c:pt>
                <c:pt idx="134">
                  <c:v>225.94050000000001</c:v>
                </c:pt>
                <c:pt idx="135">
                  <c:v>224.23949999999999</c:v>
                </c:pt>
                <c:pt idx="136">
                  <c:v>222.46199999999999</c:v>
                </c:pt>
                <c:pt idx="137">
                  <c:v>220.79399999999998</c:v>
                </c:pt>
                <c:pt idx="138">
                  <c:v>219.03000000000003</c:v>
                </c:pt>
                <c:pt idx="139">
                  <c:v>217.79850000000002</c:v>
                </c:pt>
                <c:pt idx="140">
                  <c:v>216.07649999999998</c:v>
                </c:pt>
                <c:pt idx="141">
                  <c:v>213.43049999999999</c:v>
                </c:pt>
                <c:pt idx="142">
                  <c:v>212.02349999999998</c:v>
                </c:pt>
                <c:pt idx="143">
                  <c:v>211.11449999999999</c:v>
                </c:pt>
                <c:pt idx="144">
                  <c:v>209.41800000000001</c:v>
                </c:pt>
                <c:pt idx="145">
                  <c:v>208.233</c:v>
                </c:pt>
                <c:pt idx="146">
                  <c:v>207.12900000000002</c:v>
                </c:pt>
                <c:pt idx="147">
                  <c:v>206.07599999999996</c:v>
                </c:pt>
                <c:pt idx="148">
                  <c:v>204.99</c:v>
                </c:pt>
                <c:pt idx="149">
                  <c:v>203.86349999999999</c:v>
                </c:pt>
                <c:pt idx="150">
                  <c:v>202.88099999999997</c:v>
                </c:pt>
                <c:pt idx="151">
                  <c:v>201.95850000000002</c:v>
                </c:pt>
                <c:pt idx="152">
                  <c:v>201.03750000000002</c:v>
                </c:pt>
                <c:pt idx="153">
                  <c:v>198.56849999999997</c:v>
                </c:pt>
                <c:pt idx="154">
                  <c:v>198.19199999999998</c:v>
                </c:pt>
                <c:pt idx="155">
                  <c:v>197.60550000000001</c:v>
                </c:pt>
                <c:pt idx="156">
                  <c:v>196.64249999999998</c:v>
                </c:pt>
                <c:pt idx="157">
                  <c:v>195.95249999999999</c:v>
                </c:pt>
                <c:pt idx="158">
                  <c:v>195.28800000000001</c:v>
                </c:pt>
                <c:pt idx="159">
                  <c:v>194.59350000000001</c:v>
                </c:pt>
                <c:pt idx="160">
                  <c:v>193.92599999999999</c:v>
                </c:pt>
                <c:pt idx="161">
                  <c:v>193.4205</c:v>
                </c:pt>
                <c:pt idx="162">
                  <c:v>192.57900000000001</c:v>
                </c:pt>
                <c:pt idx="163">
                  <c:v>192.13200000000001</c:v>
                </c:pt>
                <c:pt idx="164">
                  <c:v>191.44499999999999</c:v>
                </c:pt>
                <c:pt idx="165">
                  <c:v>190.2</c:v>
                </c:pt>
                <c:pt idx="166">
                  <c:v>189.69749999999999</c:v>
                </c:pt>
                <c:pt idx="167">
                  <c:v>189.36599999999999</c:v>
                </c:pt>
                <c:pt idx="168">
                  <c:v>188.721</c:v>
                </c:pt>
                <c:pt idx="169">
                  <c:v>188.292</c:v>
                </c:pt>
                <c:pt idx="170">
                  <c:v>187.76850000000002</c:v>
                </c:pt>
                <c:pt idx="171">
                  <c:v>187.0035</c:v>
                </c:pt>
                <c:pt idx="172">
                  <c:v>186.78</c:v>
                </c:pt>
                <c:pt idx="173">
                  <c:v>186.48750000000001</c:v>
                </c:pt>
                <c:pt idx="174">
                  <c:v>185.982</c:v>
                </c:pt>
                <c:pt idx="175">
                  <c:v>185.577</c:v>
                </c:pt>
                <c:pt idx="176">
                  <c:v>185.03100000000001</c:v>
                </c:pt>
                <c:pt idx="177">
                  <c:v>184.5</c:v>
                </c:pt>
                <c:pt idx="178">
                  <c:v>184.16550000000001</c:v>
                </c:pt>
                <c:pt idx="179">
                  <c:v>183.69</c:v>
                </c:pt>
                <c:pt idx="180">
                  <c:v>183.38550000000001</c:v>
                </c:pt>
                <c:pt idx="181">
                  <c:v>183.18299999999999</c:v>
                </c:pt>
                <c:pt idx="182">
                  <c:v>182.0985</c:v>
                </c:pt>
                <c:pt idx="183">
                  <c:v>181.51650000000001</c:v>
                </c:pt>
                <c:pt idx="184">
                  <c:v>180.59550000000002</c:v>
                </c:pt>
                <c:pt idx="185">
                  <c:v>180.73050000000001</c:v>
                </c:pt>
                <c:pt idx="186">
                  <c:v>180.27</c:v>
                </c:pt>
                <c:pt idx="187">
                  <c:v>180.03</c:v>
                </c:pt>
                <c:pt idx="188">
                  <c:v>179.4495</c:v>
                </c:pt>
                <c:pt idx="189">
                  <c:v>175.38600000000002</c:v>
                </c:pt>
                <c:pt idx="190">
                  <c:v>173.7285</c:v>
                </c:pt>
                <c:pt idx="191">
                  <c:v>171.6465</c:v>
                </c:pt>
                <c:pt idx="192">
                  <c:v>170.83199999999999</c:v>
                </c:pt>
                <c:pt idx="193">
                  <c:v>170.8905</c:v>
                </c:pt>
                <c:pt idx="194">
                  <c:v>170.52</c:v>
                </c:pt>
                <c:pt idx="195">
                  <c:v>169.98149999999998</c:v>
                </c:pt>
                <c:pt idx="196">
                  <c:v>169.3605</c:v>
                </c:pt>
                <c:pt idx="197">
                  <c:v>168.6885</c:v>
                </c:pt>
                <c:pt idx="198">
                  <c:v>168.20849999999999</c:v>
                </c:pt>
                <c:pt idx="199">
                  <c:v>167.553</c:v>
                </c:pt>
                <c:pt idx="200">
                  <c:v>166.94549999999998</c:v>
                </c:pt>
                <c:pt idx="201">
                  <c:v>166.3545</c:v>
                </c:pt>
                <c:pt idx="202">
                  <c:v>165.71699999999998</c:v>
                </c:pt>
                <c:pt idx="203">
                  <c:v>165.126</c:v>
                </c:pt>
                <c:pt idx="204">
                  <c:v>164.62950000000001</c:v>
                </c:pt>
                <c:pt idx="205">
                  <c:v>163.98599999999999</c:v>
                </c:pt>
                <c:pt idx="206">
                  <c:v>163.404</c:v>
                </c:pt>
                <c:pt idx="207">
                  <c:v>162.95250000000001</c:v>
                </c:pt>
                <c:pt idx="208">
                  <c:v>162.44999999999999</c:v>
                </c:pt>
                <c:pt idx="209">
                  <c:v>161.9025</c:v>
                </c:pt>
                <c:pt idx="210">
                  <c:v>161.358</c:v>
                </c:pt>
                <c:pt idx="211">
                  <c:v>160.827</c:v>
                </c:pt>
                <c:pt idx="212">
                  <c:v>160.34699999999998</c:v>
                </c:pt>
                <c:pt idx="213">
                  <c:v>159.89850000000001</c:v>
                </c:pt>
                <c:pt idx="214">
                  <c:v>159.54300000000001</c:v>
                </c:pt>
                <c:pt idx="215">
                  <c:v>159.072</c:v>
                </c:pt>
                <c:pt idx="216">
                  <c:v>158.637</c:v>
                </c:pt>
                <c:pt idx="217">
                  <c:v>158.268</c:v>
                </c:pt>
                <c:pt idx="218">
                  <c:v>157.80000000000001</c:v>
                </c:pt>
                <c:pt idx="219">
                  <c:v>157.34699999999998</c:v>
                </c:pt>
                <c:pt idx="220">
                  <c:v>156.90899999999999</c:v>
                </c:pt>
                <c:pt idx="221">
                  <c:v>156.45150000000001</c:v>
                </c:pt>
                <c:pt idx="222">
                  <c:v>156.13649999999998</c:v>
                </c:pt>
                <c:pt idx="223">
                  <c:v>155.81099999999998</c:v>
                </c:pt>
                <c:pt idx="224">
                  <c:v>155.33850000000001</c:v>
                </c:pt>
                <c:pt idx="225">
                  <c:v>154.84199999999998</c:v>
                </c:pt>
                <c:pt idx="226">
                  <c:v>154.476</c:v>
                </c:pt>
                <c:pt idx="227">
                  <c:v>154.2045</c:v>
                </c:pt>
                <c:pt idx="228">
                  <c:v>153.71100000000001</c:v>
                </c:pt>
                <c:pt idx="229">
                  <c:v>153.15300000000002</c:v>
                </c:pt>
                <c:pt idx="230">
                  <c:v>152.7405</c:v>
                </c:pt>
                <c:pt idx="231">
                  <c:v>152.33850000000001</c:v>
                </c:pt>
                <c:pt idx="232">
                  <c:v>151.85400000000001</c:v>
                </c:pt>
                <c:pt idx="233">
                  <c:v>151.48949999999999</c:v>
                </c:pt>
                <c:pt idx="234">
                  <c:v>151.06200000000001</c:v>
                </c:pt>
                <c:pt idx="235">
                  <c:v>150.6525</c:v>
                </c:pt>
                <c:pt idx="236">
                  <c:v>150.30000000000001</c:v>
                </c:pt>
                <c:pt idx="237">
                  <c:v>150.13499999999999</c:v>
                </c:pt>
                <c:pt idx="238">
                  <c:v>149.94450000000001</c:v>
                </c:pt>
                <c:pt idx="239">
                  <c:v>149.53799999999998</c:v>
                </c:pt>
                <c:pt idx="240">
                  <c:v>149.23650000000001</c:v>
                </c:pt>
                <c:pt idx="241">
                  <c:v>148.90049999999999</c:v>
                </c:pt>
                <c:pt idx="242">
                  <c:v>148.35750000000002</c:v>
                </c:pt>
                <c:pt idx="243">
                  <c:v>147.9435</c:v>
                </c:pt>
                <c:pt idx="244">
                  <c:v>147.59550000000002</c:v>
                </c:pt>
                <c:pt idx="245">
                  <c:v>147.14400000000001</c:v>
                </c:pt>
                <c:pt idx="246">
                  <c:v>146.874</c:v>
                </c:pt>
                <c:pt idx="247">
                  <c:v>146.649</c:v>
                </c:pt>
                <c:pt idx="248">
                  <c:v>146.01749999999998</c:v>
                </c:pt>
                <c:pt idx="249">
                  <c:v>145.45650000000001</c:v>
                </c:pt>
                <c:pt idx="250">
                  <c:v>145.49099999999999</c:v>
                </c:pt>
                <c:pt idx="251">
                  <c:v>145.27350000000001</c:v>
                </c:pt>
                <c:pt idx="252">
                  <c:v>145.07399999999998</c:v>
                </c:pt>
                <c:pt idx="253">
                  <c:v>144.24</c:v>
                </c:pt>
                <c:pt idx="254">
                  <c:v>144.26249999999999</c:v>
                </c:pt>
                <c:pt idx="255">
                  <c:v>143.685</c:v>
                </c:pt>
                <c:pt idx="256">
                  <c:v>143.1885</c:v>
                </c:pt>
                <c:pt idx="257">
                  <c:v>143.1705</c:v>
                </c:pt>
                <c:pt idx="258">
                  <c:v>142.6215</c:v>
                </c:pt>
                <c:pt idx="259">
                  <c:v>142.46850000000001</c:v>
                </c:pt>
                <c:pt idx="260">
                  <c:v>142.155</c:v>
                </c:pt>
                <c:pt idx="261">
                  <c:v>141.8475</c:v>
                </c:pt>
                <c:pt idx="262">
                  <c:v>141.39599999999999</c:v>
                </c:pt>
                <c:pt idx="263">
                  <c:v>141.14999999999998</c:v>
                </c:pt>
                <c:pt idx="264">
                  <c:v>140.93700000000001</c:v>
                </c:pt>
                <c:pt idx="265">
                  <c:v>140.29949999999999</c:v>
                </c:pt>
                <c:pt idx="266">
                  <c:v>139.422</c:v>
                </c:pt>
                <c:pt idx="267">
                  <c:v>139.125</c:v>
                </c:pt>
                <c:pt idx="268">
                  <c:v>138.48149999999998</c:v>
                </c:pt>
                <c:pt idx="269">
                  <c:v>138.32399999999998</c:v>
                </c:pt>
                <c:pt idx="270">
                  <c:v>137.92500000000001</c:v>
                </c:pt>
                <c:pt idx="271">
                  <c:v>137.19450000000001</c:v>
                </c:pt>
                <c:pt idx="272">
                  <c:v>136.821</c:v>
                </c:pt>
                <c:pt idx="273">
                  <c:v>136.15350000000001</c:v>
                </c:pt>
                <c:pt idx="274">
                  <c:v>135.70050000000001</c:v>
                </c:pt>
                <c:pt idx="275">
                  <c:v>135.77549999999999</c:v>
                </c:pt>
                <c:pt idx="276">
                  <c:v>135.2175</c:v>
                </c:pt>
                <c:pt idx="277">
                  <c:v>134.77800000000002</c:v>
                </c:pt>
                <c:pt idx="278">
                  <c:v>134.14350000000002</c:v>
                </c:pt>
                <c:pt idx="279">
                  <c:v>134.0745</c:v>
                </c:pt>
                <c:pt idx="280">
                  <c:v>133.785</c:v>
                </c:pt>
                <c:pt idx="281">
                  <c:v>133.56299999999999</c:v>
                </c:pt>
                <c:pt idx="282">
                  <c:v>133.17150000000001</c:v>
                </c:pt>
                <c:pt idx="283">
                  <c:v>132.95849999999999</c:v>
                </c:pt>
                <c:pt idx="284">
                  <c:v>132.84</c:v>
                </c:pt>
                <c:pt idx="285">
                  <c:v>132.66299999999998</c:v>
                </c:pt>
                <c:pt idx="286">
                  <c:v>132.60599999999999</c:v>
                </c:pt>
                <c:pt idx="287">
                  <c:v>131.90100000000001</c:v>
                </c:pt>
                <c:pt idx="288">
                  <c:v>131.62799999999999</c:v>
                </c:pt>
                <c:pt idx="289">
                  <c:v>131.44650000000001</c:v>
                </c:pt>
                <c:pt idx="290">
                  <c:v>131.30549999999999</c:v>
                </c:pt>
                <c:pt idx="291">
                  <c:v>130.45349999999999</c:v>
                </c:pt>
                <c:pt idx="292">
                  <c:v>130.12950000000001</c:v>
                </c:pt>
                <c:pt idx="293">
                  <c:v>129.62700000000001</c:v>
                </c:pt>
                <c:pt idx="294">
                  <c:v>129.4845</c:v>
                </c:pt>
                <c:pt idx="295">
                  <c:v>129.327</c:v>
                </c:pt>
                <c:pt idx="296">
                  <c:v>129.285</c:v>
                </c:pt>
                <c:pt idx="297">
                  <c:v>128.7405</c:v>
                </c:pt>
                <c:pt idx="298">
                  <c:v>128.56649999999999</c:v>
                </c:pt>
                <c:pt idx="299">
                  <c:v>128.262</c:v>
                </c:pt>
                <c:pt idx="300">
                  <c:v>128.0085</c:v>
                </c:pt>
                <c:pt idx="301">
                  <c:v>127.63050000000001</c:v>
                </c:pt>
                <c:pt idx="302">
                  <c:v>127.38600000000001</c:v>
                </c:pt>
                <c:pt idx="303">
                  <c:v>126.33150000000001</c:v>
                </c:pt>
                <c:pt idx="304">
                  <c:v>125.66399999999999</c:v>
                </c:pt>
                <c:pt idx="305">
                  <c:v>125.15849999999999</c:v>
                </c:pt>
                <c:pt idx="306">
                  <c:v>125.44499999999999</c:v>
                </c:pt>
                <c:pt idx="307">
                  <c:v>124.92</c:v>
                </c:pt>
                <c:pt idx="308">
                  <c:v>125.04900000000001</c:v>
                </c:pt>
                <c:pt idx="309">
                  <c:v>124.60049999999998</c:v>
                </c:pt>
                <c:pt idx="310">
                  <c:v>124.3215</c:v>
                </c:pt>
                <c:pt idx="311">
                  <c:v>123.762</c:v>
                </c:pt>
                <c:pt idx="312">
                  <c:v>123.2055</c:v>
                </c:pt>
                <c:pt idx="313">
                  <c:v>122.97</c:v>
                </c:pt>
                <c:pt idx="314">
                  <c:v>123.27900000000001</c:v>
                </c:pt>
                <c:pt idx="315">
                  <c:v>122.86949999999999</c:v>
                </c:pt>
                <c:pt idx="316">
                  <c:v>122.184</c:v>
                </c:pt>
                <c:pt idx="317">
                  <c:v>121.7535</c:v>
                </c:pt>
                <c:pt idx="318">
                  <c:v>121.34550000000002</c:v>
                </c:pt>
                <c:pt idx="319">
                  <c:v>120.97199999999999</c:v>
                </c:pt>
                <c:pt idx="320">
                  <c:v>120.61350000000002</c:v>
                </c:pt>
                <c:pt idx="321">
                  <c:v>120.39450000000001</c:v>
                </c:pt>
                <c:pt idx="322">
                  <c:v>120</c:v>
                </c:pt>
                <c:pt idx="323">
                  <c:v>119.63849999999999</c:v>
                </c:pt>
                <c:pt idx="324">
                  <c:v>119.25</c:v>
                </c:pt>
                <c:pt idx="325">
                  <c:v>118.90049999999999</c:v>
                </c:pt>
                <c:pt idx="326">
                  <c:v>118.6455</c:v>
                </c:pt>
                <c:pt idx="327">
                  <c:v>118.27499999999999</c:v>
                </c:pt>
                <c:pt idx="328">
                  <c:v>118.13249999999999</c:v>
                </c:pt>
                <c:pt idx="329">
                  <c:v>117.99300000000001</c:v>
                </c:pt>
                <c:pt idx="330">
                  <c:v>117.76050000000001</c:v>
                </c:pt>
                <c:pt idx="331">
                  <c:v>117.102</c:v>
                </c:pt>
                <c:pt idx="332">
                  <c:v>116.50200000000001</c:v>
                </c:pt>
                <c:pt idx="333">
                  <c:v>115.941</c:v>
                </c:pt>
                <c:pt idx="334">
                  <c:v>115.419</c:v>
                </c:pt>
                <c:pt idx="335">
                  <c:v>115.185</c:v>
                </c:pt>
                <c:pt idx="336">
                  <c:v>114.61800000000001</c:v>
                </c:pt>
                <c:pt idx="337">
                  <c:v>114.71249999999999</c:v>
                </c:pt>
                <c:pt idx="338">
                  <c:v>114.05100000000002</c:v>
                </c:pt>
                <c:pt idx="339">
                  <c:v>113.21249999999999</c:v>
                </c:pt>
                <c:pt idx="340">
                  <c:v>113.53200000000001</c:v>
                </c:pt>
                <c:pt idx="341">
                  <c:v>113.26950000000001</c:v>
                </c:pt>
                <c:pt idx="342">
                  <c:v>113.685</c:v>
                </c:pt>
                <c:pt idx="343">
                  <c:v>113.367</c:v>
                </c:pt>
                <c:pt idx="344">
                  <c:v>113.00550000000001</c:v>
                </c:pt>
                <c:pt idx="345">
                  <c:v>112.84050000000001</c:v>
                </c:pt>
                <c:pt idx="346">
                  <c:v>112.983</c:v>
                </c:pt>
                <c:pt idx="347">
                  <c:v>112.53300000000002</c:v>
                </c:pt>
                <c:pt idx="348">
                  <c:v>112.40849999999999</c:v>
                </c:pt>
                <c:pt idx="349">
                  <c:v>112.04849999999999</c:v>
                </c:pt>
                <c:pt idx="350">
                  <c:v>111.54150000000001</c:v>
                </c:pt>
                <c:pt idx="351">
                  <c:v>111.07350000000001</c:v>
                </c:pt>
                <c:pt idx="352">
                  <c:v>110.32350000000001</c:v>
                </c:pt>
                <c:pt idx="353">
                  <c:v>110.29050000000001</c:v>
                </c:pt>
                <c:pt idx="354">
                  <c:v>109.71600000000001</c:v>
                </c:pt>
                <c:pt idx="355">
                  <c:v>109.56450000000001</c:v>
                </c:pt>
                <c:pt idx="356">
                  <c:v>109.04849999999999</c:v>
                </c:pt>
                <c:pt idx="357">
                  <c:v>108.99449999999999</c:v>
                </c:pt>
                <c:pt idx="358">
                  <c:v>108.67349999999999</c:v>
                </c:pt>
                <c:pt idx="359">
                  <c:v>108.45750000000001</c:v>
                </c:pt>
                <c:pt idx="360">
                  <c:v>108.3135</c:v>
                </c:pt>
                <c:pt idx="361">
                  <c:v>107.955</c:v>
                </c:pt>
                <c:pt idx="362">
                  <c:v>107.7765</c:v>
                </c:pt>
                <c:pt idx="363">
                  <c:v>107.5005</c:v>
                </c:pt>
                <c:pt idx="364">
                  <c:v>107.17649999999999</c:v>
                </c:pt>
                <c:pt idx="365">
                  <c:v>107.0745</c:v>
                </c:pt>
                <c:pt idx="366">
                  <c:v>106.89750000000001</c:v>
                </c:pt>
                <c:pt idx="367">
                  <c:v>106.70099999999999</c:v>
                </c:pt>
                <c:pt idx="368">
                  <c:v>105.98850000000002</c:v>
                </c:pt>
                <c:pt idx="369">
                  <c:v>105.76950000000001</c:v>
                </c:pt>
                <c:pt idx="370">
                  <c:v>105.501</c:v>
                </c:pt>
                <c:pt idx="371">
                  <c:v>105.339</c:v>
                </c:pt>
                <c:pt idx="372">
                  <c:v>105.23099999999999</c:v>
                </c:pt>
                <c:pt idx="373">
                  <c:v>105.0675</c:v>
                </c:pt>
                <c:pt idx="374">
                  <c:v>104.883</c:v>
                </c:pt>
                <c:pt idx="375">
                  <c:v>104.73599999999999</c:v>
                </c:pt>
                <c:pt idx="376">
                  <c:v>104.589</c:v>
                </c:pt>
                <c:pt idx="377">
                  <c:v>104.4195</c:v>
                </c:pt>
                <c:pt idx="378">
                  <c:v>104.24549999999999</c:v>
                </c:pt>
                <c:pt idx="379">
                  <c:v>104.0715</c:v>
                </c:pt>
                <c:pt idx="380">
                  <c:v>103.851</c:v>
                </c:pt>
                <c:pt idx="381">
                  <c:v>103.6965</c:v>
                </c:pt>
                <c:pt idx="382">
                  <c:v>103.40400000000001</c:v>
                </c:pt>
                <c:pt idx="383">
                  <c:v>103.224</c:v>
                </c:pt>
                <c:pt idx="384">
                  <c:v>102.97800000000001</c:v>
                </c:pt>
                <c:pt idx="385">
                  <c:v>102.828</c:v>
                </c:pt>
                <c:pt idx="386">
                  <c:v>102.65549999999999</c:v>
                </c:pt>
                <c:pt idx="387">
                  <c:v>102.41550000000001</c:v>
                </c:pt>
                <c:pt idx="388">
                  <c:v>102.13800000000001</c:v>
                </c:pt>
                <c:pt idx="389">
                  <c:v>101.99549999999999</c:v>
                </c:pt>
                <c:pt idx="390">
                  <c:v>101.7885</c:v>
                </c:pt>
                <c:pt idx="391">
                  <c:v>101.47649999999999</c:v>
                </c:pt>
                <c:pt idx="392">
                  <c:v>101.304</c:v>
                </c:pt>
                <c:pt idx="393">
                  <c:v>100.99799999999999</c:v>
                </c:pt>
                <c:pt idx="394">
                  <c:v>100.87200000000001</c:v>
                </c:pt>
                <c:pt idx="395">
                  <c:v>100.61399999999999</c:v>
                </c:pt>
                <c:pt idx="396">
                  <c:v>100.5</c:v>
                </c:pt>
                <c:pt idx="397">
                  <c:v>100.35300000000001</c:v>
                </c:pt>
                <c:pt idx="398">
                  <c:v>100.24349999999998</c:v>
                </c:pt>
                <c:pt idx="399">
                  <c:v>100.035</c:v>
                </c:pt>
                <c:pt idx="400">
                  <c:v>99.81</c:v>
                </c:pt>
                <c:pt idx="401">
                  <c:v>99.511499999999984</c:v>
                </c:pt>
                <c:pt idx="402">
                  <c:v>99.254999999999995</c:v>
                </c:pt>
                <c:pt idx="403">
                  <c:v>98.962499999999991</c:v>
                </c:pt>
                <c:pt idx="404">
                  <c:v>98.794499999999999</c:v>
                </c:pt>
                <c:pt idx="405">
                  <c:v>98.410499999999999</c:v>
                </c:pt>
                <c:pt idx="406">
                  <c:v>98.406000000000006</c:v>
                </c:pt>
                <c:pt idx="407">
                  <c:v>98.233500000000006</c:v>
                </c:pt>
                <c:pt idx="408">
                  <c:v>98.113500000000016</c:v>
                </c:pt>
                <c:pt idx="409">
                  <c:v>97.902000000000001</c:v>
                </c:pt>
                <c:pt idx="410">
                  <c:v>97.631999999999991</c:v>
                </c:pt>
                <c:pt idx="411">
                  <c:v>97.636499999999984</c:v>
                </c:pt>
                <c:pt idx="412">
                  <c:v>97.465500000000006</c:v>
                </c:pt>
                <c:pt idx="413">
                  <c:v>97.301999999999992</c:v>
                </c:pt>
                <c:pt idx="414">
                  <c:v>96.328979999999987</c:v>
                </c:pt>
                <c:pt idx="415">
                  <c:v>95.365690199999989</c:v>
                </c:pt>
                <c:pt idx="416">
                  <c:v>94.412033297999983</c:v>
                </c:pt>
                <c:pt idx="417">
                  <c:v>93.467912965019977</c:v>
                </c:pt>
                <c:pt idx="418">
                  <c:v>92.533233835369771</c:v>
                </c:pt>
                <c:pt idx="419">
                  <c:v>91.607901497016073</c:v>
                </c:pt>
                <c:pt idx="420">
                  <c:v>90.691822482045907</c:v>
                </c:pt>
                <c:pt idx="421">
                  <c:v>89.784904257225449</c:v>
                </c:pt>
                <c:pt idx="422">
                  <c:v>88.887055214653188</c:v>
                </c:pt>
                <c:pt idx="423">
                  <c:v>87.998184662506659</c:v>
                </c:pt>
                <c:pt idx="424">
                  <c:v>87.118202815881588</c:v>
                </c:pt>
                <c:pt idx="425">
                  <c:v>86.247020787722775</c:v>
                </c:pt>
                <c:pt idx="426">
                  <c:v>85.384550579845552</c:v>
                </c:pt>
                <c:pt idx="427">
                  <c:v>84.530705074047091</c:v>
                </c:pt>
                <c:pt idx="428">
                  <c:v>83.685398023306618</c:v>
                </c:pt>
                <c:pt idx="429">
                  <c:v>82.848544043073545</c:v>
                </c:pt>
                <c:pt idx="430">
                  <c:v>82.020058602642806</c:v>
                </c:pt>
                <c:pt idx="431">
                  <c:v>81.199858016616375</c:v>
                </c:pt>
                <c:pt idx="432">
                  <c:v>80.387859436450213</c:v>
                </c:pt>
                <c:pt idx="433">
                  <c:v>79.583980842085708</c:v>
                </c:pt>
                <c:pt idx="434">
                  <c:v>78.788141033664857</c:v>
                </c:pt>
                <c:pt idx="435">
                  <c:v>78.000259623328205</c:v>
                </c:pt>
                <c:pt idx="436">
                  <c:v>77.220257027094917</c:v>
                </c:pt>
                <c:pt idx="437">
                  <c:v>76.448054456823968</c:v>
                </c:pt>
                <c:pt idx="438">
                  <c:v>75.683573912255724</c:v>
                </c:pt>
                <c:pt idx="439">
                  <c:v>74.92673817313316</c:v>
                </c:pt>
                <c:pt idx="440">
                  <c:v>74.177470791401831</c:v>
                </c:pt>
                <c:pt idx="441">
                  <c:v>73.435696083487812</c:v>
                </c:pt>
                <c:pt idx="442">
                  <c:v>72.701339122652939</c:v>
                </c:pt>
                <c:pt idx="443">
                  <c:v>71.974325731426404</c:v>
                </c:pt>
                <c:pt idx="444">
                  <c:v>71.254582474112141</c:v>
                </c:pt>
                <c:pt idx="445">
                  <c:v>70.542036649371013</c:v>
                </c:pt>
                <c:pt idx="446">
                  <c:v>69.836616282877301</c:v>
                </c:pt>
                <c:pt idx="447">
                  <c:v>69.138250120048525</c:v>
                </c:pt>
                <c:pt idx="448">
                  <c:v>68.446867618848046</c:v>
                </c:pt>
                <c:pt idx="449">
                  <c:v>67.762398942659559</c:v>
                </c:pt>
                <c:pt idx="450">
                  <c:v>67.084774953232966</c:v>
                </c:pt>
                <c:pt idx="451">
                  <c:v>66.413927203700638</c:v>
                </c:pt>
                <c:pt idx="452">
                  <c:v>65.749787931663633</c:v>
                </c:pt>
                <c:pt idx="453">
                  <c:v>65.092290052346996</c:v>
                </c:pt>
                <c:pt idx="454">
                  <c:v>64.441367151823528</c:v>
                </c:pt>
                <c:pt idx="455">
                  <c:v>63.796953480305291</c:v>
                </c:pt>
                <c:pt idx="456">
                  <c:v>63.158983945502236</c:v>
                </c:pt>
                <c:pt idx="457">
                  <c:v>62.527394106047211</c:v>
                </c:pt>
                <c:pt idx="458">
                  <c:v>61.902120164986741</c:v>
                </c:pt>
                <c:pt idx="459">
                  <c:v>61.283098963336876</c:v>
                </c:pt>
                <c:pt idx="460">
                  <c:v>60.67026797370351</c:v>
                </c:pt>
                <c:pt idx="461">
                  <c:v>60.063565293966477</c:v>
                </c:pt>
                <c:pt idx="462">
                  <c:v>59.462929641026811</c:v>
                </c:pt>
                <c:pt idx="463">
                  <c:v>58.868300344616543</c:v>
                </c:pt>
                <c:pt idx="464">
                  <c:v>58.279617341170379</c:v>
                </c:pt>
                <c:pt idx="465">
                  <c:v>57.696821167758678</c:v>
                </c:pt>
                <c:pt idx="466">
                  <c:v>57.11985295608109</c:v>
                </c:pt>
                <c:pt idx="467">
                  <c:v>56.54865442652028</c:v>
                </c:pt>
                <c:pt idx="468">
                  <c:v>55.983167882255074</c:v>
                </c:pt>
                <c:pt idx="469">
                  <c:v>55.42333620343252</c:v>
                </c:pt>
                <c:pt idx="470">
                  <c:v>54.869102841398195</c:v>
                </c:pt>
                <c:pt idx="471">
                  <c:v>54.320411812984212</c:v>
                </c:pt>
                <c:pt idx="472">
                  <c:v>53.777207694854368</c:v>
                </c:pt>
                <c:pt idx="473">
                  <c:v>53.239435617905826</c:v>
                </c:pt>
                <c:pt idx="474">
                  <c:v>52.707041261726765</c:v>
                </c:pt>
                <c:pt idx="475">
                  <c:v>52.179970849109495</c:v>
                </c:pt>
                <c:pt idx="476">
                  <c:v>51.6581711406184</c:v>
                </c:pt>
                <c:pt idx="477">
                  <c:v>51.141589429212218</c:v>
                </c:pt>
                <c:pt idx="478">
                  <c:v>50.630173534920097</c:v>
                </c:pt>
                <c:pt idx="479">
                  <c:v>50.123871799570892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90-45FF-823D-857AD61FB73F}"/>
            </c:ext>
          </c:extLst>
        </c:ser>
        <c:ser>
          <c:idx val="5"/>
          <c:order val="5"/>
          <c:tx>
            <c:strRef>
              <c:f>'FPSO1 Otim'!$H$5</c:f>
              <c:strCache>
                <c:ptCount val="1"/>
                <c:pt idx="0">
                  <c:v>P6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Otim'!$H$6:$H$733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901.48200000000008</c:v>
                </c:pt>
                <c:pt idx="101">
                  <c:v>882.16499999999996</c:v>
                </c:pt>
                <c:pt idx="102">
                  <c:v>874.57050000000004</c:v>
                </c:pt>
                <c:pt idx="103">
                  <c:v>868.04250000000002</c:v>
                </c:pt>
                <c:pt idx="104">
                  <c:v>861.8130000000001</c:v>
                </c:pt>
                <c:pt idx="105">
                  <c:v>884.12699999999995</c:v>
                </c:pt>
                <c:pt idx="106">
                  <c:v>877.98450000000003</c:v>
                </c:pt>
                <c:pt idx="107">
                  <c:v>872.05500000000006</c:v>
                </c:pt>
                <c:pt idx="108">
                  <c:v>866.34449999999993</c:v>
                </c:pt>
                <c:pt idx="109">
                  <c:v>860.65499999999997</c:v>
                </c:pt>
                <c:pt idx="110">
                  <c:v>855.31050000000005</c:v>
                </c:pt>
                <c:pt idx="111">
                  <c:v>849.88049999999998</c:v>
                </c:pt>
                <c:pt idx="112">
                  <c:v>844.54200000000003</c:v>
                </c:pt>
                <c:pt idx="113">
                  <c:v>839.50199999999995</c:v>
                </c:pt>
                <c:pt idx="114">
                  <c:v>834.54750000000001</c:v>
                </c:pt>
                <c:pt idx="115">
                  <c:v>831.79950000000008</c:v>
                </c:pt>
                <c:pt idx="116">
                  <c:v>826.72649999999999</c:v>
                </c:pt>
                <c:pt idx="117">
                  <c:v>806.32499999999993</c:v>
                </c:pt>
                <c:pt idx="118">
                  <c:v>802.96949999999993</c:v>
                </c:pt>
                <c:pt idx="119">
                  <c:v>799.73399999999992</c:v>
                </c:pt>
                <c:pt idx="120">
                  <c:v>796.6065000000001</c:v>
                </c:pt>
                <c:pt idx="121">
                  <c:v>793.44900000000007</c:v>
                </c:pt>
                <c:pt idx="122">
                  <c:v>790.69799999999987</c:v>
                </c:pt>
                <c:pt idx="123">
                  <c:v>788.0145</c:v>
                </c:pt>
                <c:pt idx="124">
                  <c:v>785.36849999999993</c:v>
                </c:pt>
                <c:pt idx="125">
                  <c:v>782.88599999999997</c:v>
                </c:pt>
                <c:pt idx="126">
                  <c:v>780.43050000000005</c:v>
                </c:pt>
                <c:pt idx="127">
                  <c:v>777.4665</c:v>
                </c:pt>
                <c:pt idx="128">
                  <c:v>775.12649999999996</c:v>
                </c:pt>
                <c:pt idx="129">
                  <c:v>773.44950000000006</c:v>
                </c:pt>
                <c:pt idx="130">
                  <c:v>771.39750000000004</c:v>
                </c:pt>
                <c:pt idx="131">
                  <c:v>769.18499999999995</c:v>
                </c:pt>
                <c:pt idx="132">
                  <c:v>767.07749999999999</c:v>
                </c:pt>
                <c:pt idx="133">
                  <c:v>764.94450000000006</c:v>
                </c:pt>
                <c:pt idx="134">
                  <c:v>762.90300000000002</c:v>
                </c:pt>
                <c:pt idx="135">
                  <c:v>760.85699999999997</c:v>
                </c:pt>
                <c:pt idx="136">
                  <c:v>758.8125</c:v>
                </c:pt>
                <c:pt idx="137">
                  <c:v>756.88499999999999</c:v>
                </c:pt>
                <c:pt idx="138">
                  <c:v>754.90199999999993</c:v>
                </c:pt>
                <c:pt idx="139">
                  <c:v>753.02699999999993</c:v>
                </c:pt>
                <c:pt idx="140">
                  <c:v>751.11</c:v>
                </c:pt>
                <c:pt idx="141">
                  <c:v>745.6875</c:v>
                </c:pt>
                <c:pt idx="142">
                  <c:v>744.07500000000005</c:v>
                </c:pt>
                <c:pt idx="143">
                  <c:v>742.29750000000001</c:v>
                </c:pt>
                <c:pt idx="144">
                  <c:v>740.56349999999998</c:v>
                </c:pt>
                <c:pt idx="145">
                  <c:v>738.80099999999993</c:v>
                </c:pt>
                <c:pt idx="146">
                  <c:v>737.56050000000005</c:v>
                </c:pt>
                <c:pt idx="147">
                  <c:v>736.21350000000007</c:v>
                </c:pt>
                <c:pt idx="148">
                  <c:v>734.71350000000007</c:v>
                </c:pt>
                <c:pt idx="149">
                  <c:v>733.15499999999997</c:v>
                </c:pt>
                <c:pt idx="150">
                  <c:v>731.47649999999999</c:v>
                </c:pt>
                <c:pt idx="151">
                  <c:v>729.846</c:v>
                </c:pt>
                <c:pt idx="152">
                  <c:v>728.21699999999998</c:v>
                </c:pt>
                <c:pt idx="153">
                  <c:v>723.70349999999996</c:v>
                </c:pt>
                <c:pt idx="154">
                  <c:v>722.25600000000009</c:v>
                </c:pt>
                <c:pt idx="155">
                  <c:v>720.69150000000002</c:v>
                </c:pt>
                <c:pt idx="156">
                  <c:v>719.15250000000003</c:v>
                </c:pt>
                <c:pt idx="157">
                  <c:v>717.58500000000004</c:v>
                </c:pt>
                <c:pt idx="158">
                  <c:v>716.06399999999996</c:v>
                </c:pt>
                <c:pt idx="159">
                  <c:v>714.51299999999992</c:v>
                </c:pt>
                <c:pt idx="160">
                  <c:v>712.97699999999998</c:v>
                </c:pt>
                <c:pt idx="161">
                  <c:v>711.48749999999995</c:v>
                </c:pt>
                <c:pt idx="162">
                  <c:v>709.96500000000003</c:v>
                </c:pt>
                <c:pt idx="163">
                  <c:v>708.49649999999997</c:v>
                </c:pt>
                <c:pt idx="164">
                  <c:v>707.01150000000007</c:v>
                </c:pt>
                <c:pt idx="165">
                  <c:v>697.596</c:v>
                </c:pt>
                <c:pt idx="166">
                  <c:v>696.4815000000001</c:v>
                </c:pt>
                <c:pt idx="167">
                  <c:v>695.12699999999995</c:v>
                </c:pt>
                <c:pt idx="168">
                  <c:v>693.83550000000002</c:v>
                </c:pt>
                <c:pt idx="169">
                  <c:v>692.45699999999999</c:v>
                </c:pt>
                <c:pt idx="170">
                  <c:v>691.16249999999991</c:v>
                </c:pt>
                <c:pt idx="171">
                  <c:v>689.81100000000004</c:v>
                </c:pt>
                <c:pt idx="172">
                  <c:v>688.476</c:v>
                </c:pt>
                <c:pt idx="173">
                  <c:v>687.18299999999999</c:v>
                </c:pt>
                <c:pt idx="174">
                  <c:v>685.86599999999999</c:v>
                </c:pt>
                <c:pt idx="175">
                  <c:v>684.59400000000005</c:v>
                </c:pt>
                <c:pt idx="176">
                  <c:v>683.27850000000001</c:v>
                </c:pt>
                <c:pt idx="177">
                  <c:v>679.19100000000003</c:v>
                </c:pt>
                <c:pt idx="178">
                  <c:v>678.0915</c:v>
                </c:pt>
                <c:pt idx="179">
                  <c:v>676.85249999999996</c:v>
                </c:pt>
                <c:pt idx="180">
                  <c:v>675.64649999999995</c:v>
                </c:pt>
                <c:pt idx="181">
                  <c:v>674.40750000000003</c:v>
                </c:pt>
                <c:pt idx="182">
                  <c:v>673.2059999999999</c:v>
                </c:pt>
                <c:pt idx="183">
                  <c:v>671.97300000000007</c:v>
                </c:pt>
                <c:pt idx="184">
                  <c:v>670.73249999999996</c:v>
                </c:pt>
                <c:pt idx="185">
                  <c:v>669.56850000000009</c:v>
                </c:pt>
                <c:pt idx="186">
                  <c:v>668.34749999999997</c:v>
                </c:pt>
                <c:pt idx="187">
                  <c:v>667.17599999999993</c:v>
                </c:pt>
                <c:pt idx="188">
                  <c:v>665.97300000000007</c:v>
                </c:pt>
                <c:pt idx="189">
                  <c:v>662.60550000000001</c:v>
                </c:pt>
                <c:pt idx="190">
                  <c:v>661.57349999999997</c:v>
                </c:pt>
                <c:pt idx="191">
                  <c:v>660.44399999999996</c:v>
                </c:pt>
                <c:pt idx="192">
                  <c:v>659.31449999999995</c:v>
                </c:pt>
                <c:pt idx="193">
                  <c:v>658.16399999999999</c:v>
                </c:pt>
                <c:pt idx="194">
                  <c:v>657.07950000000005</c:v>
                </c:pt>
                <c:pt idx="195">
                  <c:v>655.93049999999994</c:v>
                </c:pt>
                <c:pt idx="196">
                  <c:v>654.83249999999998</c:v>
                </c:pt>
                <c:pt idx="197">
                  <c:v>653.72249999999997</c:v>
                </c:pt>
                <c:pt idx="198">
                  <c:v>652.61099999999999</c:v>
                </c:pt>
                <c:pt idx="199">
                  <c:v>651.52649999999994</c:v>
                </c:pt>
                <c:pt idx="200">
                  <c:v>650.44949999999994</c:v>
                </c:pt>
                <c:pt idx="201">
                  <c:v>646.65750000000003</c:v>
                </c:pt>
                <c:pt idx="202">
                  <c:v>645.70500000000004</c:v>
                </c:pt>
                <c:pt idx="203">
                  <c:v>644.673</c:v>
                </c:pt>
                <c:pt idx="204">
                  <c:v>643.67700000000002</c:v>
                </c:pt>
                <c:pt idx="205">
                  <c:v>642.63</c:v>
                </c:pt>
                <c:pt idx="206">
                  <c:v>641.62649999999996</c:v>
                </c:pt>
                <c:pt idx="207">
                  <c:v>640.60950000000003</c:v>
                </c:pt>
                <c:pt idx="208">
                  <c:v>639.58199999999999</c:v>
                </c:pt>
                <c:pt idx="209">
                  <c:v>638.59800000000007</c:v>
                </c:pt>
                <c:pt idx="210">
                  <c:v>637.58550000000002</c:v>
                </c:pt>
                <c:pt idx="211">
                  <c:v>636.60900000000004</c:v>
                </c:pt>
                <c:pt idx="212">
                  <c:v>635.62350000000004</c:v>
                </c:pt>
                <c:pt idx="213">
                  <c:v>629.36249999999995</c:v>
                </c:pt>
                <c:pt idx="214">
                  <c:v>628.57500000000005</c:v>
                </c:pt>
                <c:pt idx="215">
                  <c:v>627.68550000000005</c:v>
                </c:pt>
                <c:pt idx="216">
                  <c:v>626.80649999999991</c:v>
                </c:pt>
                <c:pt idx="217">
                  <c:v>625.89</c:v>
                </c:pt>
                <c:pt idx="218">
                  <c:v>625.02449999999999</c:v>
                </c:pt>
                <c:pt idx="219">
                  <c:v>624.11850000000004</c:v>
                </c:pt>
                <c:pt idx="220">
                  <c:v>623.22</c:v>
                </c:pt>
                <c:pt idx="221">
                  <c:v>622.33949999999993</c:v>
                </c:pt>
                <c:pt idx="222">
                  <c:v>621.44849999999997</c:v>
                </c:pt>
                <c:pt idx="223">
                  <c:v>620.60550000000001</c:v>
                </c:pt>
                <c:pt idx="224">
                  <c:v>619.69949999999994</c:v>
                </c:pt>
                <c:pt idx="225">
                  <c:v>616.22699999999998</c:v>
                </c:pt>
                <c:pt idx="226">
                  <c:v>615.49649999999997</c:v>
                </c:pt>
                <c:pt idx="227">
                  <c:v>614.66700000000003</c:v>
                </c:pt>
                <c:pt idx="228">
                  <c:v>613.86750000000006</c:v>
                </c:pt>
                <c:pt idx="229">
                  <c:v>613.03649999999993</c:v>
                </c:pt>
                <c:pt idx="230">
                  <c:v>612.23099999999999</c:v>
                </c:pt>
                <c:pt idx="231">
                  <c:v>611.43000000000006</c:v>
                </c:pt>
                <c:pt idx="232">
                  <c:v>610.55700000000002</c:v>
                </c:pt>
                <c:pt idx="233">
                  <c:v>609.81449999999995</c:v>
                </c:pt>
                <c:pt idx="234">
                  <c:v>608.99699999999996</c:v>
                </c:pt>
                <c:pt idx="235">
                  <c:v>608.20349999999996</c:v>
                </c:pt>
                <c:pt idx="236">
                  <c:v>607.39049999999997</c:v>
                </c:pt>
                <c:pt idx="237">
                  <c:v>606.6105</c:v>
                </c:pt>
                <c:pt idx="238">
                  <c:v>605.89649999999995</c:v>
                </c:pt>
                <c:pt idx="239">
                  <c:v>605.09850000000006</c:v>
                </c:pt>
                <c:pt idx="240">
                  <c:v>604.34550000000002</c:v>
                </c:pt>
                <c:pt idx="241">
                  <c:v>603.5625</c:v>
                </c:pt>
                <c:pt idx="242">
                  <c:v>602.80799999999999</c:v>
                </c:pt>
                <c:pt idx="243">
                  <c:v>602.02649999999994</c:v>
                </c:pt>
                <c:pt idx="244">
                  <c:v>601.24800000000005</c:v>
                </c:pt>
                <c:pt idx="245">
                  <c:v>600.53700000000003</c:v>
                </c:pt>
                <c:pt idx="246">
                  <c:v>599.75850000000003</c:v>
                </c:pt>
                <c:pt idx="247">
                  <c:v>599.02350000000001</c:v>
                </c:pt>
                <c:pt idx="248">
                  <c:v>598.24649999999997</c:v>
                </c:pt>
                <c:pt idx="249">
                  <c:v>583.24350000000004</c:v>
                </c:pt>
                <c:pt idx="250">
                  <c:v>582.90750000000003</c:v>
                </c:pt>
                <c:pt idx="251">
                  <c:v>582.34649999999999</c:v>
                </c:pt>
                <c:pt idx="252">
                  <c:v>581.78700000000003</c:v>
                </c:pt>
                <c:pt idx="253">
                  <c:v>581.23649999999998</c:v>
                </c:pt>
                <c:pt idx="254">
                  <c:v>580.6155</c:v>
                </c:pt>
                <c:pt idx="255">
                  <c:v>580.07849999999996</c:v>
                </c:pt>
                <c:pt idx="256">
                  <c:v>579.41700000000003</c:v>
                </c:pt>
                <c:pt idx="257">
                  <c:v>578.88149999999996</c:v>
                </c:pt>
                <c:pt idx="258">
                  <c:v>578.28300000000002</c:v>
                </c:pt>
                <c:pt idx="259">
                  <c:v>577.68600000000004</c:v>
                </c:pt>
                <c:pt idx="260">
                  <c:v>577.101</c:v>
                </c:pt>
                <c:pt idx="261">
                  <c:v>576.51</c:v>
                </c:pt>
                <c:pt idx="262">
                  <c:v>575.97149999999999</c:v>
                </c:pt>
                <c:pt idx="263">
                  <c:v>575.37599999999998</c:v>
                </c:pt>
                <c:pt idx="264">
                  <c:v>574.80449999999996</c:v>
                </c:pt>
                <c:pt idx="265">
                  <c:v>574.21949999999993</c:v>
                </c:pt>
                <c:pt idx="266">
                  <c:v>573.68100000000004</c:v>
                </c:pt>
                <c:pt idx="267">
                  <c:v>573.06150000000002</c:v>
                </c:pt>
                <c:pt idx="268">
                  <c:v>572.51700000000005</c:v>
                </c:pt>
                <c:pt idx="269">
                  <c:v>571.94849999999997</c:v>
                </c:pt>
                <c:pt idx="270">
                  <c:v>571.38300000000004</c:v>
                </c:pt>
                <c:pt idx="271">
                  <c:v>570.82500000000005</c:v>
                </c:pt>
                <c:pt idx="272">
                  <c:v>570.27300000000002</c:v>
                </c:pt>
                <c:pt idx="273">
                  <c:v>569.7059999999999</c:v>
                </c:pt>
                <c:pt idx="274">
                  <c:v>569.19600000000003</c:v>
                </c:pt>
                <c:pt idx="275">
                  <c:v>568.66650000000004</c:v>
                </c:pt>
                <c:pt idx="276">
                  <c:v>568.09050000000002</c:v>
                </c:pt>
                <c:pt idx="277">
                  <c:v>567.57900000000006</c:v>
                </c:pt>
                <c:pt idx="278">
                  <c:v>567.04049999999995</c:v>
                </c:pt>
                <c:pt idx="279">
                  <c:v>566.51700000000005</c:v>
                </c:pt>
                <c:pt idx="280">
                  <c:v>565.95000000000005</c:v>
                </c:pt>
                <c:pt idx="281">
                  <c:v>565.42949999999996</c:v>
                </c:pt>
                <c:pt idx="282">
                  <c:v>564.91050000000007</c:v>
                </c:pt>
                <c:pt idx="283">
                  <c:v>564.40499999999997</c:v>
                </c:pt>
                <c:pt idx="284">
                  <c:v>563.8934999999999</c:v>
                </c:pt>
                <c:pt idx="285">
                  <c:v>563.35050000000001</c:v>
                </c:pt>
                <c:pt idx="286">
                  <c:v>562.89300000000003</c:v>
                </c:pt>
                <c:pt idx="287">
                  <c:v>562.38149999999996</c:v>
                </c:pt>
                <c:pt idx="288">
                  <c:v>561.8655</c:v>
                </c:pt>
                <c:pt idx="289">
                  <c:v>561.39</c:v>
                </c:pt>
                <c:pt idx="290">
                  <c:v>560.86500000000001</c:v>
                </c:pt>
                <c:pt idx="291">
                  <c:v>560.39700000000005</c:v>
                </c:pt>
                <c:pt idx="292">
                  <c:v>559.90049999999997</c:v>
                </c:pt>
                <c:pt idx="293">
                  <c:v>559.39949999999999</c:v>
                </c:pt>
                <c:pt idx="294">
                  <c:v>558.90899999999999</c:v>
                </c:pt>
                <c:pt idx="295">
                  <c:v>558.423</c:v>
                </c:pt>
                <c:pt idx="296">
                  <c:v>557.96399999999994</c:v>
                </c:pt>
                <c:pt idx="297">
                  <c:v>557.46749999999997</c:v>
                </c:pt>
                <c:pt idx="298">
                  <c:v>557.04449999999997</c:v>
                </c:pt>
                <c:pt idx="299">
                  <c:v>556.54650000000004</c:v>
                </c:pt>
                <c:pt idx="300">
                  <c:v>556.07849999999996</c:v>
                </c:pt>
                <c:pt idx="301">
                  <c:v>555.60149999999999</c:v>
                </c:pt>
                <c:pt idx="302">
                  <c:v>555.17550000000006</c:v>
                </c:pt>
                <c:pt idx="303">
                  <c:v>554.67899999999997</c:v>
                </c:pt>
                <c:pt idx="304">
                  <c:v>554.25450000000001</c:v>
                </c:pt>
                <c:pt idx="305">
                  <c:v>553.7595</c:v>
                </c:pt>
                <c:pt idx="306">
                  <c:v>553.33349999999996</c:v>
                </c:pt>
                <c:pt idx="307">
                  <c:v>552.90599999999995</c:v>
                </c:pt>
                <c:pt idx="308">
                  <c:v>552.43500000000006</c:v>
                </c:pt>
                <c:pt idx="309">
                  <c:v>552.01049999999998</c:v>
                </c:pt>
                <c:pt idx="310">
                  <c:v>551.59199999999998</c:v>
                </c:pt>
                <c:pt idx="311">
                  <c:v>551.16</c:v>
                </c:pt>
                <c:pt idx="312">
                  <c:v>550.70849999999996</c:v>
                </c:pt>
                <c:pt idx="313">
                  <c:v>550.28550000000007</c:v>
                </c:pt>
                <c:pt idx="314">
                  <c:v>549.85350000000005</c:v>
                </c:pt>
                <c:pt idx="315">
                  <c:v>549.43500000000006</c:v>
                </c:pt>
                <c:pt idx="316">
                  <c:v>549.00900000000001</c:v>
                </c:pt>
                <c:pt idx="317">
                  <c:v>548.58450000000005</c:v>
                </c:pt>
                <c:pt idx="318">
                  <c:v>548.1825</c:v>
                </c:pt>
                <c:pt idx="319">
                  <c:v>547.779</c:v>
                </c:pt>
                <c:pt idx="320">
                  <c:v>547.35599999999999</c:v>
                </c:pt>
                <c:pt idx="321">
                  <c:v>546.95400000000006</c:v>
                </c:pt>
                <c:pt idx="322">
                  <c:v>546.54300000000001</c:v>
                </c:pt>
                <c:pt idx="323">
                  <c:v>546.19799999999998</c:v>
                </c:pt>
                <c:pt idx="324">
                  <c:v>545.77649999999994</c:v>
                </c:pt>
                <c:pt idx="325">
                  <c:v>545.41800000000001</c:v>
                </c:pt>
                <c:pt idx="326">
                  <c:v>545.01900000000001</c:v>
                </c:pt>
                <c:pt idx="327">
                  <c:v>544.68600000000004</c:v>
                </c:pt>
                <c:pt idx="328">
                  <c:v>544.28399999999999</c:v>
                </c:pt>
                <c:pt idx="329">
                  <c:v>543.92099999999994</c:v>
                </c:pt>
                <c:pt idx="330">
                  <c:v>543.57449999999994</c:v>
                </c:pt>
                <c:pt idx="331">
                  <c:v>543.23700000000008</c:v>
                </c:pt>
                <c:pt idx="332">
                  <c:v>542.89049999999997</c:v>
                </c:pt>
                <c:pt idx="333">
                  <c:v>542.53499999999997</c:v>
                </c:pt>
                <c:pt idx="334">
                  <c:v>542.25450000000001</c:v>
                </c:pt>
                <c:pt idx="335">
                  <c:v>541.94550000000004</c:v>
                </c:pt>
                <c:pt idx="336">
                  <c:v>541.65000000000009</c:v>
                </c:pt>
                <c:pt idx="337">
                  <c:v>541.30649999999991</c:v>
                </c:pt>
                <c:pt idx="338">
                  <c:v>541.03949999999998</c:v>
                </c:pt>
                <c:pt idx="339">
                  <c:v>540.71699999999998</c:v>
                </c:pt>
                <c:pt idx="340">
                  <c:v>540.48</c:v>
                </c:pt>
                <c:pt idx="341">
                  <c:v>540.18600000000004</c:v>
                </c:pt>
                <c:pt idx="342">
                  <c:v>539.91300000000001</c:v>
                </c:pt>
                <c:pt idx="343">
                  <c:v>539.673</c:v>
                </c:pt>
                <c:pt idx="344">
                  <c:v>539.39400000000001</c:v>
                </c:pt>
                <c:pt idx="345">
                  <c:v>539.18100000000004</c:v>
                </c:pt>
                <c:pt idx="346">
                  <c:v>538.91100000000006</c:v>
                </c:pt>
                <c:pt idx="347">
                  <c:v>538.68449999999996</c:v>
                </c:pt>
                <c:pt idx="348">
                  <c:v>538.476</c:v>
                </c:pt>
                <c:pt idx="349">
                  <c:v>538.25850000000003</c:v>
                </c:pt>
                <c:pt idx="350">
                  <c:v>538.06200000000001</c:v>
                </c:pt>
                <c:pt idx="351">
                  <c:v>537.83399999999995</c:v>
                </c:pt>
                <c:pt idx="352">
                  <c:v>537.64499999999998</c:v>
                </c:pt>
                <c:pt idx="353">
                  <c:v>537.45150000000001</c:v>
                </c:pt>
                <c:pt idx="354">
                  <c:v>537.24299999999994</c:v>
                </c:pt>
                <c:pt idx="355">
                  <c:v>537.06000000000006</c:v>
                </c:pt>
                <c:pt idx="356">
                  <c:v>536.91300000000001</c:v>
                </c:pt>
                <c:pt idx="357">
                  <c:v>536.70000000000005</c:v>
                </c:pt>
                <c:pt idx="358">
                  <c:v>536.577</c:v>
                </c:pt>
                <c:pt idx="359">
                  <c:v>536.41650000000004</c:v>
                </c:pt>
                <c:pt idx="360">
                  <c:v>536.25450000000001</c:v>
                </c:pt>
                <c:pt idx="361">
                  <c:v>536.08500000000004</c:v>
                </c:pt>
                <c:pt idx="362">
                  <c:v>535.93799999999999</c:v>
                </c:pt>
                <c:pt idx="363">
                  <c:v>535.82549999999992</c:v>
                </c:pt>
                <c:pt idx="364">
                  <c:v>535.66050000000007</c:v>
                </c:pt>
                <c:pt idx="365">
                  <c:v>535.52250000000004</c:v>
                </c:pt>
                <c:pt idx="366">
                  <c:v>535.40100000000007</c:v>
                </c:pt>
                <c:pt idx="367">
                  <c:v>535.27800000000002</c:v>
                </c:pt>
                <c:pt idx="368">
                  <c:v>535.16399999999999</c:v>
                </c:pt>
                <c:pt idx="369">
                  <c:v>535.04549999999995</c:v>
                </c:pt>
                <c:pt idx="370">
                  <c:v>534.93000000000006</c:v>
                </c:pt>
                <c:pt idx="371">
                  <c:v>534.83399999999995</c:v>
                </c:pt>
                <c:pt idx="372">
                  <c:v>534.69299999999998</c:v>
                </c:pt>
                <c:pt idx="373">
                  <c:v>534.59699999999998</c:v>
                </c:pt>
                <c:pt idx="374">
                  <c:v>534.52200000000005</c:v>
                </c:pt>
                <c:pt idx="375">
                  <c:v>534.43200000000002</c:v>
                </c:pt>
                <c:pt idx="376">
                  <c:v>534.31349999999998</c:v>
                </c:pt>
                <c:pt idx="377">
                  <c:v>534.20400000000006</c:v>
                </c:pt>
                <c:pt idx="378">
                  <c:v>534.12450000000001</c:v>
                </c:pt>
                <c:pt idx="379">
                  <c:v>534.08249999999998</c:v>
                </c:pt>
                <c:pt idx="380">
                  <c:v>533.95950000000005</c:v>
                </c:pt>
                <c:pt idx="381">
                  <c:v>533.88900000000001</c:v>
                </c:pt>
                <c:pt idx="382">
                  <c:v>533.83050000000003</c:v>
                </c:pt>
                <c:pt idx="383">
                  <c:v>533.72249999999997</c:v>
                </c:pt>
                <c:pt idx="384">
                  <c:v>533.66700000000003</c:v>
                </c:pt>
                <c:pt idx="385">
                  <c:v>533.60550000000001</c:v>
                </c:pt>
                <c:pt idx="386">
                  <c:v>533.54549999999995</c:v>
                </c:pt>
                <c:pt idx="387">
                  <c:v>533.43899999999996</c:v>
                </c:pt>
                <c:pt idx="388">
                  <c:v>533.41650000000004</c:v>
                </c:pt>
                <c:pt idx="389">
                  <c:v>533.32500000000005</c:v>
                </c:pt>
                <c:pt idx="390">
                  <c:v>533.274</c:v>
                </c:pt>
                <c:pt idx="391">
                  <c:v>533.22749999999996</c:v>
                </c:pt>
                <c:pt idx="392">
                  <c:v>533.15550000000007</c:v>
                </c:pt>
                <c:pt idx="393">
                  <c:v>533.13149999999996</c:v>
                </c:pt>
                <c:pt idx="394">
                  <c:v>533.05200000000002</c:v>
                </c:pt>
                <c:pt idx="395">
                  <c:v>532.9905</c:v>
                </c:pt>
                <c:pt idx="396">
                  <c:v>532.95899999999995</c:v>
                </c:pt>
                <c:pt idx="397">
                  <c:v>532.91999999999996</c:v>
                </c:pt>
                <c:pt idx="398">
                  <c:v>532.86149999999998</c:v>
                </c:pt>
                <c:pt idx="399">
                  <c:v>532.82549999999992</c:v>
                </c:pt>
                <c:pt idx="400">
                  <c:v>532.75350000000003</c:v>
                </c:pt>
                <c:pt idx="401">
                  <c:v>532.74</c:v>
                </c:pt>
                <c:pt idx="402">
                  <c:v>532.68299999999999</c:v>
                </c:pt>
                <c:pt idx="403">
                  <c:v>532.64099999999996</c:v>
                </c:pt>
                <c:pt idx="404">
                  <c:v>532.63650000000007</c:v>
                </c:pt>
                <c:pt idx="405">
                  <c:v>532.56449999999995</c:v>
                </c:pt>
                <c:pt idx="406">
                  <c:v>532.52250000000004</c:v>
                </c:pt>
                <c:pt idx="407">
                  <c:v>532.51800000000003</c:v>
                </c:pt>
                <c:pt idx="408">
                  <c:v>532.47</c:v>
                </c:pt>
                <c:pt idx="409">
                  <c:v>532.44749999999999</c:v>
                </c:pt>
                <c:pt idx="410">
                  <c:v>532.39800000000002</c:v>
                </c:pt>
                <c:pt idx="411">
                  <c:v>532.37549999999999</c:v>
                </c:pt>
                <c:pt idx="412">
                  <c:v>532.35299999999995</c:v>
                </c:pt>
                <c:pt idx="413">
                  <c:v>532.32449999999994</c:v>
                </c:pt>
                <c:pt idx="414">
                  <c:v>532.30500000000006</c:v>
                </c:pt>
                <c:pt idx="415">
                  <c:v>532.27500000000009</c:v>
                </c:pt>
                <c:pt idx="416">
                  <c:v>532.23450000000003</c:v>
                </c:pt>
                <c:pt idx="417">
                  <c:v>532.23450000000003</c:v>
                </c:pt>
                <c:pt idx="418">
                  <c:v>532.18349999999998</c:v>
                </c:pt>
                <c:pt idx="419">
                  <c:v>532.18650000000002</c:v>
                </c:pt>
                <c:pt idx="420">
                  <c:v>532.17750000000001</c:v>
                </c:pt>
                <c:pt idx="421">
                  <c:v>532.14</c:v>
                </c:pt>
                <c:pt idx="422">
                  <c:v>532.12950000000001</c:v>
                </c:pt>
                <c:pt idx="423">
                  <c:v>532.09199999999998</c:v>
                </c:pt>
                <c:pt idx="424">
                  <c:v>532.09199999999998</c:v>
                </c:pt>
                <c:pt idx="425">
                  <c:v>532.10400000000004</c:v>
                </c:pt>
                <c:pt idx="426">
                  <c:v>532.06950000000006</c:v>
                </c:pt>
                <c:pt idx="427">
                  <c:v>532.05600000000004</c:v>
                </c:pt>
                <c:pt idx="428">
                  <c:v>532.02149999999995</c:v>
                </c:pt>
                <c:pt idx="429">
                  <c:v>532.04549999999995</c:v>
                </c:pt>
                <c:pt idx="430">
                  <c:v>532.02600000000007</c:v>
                </c:pt>
                <c:pt idx="431">
                  <c:v>532.02149999999995</c:v>
                </c:pt>
                <c:pt idx="432">
                  <c:v>532.00649999999996</c:v>
                </c:pt>
                <c:pt idx="433">
                  <c:v>531.99750000000006</c:v>
                </c:pt>
                <c:pt idx="434">
                  <c:v>532.00649999999996</c:v>
                </c:pt>
                <c:pt idx="435">
                  <c:v>531.99750000000006</c:v>
                </c:pt>
                <c:pt idx="436">
                  <c:v>531.97499999999991</c:v>
                </c:pt>
                <c:pt idx="437">
                  <c:v>532.00649999999996</c:v>
                </c:pt>
                <c:pt idx="438">
                  <c:v>531.99750000000006</c:v>
                </c:pt>
                <c:pt idx="439">
                  <c:v>531.98249999999996</c:v>
                </c:pt>
                <c:pt idx="440">
                  <c:v>531.99750000000006</c:v>
                </c:pt>
                <c:pt idx="441">
                  <c:v>531.99750000000006</c:v>
                </c:pt>
                <c:pt idx="442">
                  <c:v>531.99149999999997</c:v>
                </c:pt>
                <c:pt idx="443">
                  <c:v>531.97499999999991</c:v>
                </c:pt>
                <c:pt idx="444">
                  <c:v>532.00649999999996</c:v>
                </c:pt>
                <c:pt idx="445">
                  <c:v>532.02149999999995</c:v>
                </c:pt>
                <c:pt idx="446">
                  <c:v>532.00649999999996</c:v>
                </c:pt>
                <c:pt idx="447">
                  <c:v>531.99750000000006</c:v>
                </c:pt>
                <c:pt idx="448">
                  <c:v>532.04549999999995</c:v>
                </c:pt>
                <c:pt idx="449">
                  <c:v>532.03199999999993</c:v>
                </c:pt>
                <c:pt idx="450">
                  <c:v>532.04549999999995</c:v>
                </c:pt>
                <c:pt idx="451">
                  <c:v>532.03199999999993</c:v>
                </c:pt>
                <c:pt idx="452">
                  <c:v>532.04549999999995</c:v>
                </c:pt>
                <c:pt idx="453">
                  <c:v>532.06950000000006</c:v>
                </c:pt>
                <c:pt idx="454">
                  <c:v>532.07849999999996</c:v>
                </c:pt>
                <c:pt idx="455">
                  <c:v>532.09199999999998</c:v>
                </c:pt>
                <c:pt idx="456">
                  <c:v>532.05600000000004</c:v>
                </c:pt>
                <c:pt idx="457">
                  <c:v>532.09199999999998</c:v>
                </c:pt>
                <c:pt idx="458">
                  <c:v>532.12950000000001</c:v>
                </c:pt>
                <c:pt idx="459">
                  <c:v>532.11599999999999</c:v>
                </c:pt>
                <c:pt idx="460">
                  <c:v>532.14</c:v>
                </c:pt>
                <c:pt idx="461">
                  <c:v>532.12950000000001</c:v>
                </c:pt>
                <c:pt idx="462">
                  <c:v>532.16399999999999</c:v>
                </c:pt>
                <c:pt idx="463">
                  <c:v>532.15350000000001</c:v>
                </c:pt>
                <c:pt idx="464">
                  <c:v>532.18650000000002</c:v>
                </c:pt>
                <c:pt idx="465">
                  <c:v>532.21050000000002</c:v>
                </c:pt>
                <c:pt idx="466">
                  <c:v>532.20899999999995</c:v>
                </c:pt>
                <c:pt idx="467">
                  <c:v>532.23450000000003</c:v>
                </c:pt>
                <c:pt idx="468">
                  <c:v>532.22699999999998</c:v>
                </c:pt>
                <c:pt idx="469">
                  <c:v>532.28099999999995</c:v>
                </c:pt>
                <c:pt idx="470">
                  <c:v>532.27500000000009</c:v>
                </c:pt>
                <c:pt idx="471">
                  <c:v>532.30500000000006</c:v>
                </c:pt>
                <c:pt idx="472">
                  <c:v>532.30500000000006</c:v>
                </c:pt>
                <c:pt idx="473">
                  <c:v>532.32449999999994</c:v>
                </c:pt>
                <c:pt idx="474">
                  <c:v>532.35299999999995</c:v>
                </c:pt>
                <c:pt idx="475">
                  <c:v>532.37250000000006</c:v>
                </c:pt>
                <c:pt idx="476">
                  <c:v>532.39949999999999</c:v>
                </c:pt>
                <c:pt idx="477">
                  <c:v>532.44749999999999</c:v>
                </c:pt>
                <c:pt idx="478">
                  <c:v>532.4190000000001</c:v>
                </c:pt>
                <c:pt idx="479">
                  <c:v>532.47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90-45FF-823D-857AD61FB73F}"/>
            </c:ext>
          </c:extLst>
        </c:ser>
        <c:ser>
          <c:idx val="6"/>
          <c:order val="6"/>
          <c:tx>
            <c:strRef>
              <c:f>'FPSO1 Otim'!$I$5</c:f>
              <c:strCache>
                <c:ptCount val="1"/>
                <c:pt idx="0">
                  <c:v>P7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Otim'!$I$6:$I$733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14.125005</c:v>
                </c:pt>
                <c:pt idx="120">
                  <c:v>650.625</c:v>
                </c:pt>
                <c:pt idx="121">
                  <c:v>797.40000000000009</c:v>
                </c:pt>
                <c:pt idx="122">
                  <c:v>812.14049999999997</c:v>
                </c:pt>
                <c:pt idx="123">
                  <c:v>799.93499999999995</c:v>
                </c:pt>
                <c:pt idx="124">
                  <c:v>766.99199999999996</c:v>
                </c:pt>
                <c:pt idx="125">
                  <c:v>700.95899999999995</c:v>
                </c:pt>
                <c:pt idx="126">
                  <c:v>671.27549999999997</c:v>
                </c:pt>
                <c:pt idx="127">
                  <c:v>648.12149999999997</c:v>
                </c:pt>
                <c:pt idx="128">
                  <c:v>611.22450000000003</c:v>
                </c:pt>
                <c:pt idx="129">
                  <c:v>597.89549999999997</c:v>
                </c:pt>
                <c:pt idx="130">
                  <c:v>584.44350000000009</c:v>
                </c:pt>
                <c:pt idx="131">
                  <c:v>579.19949999999994</c:v>
                </c:pt>
                <c:pt idx="132">
                  <c:v>577.04100000000005</c:v>
                </c:pt>
                <c:pt idx="133">
                  <c:v>575.54999999999995</c:v>
                </c:pt>
                <c:pt idx="134">
                  <c:v>570</c:v>
                </c:pt>
                <c:pt idx="135">
                  <c:v>567.96749999999997</c:v>
                </c:pt>
                <c:pt idx="136">
                  <c:v>567.4559999999999</c:v>
                </c:pt>
                <c:pt idx="137">
                  <c:v>566.44350000000009</c:v>
                </c:pt>
                <c:pt idx="138">
                  <c:v>565.39949999999999</c:v>
                </c:pt>
                <c:pt idx="139">
                  <c:v>565.06499999999994</c:v>
                </c:pt>
                <c:pt idx="140">
                  <c:v>564.85050000000001</c:v>
                </c:pt>
                <c:pt idx="141">
                  <c:v>564.29100000000005</c:v>
                </c:pt>
                <c:pt idx="142">
                  <c:v>563.54100000000005</c:v>
                </c:pt>
                <c:pt idx="143">
                  <c:v>562.54950000000008</c:v>
                </c:pt>
                <c:pt idx="144">
                  <c:v>561.31499999999994</c:v>
                </c:pt>
                <c:pt idx="145">
                  <c:v>559.79999999999995</c:v>
                </c:pt>
                <c:pt idx="146">
                  <c:v>558.774</c:v>
                </c:pt>
                <c:pt idx="147">
                  <c:v>557.78250000000003</c:v>
                </c:pt>
                <c:pt idx="148">
                  <c:v>556.5809999999999</c:v>
                </c:pt>
                <c:pt idx="149">
                  <c:v>555.50850000000003</c:v>
                </c:pt>
                <c:pt idx="150">
                  <c:v>554.20049999999992</c:v>
                </c:pt>
                <c:pt idx="151">
                  <c:v>553.11300000000006</c:v>
                </c:pt>
                <c:pt idx="152">
                  <c:v>551.92499999999995</c:v>
                </c:pt>
                <c:pt idx="153">
                  <c:v>550.71749999999997</c:v>
                </c:pt>
                <c:pt idx="154">
                  <c:v>549.55649999999991</c:v>
                </c:pt>
                <c:pt idx="155">
                  <c:v>548.29950000000008</c:v>
                </c:pt>
                <c:pt idx="156">
                  <c:v>547.524</c:v>
                </c:pt>
                <c:pt idx="157">
                  <c:v>546.10050000000001</c:v>
                </c:pt>
                <c:pt idx="158">
                  <c:v>545.80649999999991</c:v>
                </c:pt>
                <c:pt idx="159">
                  <c:v>544.59749999999997</c:v>
                </c:pt>
                <c:pt idx="160">
                  <c:v>542.83949999999993</c:v>
                </c:pt>
                <c:pt idx="161">
                  <c:v>541.30649999999991</c:v>
                </c:pt>
                <c:pt idx="162">
                  <c:v>539.50049999999999</c:v>
                </c:pt>
                <c:pt idx="163">
                  <c:v>537.91949999999997</c:v>
                </c:pt>
                <c:pt idx="164">
                  <c:v>536.14949999999999</c:v>
                </c:pt>
                <c:pt idx="165">
                  <c:v>534.50850000000003</c:v>
                </c:pt>
                <c:pt idx="166">
                  <c:v>532.88699999999994</c:v>
                </c:pt>
                <c:pt idx="167">
                  <c:v>531.25049999999999</c:v>
                </c:pt>
                <c:pt idx="168">
                  <c:v>529.83899999999994</c:v>
                </c:pt>
                <c:pt idx="169">
                  <c:v>528.22499999999991</c:v>
                </c:pt>
                <c:pt idx="170">
                  <c:v>524.75850000000003</c:v>
                </c:pt>
                <c:pt idx="171">
                  <c:v>523.11300000000006</c:v>
                </c:pt>
                <c:pt idx="172">
                  <c:v>521.71500000000003</c:v>
                </c:pt>
                <c:pt idx="173">
                  <c:v>520.548</c:v>
                </c:pt>
                <c:pt idx="174">
                  <c:v>519.22499999999991</c:v>
                </c:pt>
                <c:pt idx="175">
                  <c:v>518.03250000000003</c:v>
                </c:pt>
                <c:pt idx="176">
                  <c:v>516.75</c:v>
                </c:pt>
                <c:pt idx="177">
                  <c:v>515.58899999999994</c:v>
                </c:pt>
                <c:pt idx="178">
                  <c:v>514.476</c:v>
                </c:pt>
                <c:pt idx="179">
                  <c:v>513.29999999999995</c:v>
                </c:pt>
                <c:pt idx="180">
                  <c:v>512.274</c:v>
                </c:pt>
                <c:pt idx="181">
                  <c:v>511.20000000000005</c:v>
                </c:pt>
                <c:pt idx="182">
                  <c:v>506.15250000000003</c:v>
                </c:pt>
                <c:pt idx="183">
                  <c:v>504.678</c:v>
                </c:pt>
                <c:pt idx="184">
                  <c:v>503.75850000000003</c:v>
                </c:pt>
                <c:pt idx="185">
                  <c:v>503.08050000000003</c:v>
                </c:pt>
                <c:pt idx="186">
                  <c:v>502.20000000000005</c:v>
                </c:pt>
                <c:pt idx="187">
                  <c:v>501.45899999999995</c:v>
                </c:pt>
                <c:pt idx="188">
                  <c:v>500.57549999999998</c:v>
                </c:pt>
                <c:pt idx="189">
                  <c:v>499.76550000000003</c:v>
                </c:pt>
                <c:pt idx="190">
                  <c:v>498.96749999999997</c:v>
                </c:pt>
                <c:pt idx="191">
                  <c:v>498.07500000000005</c:v>
                </c:pt>
                <c:pt idx="192">
                  <c:v>497.274</c:v>
                </c:pt>
                <c:pt idx="193">
                  <c:v>496.42499999999995</c:v>
                </c:pt>
                <c:pt idx="194">
                  <c:v>495.53250000000003</c:v>
                </c:pt>
                <c:pt idx="195">
                  <c:v>494.78250000000003</c:v>
                </c:pt>
                <c:pt idx="196">
                  <c:v>493.79400000000004</c:v>
                </c:pt>
                <c:pt idx="197">
                  <c:v>493.01550000000003</c:v>
                </c:pt>
                <c:pt idx="198">
                  <c:v>492.07500000000005</c:v>
                </c:pt>
                <c:pt idx="199">
                  <c:v>491.202</c:v>
                </c:pt>
                <c:pt idx="200">
                  <c:v>490.30050000000006</c:v>
                </c:pt>
                <c:pt idx="201">
                  <c:v>489.38699999999994</c:v>
                </c:pt>
                <c:pt idx="202">
                  <c:v>488.49149999999997</c:v>
                </c:pt>
                <c:pt idx="203">
                  <c:v>487.52549999999997</c:v>
                </c:pt>
                <c:pt idx="204">
                  <c:v>486.65250000000003</c:v>
                </c:pt>
                <c:pt idx="205">
                  <c:v>485.67450000000002</c:v>
                </c:pt>
                <c:pt idx="206">
                  <c:v>484.839</c:v>
                </c:pt>
                <c:pt idx="207">
                  <c:v>484.089</c:v>
                </c:pt>
                <c:pt idx="208">
                  <c:v>483.13350000000003</c:v>
                </c:pt>
                <c:pt idx="209">
                  <c:v>482.34749999999997</c:v>
                </c:pt>
                <c:pt idx="210">
                  <c:v>481.42499999999995</c:v>
                </c:pt>
                <c:pt idx="211">
                  <c:v>480.60450000000003</c:v>
                </c:pt>
                <c:pt idx="212">
                  <c:v>479.625</c:v>
                </c:pt>
                <c:pt idx="213">
                  <c:v>478.71749999999997</c:v>
                </c:pt>
                <c:pt idx="214">
                  <c:v>477.798</c:v>
                </c:pt>
                <c:pt idx="215">
                  <c:v>476.84999999999997</c:v>
                </c:pt>
                <c:pt idx="216">
                  <c:v>475.95899999999995</c:v>
                </c:pt>
                <c:pt idx="217">
                  <c:v>475.00049999999999</c:v>
                </c:pt>
                <c:pt idx="218">
                  <c:v>474.12150000000003</c:v>
                </c:pt>
                <c:pt idx="219">
                  <c:v>473.25</c:v>
                </c:pt>
                <c:pt idx="220">
                  <c:v>472.26750000000004</c:v>
                </c:pt>
                <c:pt idx="221">
                  <c:v>471.60450000000003</c:v>
                </c:pt>
                <c:pt idx="222">
                  <c:v>470.92499999999995</c:v>
                </c:pt>
                <c:pt idx="223">
                  <c:v>470.54100000000005</c:v>
                </c:pt>
                <c:pt idx="224">
                  <c:v>470.14949999999999</c:v>
                </c:pt>
                <c:pt idx="225">
                  <c:v>469.839</c:v>
                </c:pt>
                <c:pt idx="226">
                  <c:v>469.452</c:v>
                </c:pt>
                <c:pt idx="227">
                  <c:v>469.09950000000003</c:v>
                </c:pt>
                <c:pt idx="228">
                  <c:v>468.678</c:v>
                </c:pt>
                <c:pt idx="229">
                  <c:v>468.25049999999999</c:v>
                </c:pt>
                <c:pt idx="230">
                  <c:v>464.37150000000003</c:v>
                </c:pt>
                <c:pt idx="231">
                  <c:v>463.5</c:v>
                </c:pt>
                <c:pt idx="232">
                  <c:v>462.99149999999997</c:v>
                </c:pt>
                <c:pt idx="233">
                  <c:v>462.60450000000003</c:v>
                </c:pt>
                <c:pt idx="234">
                  <c:v>462.17550000000006</c:v>
                </c:pt>
                <c:pt idx="235">
                  <c:v>461.63699999999994</c:v>
                </c:pt>
                <c:pt idx="236">
                  <c:v>461.09999999999997</c:v>
                </c:pt>
                <c:pt idx="237">
                  <c:v>460.524</c:v>
                </c:pt>
                <c:pt idx="238">
                  <c:v>459.94350000000003</c:v>
                </c:pt>
                <c:pt idx="239">
                  <c:v>459.29999999999995</c:v>
                </c:pt>
                <c:pt idx="240">
                  <c:v>458.68500000000006</c:v>
                </c:pt>
                <c:pt idx="241">
                  <c:v>458.25</c:v>
                </c:pt>
                <c:pt idx="242">
                  <c:v>457.59749999999997</c:v>
                </c:pt>
                <c:pt idx="243">
                  <c:v>457.18500000000006</c:v>
                </c:pt>
                <c:pt idx="244">
                  <c:v>456.69600000000003</c:v>
                </c:pt>
                <c:pt idx="245">
                  <c:v>456.31499999999994</c:v>
                </c:pt>
                <c:pt idx="246">
                  <c:v>455.89949999999999</c:v>
                </c:pt>
                <c:pt idx="247">
                  <c:v>455.49149999999997</c:v>
                </c:pt>
                <c:pt idx="248">
                  <c:v>454.99950000000001</c:v>
                </c:pt>
                <c:pt idx="249">
                  <c:v>454.572</c:v>
                </c:pt>
                <c:pt idx="250">
                  <c:v>454.089</c:v>
                </c:pt>
                <c:pt idx="251">
                  <c:v>453.55050000000006</c:v>
                </c:pt>
                <c:pt idx="252">
                  <c:v>453</c:v>
                </c:pt>
                <c:pt idx="253">
                  <c:v>452.42550000000006</c:v>
                </c:pt>
                <c:pt idx="254">
                  <c:v>451.76550000000003</c:v>
                </c:pt>
                <c:pt idx="255">
                  <c:v>451.23449999999997</c:v>
                </c:pt>
                <c:pt idx="256">
                  <c:v>450.48150000000004</c:v>
                </c:pt>
                <c:pt idx="257">
                  <c:v>449.87849999999997</c:v>
                </c:pt>
                <c:pt idx="258">
                  <c:v>449.14949999999999</c:v>
                </c:pt>
                <c:pt idx="259">
                  <c:v>448.428</c:v>
                </c:pt>
                <c:pt idx="260">
                  <c:v>447.70049999999998</c:v>
                </c:pt>
                <c:pt idx="261">
                  <c:v>446.952</c:v>
                </c:pt>
                <c:pt idx="262">
                  <c:v>446.202</c:v>
                </c:pt>
                <c:pt idx="263">
                  <c:v>445.39949999999999</c:v>
                </c:pt>
                <c:pt idx="264">
                  <c:v>444.58050000000003</c:v>
                </c:pt>
                <c:pt idx="265">
                  <c:v>443.72550000000001</c:v>
                </c:pt>
                <c:pt idx="266">
                  <c:v>431.05649999999997</c:v>
                </c:pt>
                <c:pt idx="267">
                  <c:v>428.73449999999997</c:v>
                </c:pt>
                <c:pt idx="268">
                  <c:v>428.19900000000001</c:v>
                </c:pt>
                <c:pt idx="269">
                  <c:v>427.93500000000006</c:v>
                </c:pt>
                <c:pt idx="270">
                  <c:v>427.5</c:v>
                </c:pt>
                <c:pt idx="271">
                  <c:v>427.04100000000005</c:v>
                </c:pt>
                <c:pt idx="272">
                  <c:v>426.45000000000005</c:v>
                </c:pt>
                <c:pt idx="273">
                  <c:v>425.90250000000003</c:v>
                </c:pt>
                <c:pt idx="274">
                  <c:v>425.298</c:v>
                </c:pt>
                <c:pt idx="275">
                  <c:v>424.65000000000003</c:v>
                </c:pt>
                <c:pt idx="276">
                  <c:v>423.99149999999997</c:v>
                </c:pt>
                <c:pt idx="277">
                  <c:v>423.29999999999995</c:v>
                </c:pt>
                <c:pt idx="278">
                  <c:v>422.61300000000006</c:v>
                </c:pt>
                <c:pt idx="279">
                  <c:v>421.98449999999997</c:v>
                </c:pt>
                <c:pt idx="280">
                  <c:v>421.15199999999993</c:v>
                </c:pt>
                <c:pt idx="281">
                  <c:v>420.53250000000003</c:v>
                </c:pt>
                <c:pt idx="282">
                  <c:v>419.74950000000001</c:v>
                </c:pt>
                <c:pt idx="283">
                  <c:v>419.08050000000003</c:v>
                </c:pt>
                <c:pt idx="284">
                  <c:v>418.27500000000003</c:v>
                </c:pt>
                <c:pt idx="285">
                  <c:v>417.53250000000003</c:v>
                </c:pt>
                <c:pt idx="286">
                  <c:v>416.83050000000003</c:v>
                </c:pt>
                <c:pt idx="287">
                  <c:v>415.99950000000001</c:v>
                </c:pt>
                <c:pt idx="288">
                  <c:v>415.33050000000003</c:v>
                </c:pt>
                <c:pt idx="289">
                  <c:v>414.52500000000003</c:v>
                </c:pt>
                <c:pt idx="290">
                  <c:v>413.80649999999997</c:v>
                </c:pt>
                <c:pt idx="291">
                  <c:v>413.12849999999997</c:v>
                </c:pt>
                <c:pt idx="292">
                  <c:v>412.3125</c:v>
                </c:pt>
                <c:pt idx="293">
                  <c:v>411.65250000000003</c:v>
                </c:pt>
                <c:pt idx="294">
                  <c:v>410.92499999999995</c:v>
                </c:pt>
                <c:pt idx="295">
                  <c:v>410.202</c:v>
                </c:pt>
                <c:pt idx="296">
                  <c:v>409.42499999999995</c:v>
                </c:pt>
                <c:pt idx="297">
                  <c:v>408.75</c:v>
                </c:pt>
                <c:pt idx="298">
                  <c:v>408.048</c:v>
                </c:pt>
                <c:pt idx="299">
                  <c:v>407.29950000000002</c:v>
                </c:pt>
                <c:pt idx="300">
                  <c:v>406.62150000000003</c:v>
                </c:pt>
                <c:pt idx="301">
                  <c:v>405.87450000000001</c:v>
                </c:pt>
                <c:pt idx="302">
                  <c:v>405.19350000000003</c:v>
                </c:pt>
                <c:pt idx="303">
                  <c:v>404.56499999999994</c:v>
                </c:pt>
                <c:pt idx="304">
                  <c:v>403.79400000000004</c:v>
                </c:pt>
                <c:pt idx="305">
                  <c:v>403.20899999999995</c:v>
                </c:pt>
                <c:pt idx="306">
                  <c:v>402.47550000000001</c:v>
                </c:pt>
                <c:pt idx="307">
                  <c:v>401.85450000000003</c:v>
                </c:pt>
                <c:pt idx="308">
                  <c:v>401.14949999999999</c:v>
                </c:pt>
                <c:pt idx="309">
                  <c:v>400.452</c:v>
                </c:pt>
                <c:pt idx="310">
                  <c:v>399.84749999999997</c:v>
                </c:pt>
                <c:pt idx="311">
                  <c:v>399.15000000000003</c:v>
                </c:pt>
                <c:pt idx="312">
                  <c:v>398.51550000000003</c:v>
                </c:pt>
                <c:pt idx="313">
                  <c:v>397.84950000000003</c:v>
                </c:pt>
                <c:pt idx="314">
                  <c:v>397.18500000000006</c:v>
                </c:pt>
                <c:pt idx="315">
                  <c:v>396.58050000000003</c:v>
                </c:pt>
                <c:pt idx="316">
                  <c:v>395.89649999999995</c:v>
                </c:pt>
                <c:pt idx="317">
                  <c:v>395.298</c:v>
                </c:pt>
                <c:pt idx="318">
                  <c:v>394.65000000000003</c:v>
                </c:pt>
                <c:pt idx="319">
                  <c:v>394.01550000000003</c:v>
                </c:pt>
                <c:pt idx="320">
                  <c:v>393.42450000000002</c:v>
                </c:pt>
                <c:pt idx="321">
                  <c:v>392.75850000000003</c:v>
                </c:pt>
                <c:pt idx="322">
                  <c:v>392.202</c:v>
                </c:pt>
                <c:pt idx="323">
                  <c:v>391.57500000000005</c:v>
                </c:pt>
                <c:pt idx="324">
                  <c:v>390.99149999999997</c:v>
                </c:pt>
                <c:pt idx="325">
                  <c:v>390.375</c:v>
                </c:pt>
                <c:pt idx="326">
                  <c:v>389.78250000000003</c:v>
                </c:pt>
                <c:pt idx="327">
                  <c:v>389.298</c:v>
                </c:pt>
                <c:pt idx="328">
                  <c:v>388.63350000000003</c:v>
                </c:pt>
                <c:pt idx="329">
                  <c:v>388.13699999999994</c:v>
                </c:pt>
                <c:pt idx="330">
                  <c:v>387.55050000000006</c:v>
                </c:pt>
                <c:pt idx="331">
                  <c:v>387.024</c:v>
                </c:pt>
                <c:pt idx="332">
                  <c:v>386.42550000000006</c:v>
                </c:pt>
                <c:pt idx="333">
                  <c:v>385.88699999999994</c:v>
                </c:pt>
                <c:pt idx="334">
                  <c:v>385.35450000000003</c:v>
                </c:pt>
                <c:pt idx="335">
                  <c:v>384.77549999999997</c:v>
                </c:pt>
                <c:pt idx="336">
                  <c:v>384.24149999999997</c:v>
                </c:pt>
                <c:pt idx="337">
                  <c:v>383.72550000000001</c:v>
                </c:pt>
                <c:pt idx="338">
                  <c:v>383.202</c:v>
                </c:pt>
                <c:pt idx="339">
                  <c:v>382.74149999999997</c:v>
                </c:pt>
                <c:pt idx="340">
                  <c:v>382.15199999999999</c:v>
                </c:pt>
                <c:pt idx="341">
                  <c:v>381.726</c:v>
                </c:pt>
                <c:pt idx="342">
                  <c:v>381.1755</c:v>
                </c:pt>
                <c:pt idx="343">
                  <c:v>380.73450000000003</c:v>
                </c:pt>
                <c:pt idx="344">
                  <c:v>380.17499999999995</c:v>
                </c:pt>
                <c:pt idx="345">
                  <c:v>379.71750000000003</c:v>
                </c:pt>
                <c:pt idx="346">
                  <c:v>379.23450000000003</c:v>
                </c:pt>
                <c:pt idx="347">
                  <c:v>378.70050000000003</c:v>
                </c:pt>
                <c:pt idx="348">
                  <c:v>378.24149999999997</c:v>
                </c:pt>
                <c:pt idx="349">
                  <c:v>377.74950000000001</c:v>
                </c:pt>
                <c:pt idx="350">
                  <c:v>377.274</c:v>
                </c:pt>
                <c:pt idx="351">
                  <c:v>376.815</c:v>
                </c:pt>
                <c:pt idx="352">
                  <c:v>376.3125</c:v>
                </c:pt>
                <c:pt idx="353">
                  <c:v>375.87149999999997</c:v>
                </c:pt>
                <c:pt idx="354">
                  <c:v>375.375</c:v>
                </c:pt>
                <c:pt idx="355">
                  <c:v>374.928</c:v>
                </c:pt>
                <c:pt idx="356">
                  <c:v>374.47500000000002</c:v>
                </c:pt>
                <c:pt idx="357">
                  <c:v>374.03249999999997</c:v>
                </c:pt>
                <c:pt idx="358">
                  <c:v>373.59749999999997</c:v>
                </c:pt>
                <c:pt idx="359">
                  <c:v>373.15049999999997</c:v>
                </c:pt>
                <c:pt idx="360">
                  <c:v>372.87149999999997</c:v>
                </c:pt>
                <c:pt idx="361">
                  <c:v>372.42449999999997</c:v>
                </c:pt>
                <c:pt idx="362">
                  <c:v>371.85449999999997</c:v>
                </c:pt>
                <c:pt idx="363">
                  <c:v>371.41949999999997</c:v>
                </c:pt>
                <c:pt idx="364">
                  <c:v>370.96500000000003</c:v>
                </c:pt>
                <c:pt idx="365">
                  <c:v>370.572</c:v>
                </c:pt>
                <c:pt idx="366">
                  <c:v>370.15049999999997</c:v>
                </c:pt>
                <c:pt idx="367">
                  <c:v>369.75</c:v>
                </c:pt>
                <c:pt idx="368">
                  <c:v>369.29999999999995</c:v>
                </c:pt>
                <c:pt idx="369">
                  <c:v>369.09749999999997</c:v>
                </c:pt>
                <c:pt idx="370">
                  <c:v>369.048</c:v>
                </c:pt>
                <c:pt idx="371">
                  <c:v>369.22500000000002</c:v>
                </c:pt>
                <c:pt idx="372">
                  <c:v>369.50850000000003</c:v>
                </c:pt>
                <c:pt idx="373">
                  <c:v>369.67499999999995</c:v>
                </c:pt>
                <c:pt idx="374">
                  <c:v>369.89550000000003</c:v>
                </c:pt>
                <c:pt idx="375">
                  <c:v>370.113</c:v>
                </c:pt>
                <c:pt idx="376">
                  <c:v>370.28550000000001</c:v>
                </c:pt>
                <c:pt idx="377">
                  <c:v>370.37850000000003</c:v>
                </c:pt>
                <c:pt idx="378">
                  <c:v>370.5</c:v>
                </c:pt>
                <c:pt idx="379">
                  <c:v>370.5</c:v>
                </c:pt>
                <c:pt idx="380">
                  <c:v>370.5</c:v>
                </c:pt>
                <c:pt idx="381">
                  <c:v>370.452</c:v>
                </c:pt>
                <c:pt idx="382">
                  <c:v>370.37850000000003</c:v>
                </c:pt>
                <c:pt idx="383">
                  <c:v>370.22550000000001</c:v>
                </c:pt>
                <c:pt idx="384">
                  <c:v>370.863</c:v>
                </c:pt>
                <c:pt idx="385">
                  <c:v>371.57550000000003</c:v>
                </c:pt>
                <c:pt idx="386">
                  <c:v>372.53249999999997</c:v>
                </c:pt>
                <c:pt idx="387">
                  <c:v>373.524</c:v>
                </c:pt>
                <c:pt idx="388">
                  <c:v>374.08949999999999</c:v>
                </c:pt>
                <c:pt idx="389">
                  <c:v>374.37149999999997</c:v>
                </c:pt>
                <c:pt idx="390">
                  <c:v>374.67449999999997</c:v>
                </c:pt>
                <c:pt idx="391">
                  <c:v>374.87850000000003</c:v>
                </c:pt>
                <c:pt idx="392">
                  <c:v>375</c:v>
                </c:pt>
                <c:pt idx="393">
                  <c:v>374.952</c:v>
                </c:pt>
                <c:pt idx="394">
                  <c:v>374.928</c:v>
                </c:pt>
                <c:pt idx="395">
                  <c:v>374.87549999999999</c:v>
                </c:pt>
                <c:pt idx="396">
                  <c:v>374.78249999999997</c:v>
                </c:pt>
                <c:pt idx="397">
                  <c:v>374.65049999999997</c:v>
                </c:pt>
                <c:pt idx="398">
                  <c:v>374.49149999999997</c:v>
                </c:pt>
                <c:pt idx="399">
                  <c:v>374.298</c:v>
                </c:pt>
                <c:pt idx="400">
                  <c:v>374.03550000000001</c:v>
                </c:pt>
                <c:pt idx="401">
                  <c:v>373.863</c:v>
                </c:pt>
                <c:pt idx="402">
                  <c:v>373.60050000000001</c:v>
                </c:pt>
                <c:pt idx="403">
                  <c:v>373.37850000000003</c:v>
                </c:pt>
                <c:pt idx="404">
                  <c:v>373.22550000000001</c:v>
                </c:pt>
                <c:pt idx="405">
                  <c:v>372.87149999999997</c:v>
                </c:pt>
                <c:pt idx="406">
                  <c:v>372.55650000000003</c:v>
                </c:pt>
                <c:pt idx="407">
                  <c:v>372.25049999999999</c:v>
                </c:pt>
                <c:pt idx="408">
                  <c:v>371.928</c:v>
                </c:pt>
                <c:pt idx="409">
                  <c:v>371.65049999999997</c:v>
                </c:pt>
                <c:pt idx="410">
                  <c:v>371.274</c:v>
                </c:pt>
                <c:pt idx="411">
                  <c:v>370.935</c:v>
                </c:pt>
                <c:pt idx="412">
                  <c:v>370.6035</c:v>
                </c:pt>
                <c:pt idx="413">
                  <c:v>370.28249999999997</c:v>
                </c:pt>
                <c:pt idx="414">
                  <c:v>369.87450000000001</c:v>
                </c:pt>
                <c:pt idx="415">
                  <c:v>369.55650000000003</c:v>
                </c:pt>
                <c:pt idx="416">
                  <c:v>369.15</c:v>
                </c:pt>
                <c:pt idx="417">
                  <c:v>368.83050000000003</c:v>
                </c:pt>
                <c:pt idx="418">
                  <c:v>368.46750000000003</c:v>
                </c:pt>
                <c:pt idx="419">
                  <c:v>368.0745</c:v>
                </c:pt>
                <c:pt idx="420">
                  <c:v>367.71750000000003</c:v>
                </c:pt>
                <c:pt idx="421">
                  <c:v>367.3245</c:v>
                </c:pt>
                <c:pt idx="422">
                  <c:v>366.91949999999997</c:v>
                </c:pt>
                <c:pt idx="423">
                  <c:v>366.60449999999997</c:v>
                </c:pt>
                <c:pt idx="424">
                  <c:v>366.13350000000003</c:v>
                </c:pt>
                <c:pt idx="425">
                  <c:v>365.83050000000003</c:v>
                </c:pt>
                <c:pt idx="426">
                  <c:v>365.37450000000001</c:v>
                </c:pt>
                <c:pt idx="427">
                  <c:v>364.98450000000003</c:v>
                </c:pt>
                <c:pt idx="428">
                  <c:v>364.57500000000005</c:v>
                </c:pt>
                <c:pt idx="429">
                  <c:v>364.137</c:v>
                </c:pt>
                <c:pt idx="430">
                  <c:v>363.75</c:v>
                </c:pt>
                <c:pt idx="431">
                  <c:v>363.29999999999995</c:v>
                </c:pt>
                <c:pt idx="432">
                  <c:v>362.87850000000003</c:v>
                </c:pt>
                <c:pt idx="433">
                  <c:v>362.4495</c:v>
                </c:pt>
                <c:pt idx="434">
                  <c:v>362.05650000000003</c:v>
                </c:pt>
                <c:pt idx="435">
                  <c:v>361.66949999999997</c:v>
                </c:pt>
                <c:pt idx="436">
                  <c:v>361.17899999999997</c:v>
                </c:pt>
                <c:pt idx="437">
                  <c:v>360.822</c:v>
                </c:pt>
                <c:pt idx="438">
                  <c:v>360.40049999999997</c:v>
                </c:pt>
                <c:pt idx="439">
                  <c:v>360.048</c:v>
                </c:pt>
                <c:pt idx="440">
                  <c:v>359.65049999999997</c:v>
                </c:pt>
                <c:pt idx="441">
                  <c:v>359.298</c:v>
                </c:pt>
                <c:pt idx="442">
                  <c:v>358.887</c:v>
                </c:pt>
                <c:pt idx="443">
                  <c:v>358.5</c:v>
                </c:pt>
                <c:pt idx="444">
                  <c:v>358.137</c:v>
                </c:pt>
                <c:pt idx="445">
                  <c:v>357.70050000000003</c:v>
                </c:pt>
                <c:pt idx="446">
                  <c:v>357.315</c:v>
                </c:pt>
                <c:pt idx="447">
                  <c:v>356.952</c:v>
                </c:pt>
                <c:pt idx="448">
                  <c:v>356.51850000000002</c:v>
                </c:pt>
                <c:pt idx="449">
                  <c:v>356.12850000000003</c:v>
                </c:pt>
                <c:pt idx="450">
                  <c:v>355.6995</c:v>
                </c:pt>
                <c:pt idx="451">
                  <c:v>355.35449999999997</c:v>
                </c:pt>
                <c:pt idx="452">
                  <c:v>354.87450000000001</c:v>
                </c:pt>
                <c:pt idx="453">
                  <c:v>354.435</c:v>
                </c:pt>
                <c:pt idx="454">
                  <c:v>354.048</c:v>
                </c:pt>
                <c:pt idx="455">
                  <c:v>353.59950000000003</c:v>
                </c:pt>
                <c:pt idx="456">
                  <c:v>353.178</c:v>
                </c:pt>
                <c:pt idx="457">
                  <c:v>352.77449999999999</c:v>
                </c:pt>
                <c:pt idx="458">
                  <c:v>352.33050000000003</c:v>
                </c:pt>
                <c:pt idx="459">
                  <c:v>351.96750000000003</c:v>
                </c:pt>
                <c:pt idx="460">
                  <c:v>351.46500000000003</c:v>
                </c:pt>
                <c:pt idx="461">
                  <c:v>351.12149999999997</c:v>
                </c:pt>
                <c:pt idx="462">
                  <c:v>350.65049999999997</c:v>
                </c:pt>
                <c:pt idx="463">
                  <c:v>350.274</c:v>
                </c:pt>
                <c:pt idx="464">
                  <c:v>349.82550000000003</c:v>
                </c:pt>
                <c:pt idx="465">
                  <c:v>349.40250000000003</c:v>
                </c:pt>
                <c:pt idx="466">
                  <c:v>348.99149999999997</c:v>
                </c:pt>
                <c:pt idx="467">
                  <c:v>348.5745</c:v>
                </c:pt>
                <c:pt idx="468">
                  <c:v>348.19349999999997</c:v>
                </c:pt>
                <c:pt idx="469">
                  <c:v>347.70000000000005</c:v>
                </c:pt>
                <c:pt idx="470">
                  <c:v>347.34749999999997</c:v>
                </c:pt>
                <c:pt idx="471">
                  <c:v>346.959</c:v>
                </c:pt>
                <c:pt idx="472">
                  <c:v>346.52699999999999</c:v>
                </c:pt>
                <c:pt idx="473">
                  <c:v>346.137</c:v>
                </c:pt>
                <c:pt idx="474">
                  <c:v>345.72450000000003</c:v>
                </c:pt>
                <c:pt idx="475">
                  <c:v>345.339</c:v>
                </c:pt>
                <c:pt idx="476">
                  <c:v>344.89949999999999</c:v>
                </c:pt>
                <c:pt idx="477">
                  <c:v>344.46750000000003</c:v>
                </c:pt>
                <c:pt idx="478">
                  <c:v>344.10449999999997</c:v>
                </c:pt>
                <c:pt idx="479">
                  <c:v>343.65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90-45FF-823D-857AD61FB73F}"/>
            </c:ext>
          </c:extLst>
        </c:ser>
        <c:ser>
          <c:idx val="7"/>
          <c:order val="7"/>
          <c:tx>
            <c:strRef>
              <c:f>'FPSO1 Otim'!$J$5</c:f>
              <c:strCache>
                <c:ptCount val="1"/>
                <c:pt idx="0">
                  <c:v>P8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Otim'!$J$6:$J$733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368.03249999999997</c:v>
                </c:pt>
                <c:pt idx="75">
                  <c:v>356.59950000000003</c:v>
                </c:pt>
                <c:pt idx="76">
                  <c:v>348.87149999999997</c:v>
                </c:pt>
                <c:pt idx="77">
                  <c:v>346.863</c:v>
                </c:pt>
                <c:pt idx="78">
                  <c:v>335.84550000000002</c:v>
                </c:pt>
                <c:pt idx="79">
                  <c:v>319.25850000000003</c:v>
                </c:pt>
                <c:pt idx="80">
                  <c:v>319.54949999999997</c:v>
                </c:pt>
                <c:pt idx="81">
                  <c:v>318.96750000000003</c:v>
                </c:pt>
                <c:pt idx="82">
                  <c:v>318.14999999999998</c:v>
                </c:pt>
                <c:pt idx="83">
                  <c:v>316.476</c:v>
                </c:pt>
                <c:pt idx="84">
                  <c:v>319.66949999999997</c:v>
                </c:pt>
                <c:pt idx="85">
                  <c:v>330.67499999999995</c:v>
                </c:pt>
                <c:pt idx="86">
                  <c:v>338.78249999999997</c:v>
                </c:pt>
                <c:pt idx="87">
                  <c:v>345.52499999999998</c:v>
                </c:pt>
                <c:pt idx="88">
                  <c:v>349.524</c:v>
                </c:pt>
                <c:pt idx="89">
                  <c:v>353.75850000000003</c:v>
                </c:pt>
                <c:pt idx="90">
                  <c:v>357.99149999999997</c:v>
                </c:pt>
                <c:pt idx="91">
                  <c:v>359.637</c:v>
                </c:pt>
                <c:pt idx="92">
                  <c:v>361.20000000000005</c:v>
                </c:pt>
                <c:pt idx="93">
                  <c:v>362.709</c:v>
                </c:pt>
                <c:pt idx="94">
                  <c:v>364.20000000000005</c:v>
                </c:pt>
                <c:pt idx="95">
                  <c:v>365.322</c:v>
                </c:pt>
                <c:pt idx="96">
                  <c:v>366.26549999999997</c:v>
                </c:pt>
                <c:pt idx="97">
                  <c:v>367.07550000000003</c:v>
                </c:pt>
                <c:pt idx="98">
                  <c:v>367.66949999999997</c:v>
                </c:pt>
                <c:pt idx="99">
                  <c:v>367.875</c:v>
                </c:pt>
                <c:pt idx="100">
                  <c:v>368.41949999999997</c:v>
                </c:pt>
                <c:pt idx="101">
                  <c:v>368.685</c:v>
                </c:pt>
                <c:pt idx="102">
                  <c:v>368.83949999999999</c:v>
                </c:pt>
                <c:pt idx="103">
                  <c:v>368.87850000000003</c:v>
                </c:pt>
                <c:pt idx="104">
                  <c:v>368.87549999999999</c:v>
                </c:pt>
                <c:pt idx="105">
                  <c:v>368.73450000000003</c:v>
                </c:pt>
                <c:pt idx="106">
                  <c:v>368.47500000000002</c:v>
                </c:pt>
                <c:pt idx="107">
                  <c:v>368.178</c:v>
                </c:pt>
                <c:pt idx="108">
                  <c:v>367.69349999999997</c:v>
                </c:pt>
                <c:pt idx="109">
                  <c:v>367.15049999999997</c:v>
                </c:pt>
                <c:pt idx="110">
                  <c:v>366.89550000000003</c:v>
                </c:pt>
                <c:pt idx="111">
                  <c:v>366.10050000000001</c:v>
                </c:pt>
                <c:pt idx="112">
                  <c:v>365.78249999999997</c:v>
                </c:pt>
                <c:pt idx="113">
                  <c:v>364.791</c:v>
                </c:pt>
                <c:pt idx="114">
                  <c:v>363.40199999999999</c:v>
                </c:pt>
                <c:pt idx="115">
                  <c:v>362.322</c:v>
                </c:pt>
                <c:pt idx="116">
                  <c:v>361.00049999999999</c:v>
                </c:pt>
                <c:pt idx="117">
                  <c:v>359.85449999999997</c:v>
                </c:pt>
                <c:pt idx="118">
                  <c:v>358.54949999999997</c:v>
                </c:pt>
                <c:pt idx="119">
                  <c:v>357.315</c:v>
                </c:pt>
                <c:pt idx="120">
                  <c:v>356.12850000000003</c:v>
                </c:pt>
                <c:pt idx="121">
                  <c:v>354.79949999999997</c:v>
                </c:pt>
                <c:pt idx="122">
                  <c:v>353.589</c:v>
                </c:pt>
                <c:pt idx="123">
                  <c:v>352.27499999999998</c:v>
                </c:pt>
                <c:pt idx="124">
                  <c:v>349.452</c:v>
                </c:pt>
                <c:pt idx="125">
                  <c:v>348.072</c:v>
                </c:pt>
                <c:pt idx="126">
                  <c:v>346.73250000000002</c:v>
                </c:pt>
                <c:pt idx="127">
                  <c:v>345.58050000000003</c:v>
                </c:pt>
                <c:pt idx="128">
                  <c:v>344.27549999999997</c:v>
                </c:pt>
                <c:pt idx="129">
                  <c:v>343.089</c:v>
                </c:pt>
                <c:pt idx="130">
                  <c:v>341.8245</c:v>
                </c:pt>
                <c:pt idx="131">
                  <c:v>340.572</c:v>
                </c:pt>
                <c:pt idx="132">
                  <c:v>339.363</c:v>
                </c:pt>
                <c:pt idx="133">
                  <c:v>338.0745</c:v>
                </c:pt>
                <c:pt idx="134">
                  <c:v>336.91949999999997</c:v>
                </c:pt>
                <c:pt idx="135">
                  <c:v>335.625</c:v>
                </c:pt>
                <c:pt idx="136">
                  <c:v>331.428</c:v>
                </c:pt>
                <c:pt idx="137">
                  <c:v>330.024</c:v>
                </c:pt>
                <c:pt idx="138">
                  <c:v>328.79399999999998</c:v>
                </c:pt>
                <c:pt idx="139">
                  <c:v>327.87149999999997</c:v>
                </c:pt>
                <c:pt idx="140">
                  <c:v>326.8005</c:v>
                </c:pt>
                <c:pt idx="141">
                  <c:v>325.791</c:v>
                </c:pt>
                <c:pt idx="142">
                  <c:v>324.75</c:v>
                </c:pt>
                <c:pt idx="143">
                  <c:v>323.78249999999997</c:v>
                </c:pt>
                <c:pt idx="144">
                  <c:v>322.791</c:v>
                </c:pt>
                <c:pt idx="145">
                  <c:v>321.77549999999997</c:v>
                </c:pt>
                <c:pt idx="146">
                  <c:v>320.87850000000003</c:v>
                </c:pt>
                <c:pt idx="147">
                  <c:v>319.90049999999997</c:v>
                </c:pt>
                <c:pt idx="148">
                  <c:v>318.99149999999997</c:v>
                </c:pt>
                <c:pt idx="149">
                  <c:v>318.14550000000003</c:v>
                </c:pt>
                <c:pt idx="150">
                  <c:v>317.16899999999998</c:v>
                </c:pt>
                <c:pt idx="151">
                  <c:v>316.40250000000003</c:v>
                </c:pt>
                <c:pt idx="152">
                  <c:v>315.47550000000001</c:v>
                </c:pt>
                <c:pt idx="153">
                  <c:v>314.685</c:v>
                </c:pt>
                <c:pt idx="154">
                  <c:v>313.79999999999995</c:v>
                </c:pt>
                <c:pt idx="155">
                  <c:v>312.96750000000003</c:v>
                </c:pt>
                <c:pt idx="156">
                  <c:v>312.14550000000003</c:v>
                </c:pt>
                <c:pt idx="157">
                  <c:v>311.29949999999997</c:v>
                </c:pt>
                <c:pt idx="158">
                  <c:v>310.5</c:v>
                </c:pt>
                <c:pt idx="159">
                  <c:v>309.67499999999995</c:v>
                </c:pt>
                <c:pt idx="160">
                  <c:v>308.90250000000003</c:v>
                </c:pt>
                <c:pt idx="161">
                  <c:v>308.178</c:v>
                </c:pt>
                <c:pt idx="162">
                  <c:v>307.28550000000001</c:v>
                </c:pt>
                <c:pt idx="163">
                  <c:v>306.62850000000003</c:v>
                </c:pt>
                <c:pt idx="164">
                  <c:v>305.8245</c:v>
                </c:pt>
                <c:pt idx="165">
                  <c:v>305.12850000000003</c:v>
                </c:pt>
                <c:pt idx="166">
                  <c:v>304.35000000000002</c:v>
                </c:pt>
                <c:pt idx="167">
                  <c:v>303.62850000000003</c:v>
                </c:pt>
                <c:pt idx="168">
                  <c:v>302.90250000000003</c:v>
                </c:pt>
                <c:pt idx="169">
                  <c:v>302.17499999999995</c:v>
                </c:pt>
                <c:pt idx="170">
                  <c:v>301.524</c:v>
                </c:pt>
                <c:pt idx="171">
                  <c:v>300.79949999999997</c:v>
                </c:pt>
                <c:pt idx="172">
                  <c:v>300.12149999999997</c:v>
                </c:pt>
                <c:pt idx="173">
                  <c:v>299.51549999999997</c:v>
                </c:pt>
                <c:pt idx="174">
                  <c:v>298.78499999999997</c:v>
                </c:pt>
                <c:pt idx="175">
                  <c:v>298.23450000000003</c:v>
                </c:pt>
                <c:pt idx="176">
                  <c:v>297.5505</c:v>
                </c:pt>
                <c:pt idx="177">
                  <c:v>296.928</c:v>
                </c:pt>
                <c:pt idx="178">
                  <c:v>296.25</c:v>
                </c:pt>
                <c:pt idx="179">
                  <c:v>295.64550000000003</c:v>
                </c:pt>
                <c:pt idx="180">
                  <c:v>294.96750000000003</c:v>
                </c:pt>
                <c:pt idx="181">
                  <c:v>294.32550000000003</c:v>
                </c:pt>
                <c:pt idx="182">
                  <c:v>293.709</c:v>
                </c:pt>
                <c:pt idx="183">
                  <c:v>293.10000000000002</c:v>
                </c:pt>
                <c:pt idx="184">
                  <c:v>290.03249999999997</c:v>
                </c:pt>
                <c:pt idx="185">
                  <c:v>289.23450000000003</c:v>
                </c:pt>
                <c:pt idx="186">
                  <c:v>288.64350000000002</c:v>
                </c:pt>
                <c:pt idx="187">
                  <c:v>288.21750000000003</c:v>
                </c:pt>
                <c:pt idx="188">
                  <c:v>287.67449999999997</c:v>
                </c:pt>
                <c:pt idx="189">
                  <c:v>287.274</c:v>
                </c:pt>
                <c:pt idx="190">
                  <c:v>286.77449999999999</c:v>
                </c:pt>
                <c:pt idx="191">
                  <c:v>286.33050000000003</c:v>
                </c:pt>
                <c:pt idx="192">
                  <c:v>285.774</c:v>
                </c:pt>
                <c:pt idx="193">
                  <c:v>285.1755</c:v>
                </c:pt>
                <c:pt idx="194">
                  <c:v>284.613</c:v>
                </c:pt>
                <c:pt idx="195">
                  <c:v>284.12549999999999</c:v>
                </c:pt>
                <c:pt idx="196">
                  <c:v>283.5</c:v>
                </c:pt>
                <c:pt idx="197">
                  <c:v>282.94349999999997</c:v>
                </c:pt>
                <c:pt idx="198">
                  <c:v>282.375</c:v>
                </c:pt>
                <c:pt idx="199">
                  <c:v>281.87850000000003</c:v>
                </c:pt>
                <c:pt idx="200">
                  <c:v>281.32500000000005</c:v>
                </c:pt>
                <c:pt idx="201">
                  <c:v>280.839</c:v>
                </c:pt>
                <c:pt idx="202">
                  <c:v>280.3005</c:v>
                </c:pt>
                <c:pt idx="203">
                  <c:v>279.798</c:v>
                </c:pt>
                <c:pt idx="204">
                  <c:v>279.339</c:v>
                </c:pt>
                <c:pt idx="205">
                  <c:v>278.8245</c:v>
                </c:pt>
                <c:pt idx="206">
                  <c:v>278.34749999999997</c:v>
                </c:pt>
                <c:pt idx="207">
                  <c:v>277.84950000000003</c:v>
                </c:pt>
                <c:pt idx="208">
                  <c:v>277.25850000000003</c:v>
                </c:pt>
                <c:pt idx="209">
                  <c:v>276.678</c:v>
                </c:pt>
                <c:pt idx="210">
                  <c:v>275.97300000000001</c:v>
                </c:pt>
                <c:pt idx="211">
                  <c:v>275.41949999999997</c:v>
                </c:pt>
                <c:pt idx="212">
                  <c:v>274.79999999999995</c:v>
                </c:pt>
                <c:pt idx="213">
                  <c:v>274.23450000000003</c:v>
                </c:pt>
                <c:pt idx="214">
                  <c:v>273.64949999999999</c:v>
                </c:pt>
                <c:pt idx="215">
                  <c:v>273.14550000000003</c:v>
                </c:pt>
                <c:pt idx="216">
                  <c:v>272.589</c:v>
                </c:pt>
                <c:pt idx="217">
                  <c:v>272.0505</c:v>
                </c:pt>
                <c:pt idx="218">
                  <c:v>271.548</c:v>
                </c:pt>
                <c:pt idx="219">
                  <c:v>271.02449999999999</c:v>
                </c:pt>
                <c:pt idx="220">
                  <c:v>262.089</c:v>
                </c:pt>
                <c:pt idx="221">
                  <c:v>260.51549999999997</c:v>
                </c:pt>
                <c:pt idx="222">
                  <c:v>260.04300000000001</c:v>
                </c:pt>
                <c:pt idx="223">
                  <c:v>259.64550000000003</c:v>
                </c:pt>
                <c:pt idx="224">
                  <c:v>259.22550000000001</c:v>
                </c:pt>
                <c:pt idx="225">
                  <c:v>258.87149999999997</c:v>
                </c:pt>
                <c:pt idx="226">
                  <c:v>258.45000000000005</c:v>
                </c:pt>
                <c:pt idx="227">
                  <c:v>258.048</c:v>
                </c:pt>
                <c:pt idx="228">
                  <c:v>257.613</c:v>
                </c:pt>
                <c:pt idx="229">
                  <c:v>257.17499999999995</c:v>
                </c:pt>
                <c:pt idx="230">
                  <c:v>256.74149999999997</c:v>
                </c:pt>
                <c:pt idx="231">
                  <c:v>256.27499999999998</c:v>
                </c:pt>
                <c:pt idx="232">
                  <c:v>255.798</c:v>
                </c:pt>
                <c:pt idx="233">
                  <c:v>255.363</c:v>
                </c:pt>
                <c:pt idx="234">
                  <c:v>254.8125</c:v>
                </c:pt>
                <c:pt idx="235">
                  <c:v>254.39550000000003</c:v>
                </c:pt>
                <c:pt idx="236">
                  <c:v>253.875</c:v>
                </c:pt>
                <c:pt idx="237">
                  <c:v>253.4025</c:v>
                </c:pt>
                <c:pt idx="238">
                  <c:v>252.9255</c:v>
                </c:pt>
                <c:pt idx="239">
                  <c:v>252.459</c:v>
                </c:pt>
                <c:pt idx="240">
                  <c:v>252</c:v>
                </c:pt>
                <c:pt idx="241">
                  <c:v>251.52449999999999</c:v>
                </c:pt>
                <c:pt idx="242">
                  <c:v>251.10449999999997</c:v>
                </c:pt>
                <c:pt idx="243">
                  <c:v>250.62450000000001</c:v>
                </c:pt>
                <c:pt idx="244">
                  <c:v>250.161</c:v>
                </c:pt>
                <c:pt idx="245">
                  <c:v>249.822</c:v>
                </c:pt>
                <c:pt idx="246">
                  <c:v>249.321</c:v>
                </c:pt>
                <c:pt idx="247">
                  <c:v>248.952</c:v>
                </c:pt>
                <c:pt idx="248">
                  <c:v>248.54999999999998</c:v>
                </c:pt>
                <c:pt idx="249">
                  <c:v>248.12850000000003</c:v>
                </c:pt>
                <c:pt idx="250">
                  <c:v>247.72500000000002</c:v>
                </c:pt>
                <c:pt idx="251">
                  <c:v>247.35449999999997</c:v>
                </c:pt>
                <c:pt idx="252">
                  <c:v>246.94349999999997</c:v>
                </c:pt>
                <c:pt idx="253">
                  <c:v>246.52499999999998</c:v>
                </c:pt>
                <c:pt idx="254">
                  <c:v>246.1695</c:v>
                </c:pt>
                <c:pt idx="255">
                  <c:v>245.72550000000001</c:v>
                </c:pt>
                <c:pt idx="256">
                  <c:v>245.37149999999997</c:v>
                </c:pt>
                <c:pt idx="257">
                  <c:v>244.98450000000003</c:v>
                </c:pt>
                <c:pt idx="258">
                  <c:v>244.554</c:v>
                </c:pt>
                <c:pt idx="259">
                  <c:v>244.209</c:v>
                </c:pt>
                <c:pt idx="260">
                  <c:v>243.79949999999997</c:v>
                </c:pt>
                <c:pt idx="261">
                  <c:v>243.411</c:v>
                </c:pt>
                <c:pt idx="262">
                  <c:v>243</c:v>
                </c:pt>
                <c:pt idx="263">
                  <c:v>242.637</c:v>
                </c:pt>
                <c:pt idx="264">
                  <c:v>242.202</c:v>
                </c:pt>
                <c:pt idx="265">
                  <c:v>241.79999999999998</c:v>
                </c:pt>
                <c:pt idx="266">
                  <c:v>241.4025</c:v>
                </c:pt>
                <c:pt idx="267">
                  <c:v>241.00049999999999</c:v>
                </c:pt>
                <c:pt idx="268">
                  <c:v>240.60449999999997</c:v>
                </c:pt>
                <c:pt idx="269">
                  <c:v>240.21750000000003</c:v>
                </c:pt>
                <c:pt idx="270">
                  <c:v>239.79300000000001</c:v>
                </c:pt>
                <c:pt idx="271">
                  <c:v>239.4195</c:v>
                </c:pt>
                <c:pt idx="272">
                  <c:v>238.97550000000001</c:v>
                </c:pt>
                <c:pt idx="273">
                  <c:v>238.62149999999997</c:v>
                </c:pt>
                <c:pt idx="274">
                  <c:v>238.17449999999997</c:v>
                </c:pt>
                <c:pt idx="275">
                  <c:v>237.798</c:v>
                </c:pt>
                <c:pt idx="276">
                  <c:v>237.387</c:v>
                </c:pt>
                <c:pt idx="277">
                  <c:v>236.97450000000001</c:v>
                </c:pt>
                <c:pt idx="278">
                  <c:v>236.613</c:v>
                </c:pt>
                <c:pt idx="279">
                  <c:v>236.17499999999998</c:v>
                </c:pt>
                <c:pt idx="280">
                  <c:v>235.815</c:v>
                </c:pt>
                <c:pt idx="281">
                  <c:v>235.428</c:v>
                </c:pt>
                <c:pt idx="282">
                  <c:v>234.9915</c:v>
                </c:pt>
                <c:pt idx="283">
                  <c:v>234.62850000000003</c:v>
                </c:pt>
                <c:pt idx="284">
                  <c:v>234.25049999999999</c:v>
                </c:pt>
                <c:pt idx="285">
                  <c:v>233.85449999999997</c:v>
                </c:pt>
                <c:pt idx="286">
                  <c:v>233.4495</c:v>
                </c:pt>
                <c:pt idx="287">
                  <c:v>233.05650000000003</c:v>
                </c:pt>
                <c:pt idx="288">
                  <c:v>232.6695</c:v>
                </c:pt>
                <c:pt idx="289">
                  <c:v>232.24950000000001</c:v>
                </c:pt>
                <c:pt idx="290">
                  <c:v>231.9195</c:v>
                </c:pt>
                <c:pt idx="291">
                  <c:v>231.52499999999998</c:v>
                </c:pt>
                <c:pt idx="292">
                  <c:v>231.2415</c:v>
                </c:pt>
                <c:pt idx="293">
                  <c:v>230.976</c:v>
                </c:pt>
                <c:pt idx="294">
                  <c:v>230.65199999999999</c:v>
                </c:pt>
                <c:pt idx="295">
                  <c:v>230.39550000000003</c:v>
                </c:pt>
                <c:pt idx="296">
                  <c:v>229.99950000000001</c:v>
                </c:pt>
                <c:pt idx="297">
                  <c:v>229.69349999999997</c:v>
                </c:pt>
                <c:pt idx="298">
                  <c:v>229.24950000000001</c:v>
                </c:pt>
                <c:pt idx="299">
                  <c:v>228.87149999999997</c:v>
                </c:pt>
                <c:pt idx="300">
                  <c:v>228.435</c:v>
                </c:pt>
                <c:pt idx="301">
                  <c:v>228</c:v>
                </c:pt>
                <c:pt idx="302">
                  <c:v>227.589</c:v>
                </c:pt>
                <c:pt idx="303">
                  <c:v>227.12549999999999</c:v>
                </c:pt>
                <c:pt idx="304">
                  <c:v>226.69349999999997</c:v>
                </c:pt>
                <c:pt idx="305">
                  <c:v>226.30650000000003</c:v>
                </c:pt>
                <c:pt idx="306">
                  <c:v>225.85649999999998</c:v>
                </c:pt>
                <c:pt idx="307">
                  <c:v>225.459</c:v>
                </c:pt>
                <c:pt idx="308">
                  <c:v>225.02549999999999</c:v>
                </c:pt>
                <c:pt idx="309">
                  <c:v>224.637</c:v>
                </c:pt>
                <c:pt idx="310">
                  <c:v>224.25</c:v>
                </c:pt>
                <c:pt idx="311">
                  <c:v>223.863</c:v>
                </c:pt>
                <c:pt idx="312">
                  <c:v>223.452</c:v>
                </c:pt>
                <c:pt idx="313">
                  <c:v>223.09950000000001</c:v>
                </c:pt>
                <c:pt idx="314">
                  <c:v>222.822</c:v>
                </c:pt>
                <c:pt idx="315">
                  <c:v>222.47550000000001</c:v>
                </c:pt>
                <c:pt idx="316">
                  <c:v>222.0975</c:v>
                </c:pt>
                <c:pt idx="317">
                  <c:v>221.7585</c:v>
                </c:pt>
                <c:pt idx="318">
                  <c:v>221.45699999999999</c:v>
                </c:pt>
                <c:pt idx="319">
                  <c:v>221.1525</c:v>
                </c:pt>
                <c:pt idx="320">
                  <c:v>220.84950000000001</c:v>
                </c:pt>
                <c:pt idx="321">
                  <c:v>220.476</c:v>
                </c:pt>
                <c:pt idx="322">
                  <c:v>220.15049999999999</c:v>
                </c:pt>
                <c:pt idx="323">
                  <c:v>219.702</c:v>
                </c:pt>
                <c:pt idx="324">
                  <c:v>219.26549999999997</c:v>
                </c:pt>
                <c:pt idx="325">
                  <c:v>218.8005</c:v>
                </c:pt>
                <c:pt idx="326">
                  <c:v>218.322</c:v>
                </c:pt>
                <c:pt idx="327">
                  <c:v>217.79999999999998</c:v>
                </c:pt>
                <c:pt idx="328">
                  <c:v>217.35449999999997</c:v>
                </c:pt>
                <c:pt idx="329">
                  <c:v>216.89550000000003</c:v>
                </c:pt>
                <c:pt idx="330">
                  <c:v>216.375</c:v>
                </c:pt>
                <c:pt idx="331">
                  <c:v>215.976</c:v>
                </c:pt>
                <c:pt idx="332">
                  <c:v>215.52449999999999</c:v>
                </c:pt>
                <c:pt idx="333">
                  <c:v>215.10449999999997</c:v>
                </c:pt>
                <c:pt idx="334">
                  <c:v>214.64999999999998</c:v>
                </c:pt>
                <c:pt idx="335">
                  <c:v>214.28249999999997</c:v>
                </c:pt>
                <c:pt idx="336">
                  <c:v>213.87149999999997</c:v>
                </c:pt>
                <c:pt idx="337">
                  <c:v>213.47550000000001</c:v>
                </c:pt>
                <c:pt idx="338">
                  <c:v>213.12149999999997</c:v>
                </c:pt>
                <c:pt idx="339">
                  <c:v>212.52449999999999</c:v>
                </c:pt>
                <c:pt idx="340">
                  <c:v>211.839</c:v>
                </c:pt>
                <c:pt idx="341">
                  <c:v>211.185</c:v>
                </c:pt>
                <c:pt idx="342">
                  <c:v>210.6165</c:v>
                </c:pt>
                <c:pt idx="343">
                  <c:v>210.0975</c:v>
                </c:pt>
                <c:pt idx="344">
                  <c:v>209.57550000000003</c:v>
                </c:pt>
                <c:pt idx="345">
                  <c:v>209.05650000000003</c:v>
                </c:pt>
                <c:pt idx="346">
                  <c:v>208.47450000000001</c:v>
                </c:pt>
                <c:pt idx="347">
                  <c:v>207.96750000000003</c:v>
                </c:pt>
                <c:pt idx="348">
                  <c:v>207.459</c:v>
                </c:pt>
                <c:pt idx="349">
                  <c:v>206.89949999999999</c:v>
                </c:pt>
                <c:pt idx="350">
                  <c:v>206.46750000000003</c:v>
                </c:pt>
                <c:pt idx="351">
                  <c:v>205.90049999999999</c:v>
                </c:pt>
                <c:pt idx="352">
                  <c:v>205.452</c:v>
                </c:pt>
                <c:pt idx="353">
                  <c:v>205.01549999999997</c:v>
                </c:pt>
                <c:pt idx="354">
                  <c:v>204.5625</c:v>
                </c:pt>
                <c:pt idx="355">
                  <c:v>204.19349999999997</c:v>
                </c:pt>
                <c:pt idx="356">
                  <c:v>203.74950000000001</c:v>
                </c:pt>
                <c:pt idx="357">
                  <c:v>203.46750000000003</c:v>
                </c:pt>
                <c:pt idx="358">
                  <c:v>203.12549999999999</c:v>
                </c:pt>
                <c:pt idx="359">
                  <c:v>202.863</c:v>
                </c:pt>
                <c:pt idx="360">
                  <c:v>202.548</c:v>
                </c:pt>
                <c:pt idx="361">
                  <c:v>202.24950000000001</c:v>
                </c:pt>
                <c:pt idx="362">
                  <c:v>201.96750000000003</c:v>
                </c:pt>
                <c:pt idx="363">
                  <c:v>201.64949999999999</c:v>
                </c:pt>
                <c:pt idx="364">
                  <c:v>201.315</c:v>
                </c:pt>
                <c:pt idx="365">
                  <c:v>200.952</c:v>
                </c:pt>
                <c:pt idx="366">
                  <c:v>200.58599999999998</c:v>
                </c:pt>
                <c:pt idx="367">
                  <c:v>200.226</c:v>
                </c:pt>
                <c:pt idx="368">
                  <c:v>199.90049999999999</c:v>
                </c:pt>
                <c:pt idx="369">
                  <c:v>199.524</c:v>
                </c:pt>
                <c:pt idx="370">
                  <c:v>199.15049999999999</c:v>
                </c:pt>
                <c:pt idx="371">
                  <c:v>198.8475</c:v>
                </c:pt>
                <c:pt idx="372">
                  <c:v>198.53249999999997</c:v>
                </c:pt>
                <c:pt idx="373">
                  <c:v>198.1755</c:v>
                </c:pt>
                <c:pt idx="374">
                  <c:v>197.9025</c:v>
                </c:pt>
                <c:pt idx="375">
                  <c:v>197.59950000000001</c:v>
                </c:pt>
                <c:pt idx="376">
                  <c:v>197.298</c:v>
                </c:pt>
                <c:pt idx="377">
                  <c:v>197.05650000000003</c:v>
                </c:pt>
                <c:pt idx="378">
                  <c:v>196.7415</c:v>
                </c:pt>
                <c:pt idx="379">
                  <c:v>196.524</c:v>
                </c:pt>
                <c:pt idx="380">
                  <c:v>196.22550000000001</c:v>
                </c:pt>
                <c:pt idx="381">
                  <c:v>195.9915</c:v>
                </c:pt>
                <c:pt idx="382">
                  <c:v>195.72450000000001</c:v>
                </c:pt>
                <c:pt idx="383">
                  <c:v>195.459</c:v>
                </c:pt>
                <c:pt idx="384">
                  <c:v>195.21750000000003</c:v>
                </c:pt>
                <c:pt idx="385">
                  <c:v>194.92499999999998</c:v>
                </c:pt>
                <c:pt idx="386">
                  <c:v>194.709</c:v>
                </c:pt>
                <c:pt idx="387">
                  <c:v>194.39999999999998</c:v>
                </c:pt>
                <c:pt idx="388">
                  <c:v>194.1525</c:v>
                </c:pt>
                <c:pt idx="389">
                  <c:v>193.935</c:v>
                </c:pt>
                <c:pt idx="390">
                  <c:v>193.6335</c:v>
                </c:pt>
                <c:pt idx="391">
                  <c:v>193.35449999999997</c:v>
                </c:pt>
                <c:pt idx="392">
                  <c:v>193.09950000000001</c:v>
                </c:pt>
                <c:pt idx="393">
                  <c:v>192.822</c:v>
                </c:pt>
                <c:pt idx="394">
                  <c:v>192.52499999999998</c:v>
                </c:pt>
                <c:pt idx="395">
                  <c:v>192.2415</c:v>
                </c:pt>
                <c:pt idx="396">
                  <c:v>191.976</c:v>
                </c:pt>
                <c:pt idx="397">
                  <c:v>191.67449999999999</c:v>
                </c:pt>
                <c:pt idx="398">
                  <c:v>191.4195</c:v>
                </c:pt>
                <c:pt idx="399">
                  <c:v>191.12549999999999</c:v>
                </c:pt>
                <c:pt idx="400">
                  <c:v>190.815</c:v>
                </c:pt>
                <c:pt idx="401">
                  <c:v>190.572</c:v>
                </c:pt>
                <c:pt idx="402">
                  <c:v>190.2585</c:v>
                </c:pt>
                <c:pt idx="403">
                  <c:v>189.9675</c:v>
                </c:pt>
                <c:pt idx="404">
                  <c:v>189.70050000000001</c:v>
                </c:pt>
                <c:pt idx="405">
                  <c:v>189.411</c:v>
                </c:pt>
                <c:pt idx="406">
                  <c:v>189.10049999999998</c:v>
                </c:pt>
                <c:pt idx="407">
                  <c:v>188.7825</c:v>
                </c:pt>
                <c:pt idx="408">
                  <c:v>188.4915</c:v>
                </c:pt>
                <c:pt idx="409">
                  <c:v>188.14950000000002</c:v>
                </c:pt>
                <c:pt idx="410">
                  <c:v>187.887</c:v>
                </c:pt>
                <c:pt idx="411">
                  <c:v>187.54949999999999</c:v>
                </c:pt>
                <c:pt idx="412">
                  <c:v>187.2345</c:v>
                </c:pt>
                <c:pt idx="413">
                  <c:v>186.9435</c:v>
                </c:pt>
                <c:pt idx="414">
                  <c:v>186.59550000000002</c:v>
                </c:pt>
                <c:pt idx="415">
                  <c:v>186.291</c:v>
                </c:pt>
                <c:pt idx="416">
                  <c:v>185.97450000000001</c:v>
                </c:pt>
                <c:pt idx="417">
                  <c:v>185.661</c:v>
                </c:pt>
                <c:pt idx="418">
                  <c:v>185.32499999999999</c:v>
                </c:pt>
                <c:pt idx="419">
                  <c:v>185.0325</c:v>
                </c:pt>
                <c:pt idx="420">
                  <c:v>184.7655</c:v>
                </c:pt>
                <c:pt idx="421">
                  <c:v>184.52549999999999</c:v>
                </c:pt>
                <c:pt idx="422">
                  <c:v>184.3065</c:v>
                </c:pt>
                <c:pt idx="423">
                  <c:v>184.00049999999999</c:v>
                </c:pt>
                <c:pt idx="424">
                  <c:v>183.75</c:v>
                </c:pt>
                <c:pt idx="425">
                  <c:v>183.4845</c:v>
                </c:pt>
                <c:pt idx="426">
                  <c:v>183.1335</c:v>
                </c:pt>
                <c:pt idx="427">
                  <c:v>182.8305</c:v>
                </c:pt>
                <c:pt idx="428">
                  <c:v>182.4495</c:v>
                </c:pt>
                <c:pt idx="429">
                  <c:v>182.1045</c:v>
                </c:pt>
                <c:pt idx="430">
                  <c:v>181.72500000000002</c:v>
                </c:pt>
                <c:pt idx="431">
                  <c:v>181.3545</c:v>
                </c:pt>
                <c:pt idx="432">
                  <c:v>180.9915</c:v>
                </c:pt>
                <c:pt idx="433">
                  <c:v>180.62549999999999</c:v>
                </c:pt>
                <c:pt idx="434">
                  <c:v>180.291</c:v>
                </c:pt>
                <c:pt idx="435">
                  <c:v>180.07499999999999</c:v>
                </c:pt>
                <c:pt idx="436">
                  <c:v>179.8305</c:v>
                </c:pt>
                <c:pt idx="437">
                  <c:v>179.589</c:v>
                </c:pt>
                <c:pt idx="438">
                  <c:v>179.27699999999999</c:v>
                </c:pt>
                <c:pt idx="439">
                  <c:v>179.0085</c:v>
                </c:pt>
                <c:pt idx="440">
                  <c:v>178.62450000000001</c:v>
                </c:pt>
                <c:pt idx="441">
                  <c:v>178.2825</c:v>
                </c:pt>
                <c:pt idx="442">
                  <c:v>177.89999999999998</c:v>
                </c:pt>
                <c:pt idx="443">
                  <c:v>177.5085</c:v>
                </c:pt>
                <c:pt idx="444">
                  <c:v>177.1455</c:v>
                </c:pt>
                <c:pt idx="445">
                  <c:v>176.72549999999998</c:v>
                </c:pt>
                <c:pt idx="446">
                  <c:v>176.4195</c:v>
                </c:pt>
                <c:pt idx="447">
                  <c:v>176.0505</c:v>
                </c:pt>
                <c:pt idx="448">
                  <c:v>175.6935</c:v>
                </c:pt>
                <c:pt idx="449">
                  <c:v>175.4025</c:v>
                </c:pt>
                <c:pt idx="450">
                  <c:v>175.09800000000001</c:v>
                </c:pt>
                <c:pt idx="451">
                  <c:v>174.8475</c:v>
                </c:pt>
                <c:pt idx="452">
                  <c:v>174.52499999999998</c:v>
                </c:pt>
                <c:pt idx="453">
                  <c:v>174.2415</c:v>
                </c:pt>
                <c:pt idx="454">
                  <c:v>173.95050000000001</c:v>
                </c:pt>
                <c:pt idx="455">
                  <c:v>173.661</c:v>
                </c:pt>
                <c:pt idx="456">
                  <c:v>173.298</c:v>
                </c:pt>
                <c:pt idx="457">
                  <c:v>172.99950000000001</c:v>
                </c:pt>
                <c:pt idx="458">
                  <c:v>172.6935</c:v>
                </c:pt>
                <c:pt idx="459">
                  <c:v>172.35000000000002</c:v>
                </c:pt>
                <c:pt idx="460">
                  <c:v>172.065</c:v>
                </c:pt>
                <c:pt idx="461">
                  <c:v>171.75</c:v>
                </c:pt>
                <c:pt idx="462">
                  <c:v>171.465</c:v>
                </c:pt>
                <c:pt idx="463">
                  <c:v>171.291</c:v>
                </c:pt>
                <c:pt idx="464">
                  <c:v>170.95050000000001</c:v>
                </c:pt>
                <c:pt idx="465">
                  <c:v>170.709</c:v>
                </c:pt>
                <c:pt idx="466">
                  <c:v>170.4255</c:v>
                </c:pt>
                <c:pt idx="467">
                  <c:v>170.1525</c:v>
                </c:pt>
                <c:pt idx="468">
                  <c:v>169.911</c:v>
                </c:pt>
                <c:pt idx="469">
                  <c:v>169.62450000000001</c:v>
                </c:pt>
                <c:pt idx="470">
                  <c:v>169.3305</c:v>
                </c:pt>
                <c:pt idx="471">
                  <c:v>169.07550000000001</c:v>
                </c:pt>
                <c:pt idx="472">
                  <c:v>168.8475</c:v>
                </c:pt>
                <c:pt idx="473">
                  <c:v>168.6525</c:v>
                </c:pt>
                <c:pt idx="474">
                  <c:v>168.45600000000002</c:v>
                </c:pt>
                <c:pt idx="475">
                  <c:v>168.2655</c:v>
                </c:pt>
                <c:pt idx="476">
                  <c:v>168.02549999999999</c:v>
                </c:pt>
                <c:pt idx="477">
                  <c:v>167.7825</c:v>
                </c:pt>
                <c:pt idx="478">
                  <c:v>167.4495</c:v>
                </c:pt>
                <c:pt idx="479">
                  <c:v>167.178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290-45FF-823D-857AD61FB73F}"/>
            </c:ext>
          </c:extLst>
        </c:ser>
        <c:ser>
          <c:idx val="8"/>
          <c:order val="8"/>
          <c:tx>
            <c:strRef>
              <c:f>'FPSO1 Otim'!$K$5</c:f>
              <c:strCache>
                <c:ptCount val="1"/>
                <c:pt idx="0">
                  <c:v>P9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Otim'!$K$6:$K$733</c:f>
              <c:numCache>
                <c:formatCode>General</c:formatCode>
                <c:ptCount val="728"/>
                <c:pt idx="0">
                  <c:v>302.26800000000003</c:v>
                </c:pt>
                <c:pt idx="1">
                  <c:v>1672.9649999999999</c:v>
                </c:pt>
                <c:pt idx="2">
                  <c:v>1414.0454999999999</c:v>
                </c:pt>
                <c:pt idx="3">
                  <c:v>1319.7345</c:v>
                </c:pt>
                <c:pt idx="4">
                  <c:v>1258.1775</c:v>
                </c:pt>
                <c:pt idx="5">
                  <c:v>1202.0145</c:v>
                </c:pt>
                <c:pt idx="6">
                  <c:v>1148.43</c:v>
                </c:pt>
                <c:pt idx="7">
                  <c:v>1097.1179999999999</c:v>
                </c:pt>
                <c:pt idx="8">
                  <c:v>1048.3154999999999</c:v>
                </c:pt>
                <c:pt idx="9">
                  <c:v>1010.9415</c:v>
                </c:pt>
                <c:pt idx="10">
                  <c:v>983.24099999999999</c:v>
                </c:pt>
                <c:pt idx="11">
                  <c:v>963.51299999999992</c:v>
                </c:pt>
                <c:pt idx="12">
                  <c:v>951.11099999999988</c:v>
                </c:pt>
                <c:pt idx="13">
                  <c:v>935.40300000000002</c:v>
                </c:pt>
                <c:pt idx="14">
                  <c:v>900.15300000000002</c:v>
                </c:pt>
                <c:pt idx="15">
                  <c:v>880.54200000000003</c:v>
                </c:pt>
                <c:pt idx="16">
                  <c:v>857.22</c:v>
                </c:pt>
                <c:pt idx="17">
                  <c:v>842.74500000000012</c:v>
                </c:pt>
                <c:pt idx="18">
                  <c:v>826.50900000000001</c:v>
                </c:pt>
                <c:pt idx="19">
                  <c:v>812.80200000000013</c:v>
                </c:pt>
                <c:pt idx="20">
                  <c:v>799.17599999999993</c:v>
                </c:pt>
                <c:pt idx="21">
                  <c:v>787.53449999999998</c:v>
                </c:pt>
                <c:pt idx="22">
                  <c:v>775.9815000000001</c:v>
                </c:pt>
                <c:pt idx="23">
                  <c:v>764.80500000000006</c:v>
                </c:pt>
                <c:pt idx="24">
                  <c:v>755.33699999999999</c:v>
                </c:pt>
                <c:pt idx="25">
                  <c:v>745.67700000000002</c:v>
                </c:pt>
                <c:pt idx="26">
                  <c:v>737.89649999999995</c:v>
                </c:pt>
                <c:pt idx="27">
                  <c:v>730.524</c:v>
                </c:pt>
                <c:pt idx="28">
                  <c:v>722.27699999999993</c:v>
                </c:pt>
                <c:pt idx="29">
                  <c:v>716.06850000000009</c:v>
                </c:pt>
                <c:pt idx="30">
                  <c:v>709.15049999999997</c:v>
                </c:pt>
                <c:pt idx="31">
                  <c:v>703.14300000000003</c:v>
                </c:pt>
                <c:pt idx="32">
                  <c:v>696.91800000000001</c:v>
                </c:pt>
                <c:pt idx="33">
                  <c:v>691.34249999999997</c:v>
                </c:pt>
                <c:pt idx="34">
                  <c:v>686.08349999999996</c:v>
                </c:pt>
                <c:pt idx="35">
                  <c:v>680.91300000000001</c:v>
                </c:pt>
                <c:pt idx="36">
                  <c:v>677.96100000000001</c:v>
                </c:pt>
                <c:pt idx="37">
                  <c:v>672.75300000000004</c:v>
                </c:pt>
                <c:pt idx="38">
                  <c:v>669.78600000000006</c:v>
                </c:pt>
                <c:pt idx="39">
                  <c:v>666.29100000000005</c:v>
                </c:pt>
                <c:pt idx="40">
                  <c:v>662.00549999999998</c:v>
                </c:pt>
                <c:pt idx="41">
                  <c:v>658.42499999999995</c:v>
                </c:pt>
                <c:pt idx="42">
                  <c:v>654.59699999999998</c:v>
                </c:pt>
                <c:pt idx="43">
                  <c:v>651.28199999999993</c:v>
                </c:pt>
                <c:pt idx="44">
                  <c:v>647.8125</c:v>
                </c:pt>
                <c:pt idx="45">
                  <c:v>644.64300000000003</c:v>
                </c:pt>
                <c:pt idx="46">
                  <c:v>641.56200000000001</c:v>
                </c:pt>
                <c:pt idx="47">
                  <c:v>638.41800000000001</c:v>
                </c:pt>
                <c:pt idx="48">
                  <c:v>635.65800000000002</c:v>
                </c:pt>
                <c:pt idx="49">
                  <c:v>632.74950000000001</c:v>
                </c:pt>
                <c:pt idx="50">
                  <c:v>626.94299999999998</c:v>
                </c:pt>
                <c:pt idx="51">
                  <c:v>624.2115</c:v>
                </c:pt>
                <c:pt idx="52">
                  <c:v>621.56850000000009</c:v>
                </c:pt>
                <c:pt idx="53">
                  <c:v>619.30949999999996</c:v>
                </c:pt>
                <c:pt idx="54">
                  <c:v>616.803</c:v>
                </c:pt>
                <c:pt idx="55">
                  <c:v>614.55600000000004</c:v>
                </c:pt>
                <c:pt idx="56">
                  <c:v>612.15300000000002</c:v>
                </c:pt>
                <c:pt idx="57">
                  <c:v>609.9375</c:v>
                </c:pt>
                <c:pt idx="58">
                  <c:v>607.76250000000005</c:v>
                </c:pt>
                <c:pt idx="59">
                  <c:v>605.50350000000003</c:v>
                </c:pt>
                <c:pt idx="60">
                  <c:v>603.4559999999999</c:v>
                </c:pt>
                <c:pt idx="61">
                  <c:v>601.2405</c:v>
                </c:pt>
                <c:pt idx="62">
                  <c:v>593.16</c:v>
                </c:pt>
                <c:pt idx="63">
                  <c:v>590.70899999999995</c:v>
                </c:pt>
                <c:pt idx="64">
                  <c:v>588.55200000000002</c:v>
                </c:pt>
                <c:pt idx="65">
                  <c:v>586.75649999999996</c:v>
                </c:pt>
                <c:pt idx="66">
                  <c:v>584.61899999999991</c:v>
                </c:pt>
                <c:pt idx="67">
                  <c:v>582.62850000000003</c:v>
                </c:pt>
                <c:pt idx="68">
                  <c:v>580.48800000000006</c:v>
                </c:pt>
                <c:pt idx="69">
                  <c:v>578.47950000000003</c:v>
                </c:pt>
                <c:pt idx="70">
                  <c:v>576.47249999999997</c:v>
                </c:pt>
                <c:pt idx="71">
                  <c:v>574.35599999999999</c:v>
                </c:pt>
                <c:pt idx="72">
                  <c:v>572.4135</c:v>
                </c:pt>
                <c:pt idx="73">
                  <c:v>570.30600000000004</c:v>
                </c:pt>
                <c:pt idx="74">
                  <c:v>568.31850000000009</c:v>
                </c:pt>
                <c:pt idx="75">
                  <c:v>566.43149999999991</c:v>
                </c:pt>
                <c:pt idx="76">
                  <c:v>564.17399999999998</c:v>
                </c:pt>
                <c:pt idx="77">
                  <c:v>562.36649999999997</c:v>
                </c:pt>
                <c:pt idx="78">
                  <c:v>560.23050000000001</c:v>
                </c:pt>
                <c:pt idx="79">
                  <c:v>558.32100000000003</c:v>
                </c:pt>
                <c:pt idx="80">
                  <c:v>556.13699999999994</c:v>
                </c:pt>
                <c:pt idx="81">
                  <c:v>554.1105</c:v>
                </c:pt>
                <c:pt idx="82">
                  <c:v>552.07799999999997</c:v>
                </c:pt>
                <c:pt idx="83">
                  <c:v>549.92550000000006</c:v>
                </c:pt>
                <c:pt idx="84">
                  <c:v>547.947</c:v>
                </c:pt>
                <c:pt idx="85">
                  <c:v>545.77500000000009</c:v>
                </c:pt>
                <c:pt idx="86">
                  <c:v>543.72</c:v>
                </c:pt>
                <c:pt idx="87">
                  <c:v>541.77149999999995</c:v>
                </c:pt>
                <c:pt idx="88">
                  <c:v>539.48400000000004</c:v>
                </c:pt>
                <c:pt idx="89">
                  <c:v>537.62850000000003</c:v>
                </c:pt>
                <c:pt idx="90">
                  <c:v>535.46849999999995</c:v>
                </c:pt>
                <c:pt idx="91">
                  <c:v>533.47350000000006</c:v>
                </c:pt>
                <c:pt idx="92">
                  <c:v>531.29999999999995</c:v>
                </c:pt>
                <c:pt idx="93">
                  <c:v>529.2405</c:v>
                </c:pt>
                <c:pt idx="94">
                  <c:v>527.18999999999994</c:v>
                </c:pt>
                <c:pt idx="95">
                  <c:v>525</c:v>
                </c:pt>
                <c:pt idx="96">
                  <c:v>522.9855</c:v>
                </c:pt>
                <c:pt idx="97">
                  <c:v>520.7940000000001</c:v>
                </c:pt>
                <c:pt idx="98">
                  <c:v>518.7405</c:v>
                </c:pt>
                <c:pt idx="99">
                  <c:v>516.74399999999991</c:v>
                </c:pt>
                <c:pt idx="100">
                  <c:v>514.53899999999999</c:v>
                </c:pt>
                <c:pt idx="101">
                  <c:v>512.61899999999991</c:v>
                </c:pt>
                <c:pt idx="102">
                  <c:v>510.46199999999999</c:v>
                </c:pt>
                <c:pt idx="103">
                  <c:v>508.48199999999997</c:v>
                </c:pt>
                <c:pt idx="104">
                  <c:v>506.35050000000001</c:v>
                </c:pt>
                <c:pt idx="105">
                  <c:v>504.33299999999997</c:v>
                </c:pt>
                <c:pt idx="106">
                  <c:v>502.33050000000003</c:v>
                </c:pt>
                <c:pt idx="107">
                  <c:v>500.23050000000001</c:v>
                </c:pt>
                <c:pt idx="108">
                  <c:v>498.32100000000003</c:v>
                </c:pt>
                <c:pt idx="109">
                  <c:v>496.22550000000001</c:v>
                </c:pt>
                <c:pt idx="110">
                  <c:v>489.786</c:v>
                </c:pt>
                <c:pt idx="111">
                  <c:v>487.57800000000003</c:v>
                </c:pt>
                <c:pt idx="112">
                  <c:v>485.51099999999997</c:v>
                </c:pt>
                <c:pt idx="113">
                  <c:v>483.85949999999997</c:v>
                </c:pt>
                <c:pt idx="114">
                  <c:v>481.88699999999994</c:v>
                </c:pt>
                <c:pt idx="115">
                  <c:v>480.08399999999995</c:v>
                </c:pt>
                <c:pt idx="116">
                  <c:v>478.11899999999997</c:v>
                </c:pt>
                <c:pt idx="117">
                  <c:v>476.29200000000003</c:v>
                </c:pt>
                <c:pt idx="118">
                  <c:v>474.47249999999997</c:v>
                </c:pt>
                <c:pt idx="119">
                  <c:v>472.54950000000002</c:v>
                </c:pt>
                <c:pt idx="120">
                  <c:v>470.8125</c:v>
                </c:pt>
                <c:pt idx="121">
                  <c:v>469.34400000000005</c:v>
                </c:pt>
                <c:pt idx="122">
                  <c:v>467.17199999999997</c:v>
                </c:pt>
                <c:pt idx="123">
                  <c:v>465.46500000000003</c:v>
                </c:pt>
                <c:pt idx="124">
                  <c:v>463.48050000000001</c:v>
                </c:pt>
                <c:pt idx="125">
                  <c:v>461.90999999999997</c:v>
                </c:pt>
                <c:pt idx="126">
                  <c:v>460.08750000000003</c:v>
                </c:pt>
                <c:pt idx="127">
                  <c:v>458.4135</c:v>
                </c:pt>
                <c:pt idx="128">
                  <c:v>456.61950000000002</c:v>
                </c:pt>
                <c:pt idx="129">
                  <c:v>454.92899999999997</c:v>
                </c:pt>
                <c:pt idx="130">
                  <c:v>453.26550000000003</c:v>
                </c:pt>
                <c:pt idx="131">
                  <c:v>451.51949999999999</c:v>
                </c:pt>
                <c:pt idx="132">
                  <c:v>449.928</c:v>
                </c:pt>
                <c:pt idx="133">
                  <c:v>448.21199999999999</c:v>
                </c:pt>
                <c:pt idx="134">
                  <c:v>446.61300000000006</c:v>
                </c:pt>
                <c:pt idx="135">
                  <c:v>445.11899999999997</c:v>
                </c:pt>
                <c:pt idx="136">
                  <c:v>443.35650000000004</c:v>
                </c:pt>
                <c:pt idx="137">
                  <c:v>441.9615</c:v>
                </c:pt>
                <c:pt idx="138">
                  <c:v>440.32500000000005</c:v>
                </c:pt>
                <c:pt idx="139">
                  <c:v>438.84000000000003</c:v>
                </c:pt>
                <c:pt idx="140">
                  <c:v>437.23050000000001</c:v>
                </c:pt>
                <c:pt idx="141">
                  <c:v>435.73199999999997</c:v>
                </c:pt>
                <c:pt idx="142">
                  <c:v>434.23800000000006</c:v>
                </c:pt>
                <c:pt idx="143">
                  <c:v>432.66900000000004</c:v>
                </c:pt>
                <c:pt idx="144">
                  <c:v>431.25</c:v>
                </c:pt>
                <c:pt idx="145">
                  <c:v>429.71849999999995</c:v>
                </c:pt>
                <c:pt idx="146">
                  <c:v>413.18999999999994</c:v>
                </c:pt>
                <c:pt idx="147">
                  <c:v>410.322</c:v>
                </c:pt>
                <c:pt idx="148">
                  <c:v>408.40800000000002</c:v>
                </c:pt>
                <c:pt idx="149">
                  <c:v>406.84500000000003</c:v>
                </c:pt>
                <c:pt idx="150">
                  <c:v>402.67499999999995</c:v>
                </c:pt>
                <c:pt idx="151">
                  <c:v>398.7645</c:v>
                </c:pt>
                <c:pt idx="152">
                  <c:v>394.46250000000003</c:v>
                </c:pt>
                <c:pt idx="153">
                  <c:v>390.65999999999997</c:v>
                </c:pt>
                <c:pt idx="154">
                  <c:v>386.93999999999994</c:v>
                </c:pt>
                <c:pt idx="155">
                  <c:v>383.50649999999996</c:v>
                </c:pt>
                <c:pt idx="156">
                  <c:v>380.226</c:v>
                </c:pt>
                <c:pt idx="157">
                  <c:v>377.03700000000003</c:v>
                </c:pt>
                <c:pt idx="158">
                  <c:v>374.3775</c:v>
                </c:pt>
                <c:pt idx="159">
                  <c:v>372.2475</c:v>
                </c:pt>
                <c:pt idx="160">
                  <c:v>369.42899999999997</c:v>
                </c:pt>
                <c:pt idx="161">
                  <c:v>367.209</c:v>
                </c:pt>
                <c:pt idx="162">
                  <c:v>364.63800000000003</c:v>
                </c:pt>
                <c:pt idx="163">
                  <c:v>362.51549999999997</c:v>
                </c:pt>
                <c:pt idx="164">
                  <c:v>360.26250000000005</c:v>
                </c:pt>
                <c:pt idx="165">
                  <c:v>358.30650000000003</c:v>
                </c:pt>
                <c:pt idx="166">
                  <c:v>356.39550000000003</c:v>
                </c:pt>
                <c:pt idx="167">
                  <c:v>354.53100000000001</c:v>
                </c:pt>
                <c:pt idx="168">
                  <c:v>352.70550000000003</c:v>
                </c:pt>
                <c:pt idx="169">
                  <c:v>350.71800000000002</c:v>
                </c:pt>
                <c:pt idx="170">
                  <c:v>348.84000000000003</c:v>
                </c:pt>
                <c:pt idx="171">
                  <c:v>347.21999999999997</c:v>
                </c:pt>
                <c:pt idx="172">
                  <c:v>345.15449999999998</c:v>
                </c:pt>
                <c:pt idx="173">
                  <c:v>343.488</c:v>
                </c:pt>
                <c:pt idx="174">
                  <c:v>341.55600000000004</c:v>
                </c:pt>
                <c:pt idx="175">
                  <c:v>339.8895</c:v>
                </c:pt>
                <c:pt idx="176">
                  <c:v>337.96199999999999</c:v>
                </c:pt>
                <c:pt idx="177">
                  <c:v>336.1275</c:v>
                </c:pt>
                <c:pt idx="178">
                  <c:v>334.2885</c:v>
                </c:pt>
                <c:pt idx="179">
                  <c:v>332.46299999999997</c:v>
                </c:pt>
                <c:pt idx="180">
                  <c:v>330.726</c:v>
                </c:pt>
                <c:pt idx="181">
                  <c:v>328.81200000000001</c:v>
                </c:pt>
                <c:pt idx="182">
                  <c:v>327.024</c:v>
                </c:pt>
                <c:pt idx="183">
                  <c:v>325.464</c:v>
                </c:pt>
                <c:pt idx="184">
                  <c:v>323.47799999999995</c:v>
                </c:pt>
                <c:pt idx="185">
                  <c:v>321.90749999999997</c:v>
                </c:pt>
                <c:pt idx="186">
                  <c:v>320.0625</c:v>
                </c:pt>
                <c:pt idx="187">
                  <c:v>318.447</c:v>
                </c:pt>
                <c:pt idx="188">
                  <c:v>316.61249999999995</c:v>
                </c:pt>
                <c:pt idx="189">
                  <c:v>314.87850000000003</c:v>
                </c:pt>
                <c:pt idx="190">
                  <c:v>313.149</c:v>
                </c:pt>
                <c:pt idx="191">
                  <c:v>311.39999999999998</c:v>
                </c:pt>
                <c:pt idx="192">
                  <c:v>309.762</c:v>
                </c:pt>
                <c:pt idx="193">
                  <c:v>307.96199999999999</c:v>
                </c:pt>
                <c:pt idx="194">
                  <c:v>306.291</c:v>
                </c:pt>
                <c:pt idx="195">
                  <c:v>304.74149999999997</c:v>
                </c:pt>
                <c:pt idx="196">
                  <c:v>302.94900000000001</c:v>
                </c:pt>
                <c:pt idx="197">
                  <c:v>301.44</c:v>
                </c:pt>
                <c:pt idx="198">
                  <c:v>299.88750000000005</c:v>
                </c:pt>
                <c:pt idx="199">
                  <c:v>298.548</c:v>
                </c:pt>
                <c:pt idx="200">
                  <c:v>297.03750000000002</c:v>
                </c:pt>
                <c:pt idx="201">
                  <c:v>295.584</c:v>
                </c:pt>
                <c:pt idx="202">
                  <c:v>294.16949999999997</c:v>
                </c:pt>
                <c:pt idx="203">
                  <c:v>292.72500000000002</c:v>
                </c:pt>
                <c:pt idx="204">
                  <c:v>291.363</c:v>
                </c:pt>
                <c:pt idx="205">
                  <c:v>289.863</c:v>
                </c:pt>
                <c:pt idx="206">
                  <c:v>288.459</c:v>
                </c:pt>
                <c:pt idx="207">
                  <c:v>287.202</c:v>
                </c:pt>
                <c:pt idx="208">
                  <c:v>285.66899999999998</c:v>
                </c:pt>
                <c:pt idx="209">
                  <c:v>284.40749999999997</c:v>
                </c:pt>
                <c:pt idx="210">
                  <c:v>282.97500000000002</c:v>
                </c:pt>
                <c:pt idx="211">
                  <c:v>281.697</c:v>
                </c:pt>
                <c:pt idx="212">
                  <c:v>280.28700000000003</c:v>
                </c:pt>
                <c:pt idx="213">
                  <c:v>278.916</c:v>
                </c:pt>
                <c:pt idx="214">
                  <c:v>277.584</c:v>
                </c:pt>
                <c:pt idx="215">
                  <c:v>276.22500000000002</c:v>
                </c:pt>
                <c:pt idx="216">
                  <c:v>274.923</c:v>
                </c:pt>
                <c:pt idx="217">
                  <c:v>273.34950000000003</c:v>
                </c:pt>
                <c:pt idx="218">
                  <c:v>271.803</c:v>
                </c:pt>
                <c:pt idx="219">
                  <c:v>270.459</c:v>
                </c:pt>
                <c:pt idx="220">
                  <c:v>268.79399999999998</c:v>
                </c:pt>
                <c:pt idx="221">
                  <c:v>267.58050000000003</c:v>
                </c:pt>
                <c:pt idx="222">
                  <c:v>265.93799999999999</c:v>
                </c:pt>
                <c:pt idx="223">
                  <c:v>264.64049999999997</c:v>
                </c:pt>
                <c:pt idx="224">
                  <c:v>263.14949999999999</c:v>
                </c:pt>
                <c:pt idx="225">
                  <c:v>261.762</c:v>
                </c:pt>
                <c:pt idx="226">
                  <c:v>260.40749999999997</c:v>
                </c:pt>
                <c:pt idx="227">
                  <c:v>259.04999999999995</c:v>
                </c:pt>
                <c:pt idx="228">
                  <c:v>257.80650000000003</c:v>
                </c:pt>
                <c:pt idx="229">
                  <c:v>256.42499999999995</c:v>
                </c:pt>
                <c:pt idx="230">
                  <c:v>255.15749999999997</c:v>
                </c:pt>
                <c:pt idx="231">
                  <c:v>253.99649999999997</c:v>
                </c:pt>
                <c:pt idx="232">
                  <c:v>252.60299999999998</c:v>
                </c:pt>
                <c:pt idx="233">
                  <c:v>251.47949999999997</c:v>
                </c:pt>
                <c:pt idx="234">
                  <c:v>250.17449999999997</c:v>
                </c:pt>
                <c:pt idx="235">
                  <c:v>249.024</c:v>
                </c:pt>
                <c:pt idx="236">
                  <c:v>247.72500000000002</c:v>
                </c:pt>
                <c:pt idx="237">
                  <c:v>246.5085</c:v>
                </c:pt>
                <c:pt idx="238">
                  <c:v>245.298</c:v>
                </c:pt>
                <c:pt idx="239">
                  <c:v>244.06200000000001</c:v>
                </c:pt>
                <c:pt idx="240">
                  <c:v>243.15749999999997</c:v>
                </c:pt>
                <c:pt idx="241">
                  <c:v>241.887</c:v>
                </c:pt>
                <c:pt idx="242">
                  <c:v>240.339</c:v>
                </c:pt>
                <c:pt idx="243">
                  <c:v>239.14049999999997</c:v>
                </c:pt>
                <c:pt idx="244">
                  <c:v>237.77549999999999</c:v>
                </c:pt>
                <c:pt idx="245">
                  <c:v>236.613</c:v>
                </c:pt>
                <c:pt idx="246">
                  <c:v>235.3005</c:v>
                </c:pt>
                <c:pt idx="247">
                  <c:v>234.2055</c:v>
                </c:pt>
                <c:pt idx="248">
                  <c:v>232.92449999999997</c:v>
                </c:pt>
                <c:pt idx="249">
                  <c:v>291.072</c:v>
                </c:pt>
                <c:pt idx="250">
                  <c:v>294.786</c:v>
                </c:pt>
                <c:pt idx="251">
                  <c:v>288.5505</c:v>
                </c:pt>
                <c:pt idx="252">
                  <c:v>284.90250000000003</c:v>
                </c:pt>
                <c:pt idx="253">
                  <c:v>282.21299999999997</c:v>
                </c:pt>
                <c:pt idx="254">
                  <c:v>280.089</c:v>
                </c:pt>
                <c:pt idx="255">
                  <c:v>278.50350000000003</c:v>
                </c:pt>
                <c:pt idx="256">
                  <c:v>276.40199999999999</c:v>
                </c:pt>
                <c:pt idx="257">
                  <c:v>274.71750000000003</c:v>
                </c:pt>
                <c:pt idx="258">
                  <c:v>272.76300000000003</c:v>
                </c:pt>
                <c:pt idx="259">
                  <c:v>271.089</c:v>
                </c:pt>
                <c:pt idx="260">
                  <c:v>269.18700000000001</c:v>
                </c:pt>
                <c:pt idx="261">
                  <c:v>267.375</c:v>
                </c:pt>
                <c:pt idx="262">
                  <c:v>265.59749999999997</c:v>
                </c:pt>
                <c:pt idx="263">
                  <c:v>263.85000000000002</c:v>
                </c:pt>
                <c:pt idx="264">
                  <c:v>276.666</c:v>
                </c:pt>
                <c:pt idx="265">
                  <c:v>277.03800000000001</c:v>
                </c:pt>
                <c:pt idx="266">
                  <c:v>275.553</c:v>
                </c:pt>
                <c:pt idx="267">
                  <c:v>273.798</c:v>
                </c:pt>
                <c:pt idx="268">
                  <c:v>272.11649999999997</c:v>
                </c:pt>
                <c:pt idx="269">
                  <c:v>270.822</c:v>
                </c:pt>
                <c:pt idx="270">
                  <c:v>269.29949999999997</c:v>
                </c:pt>
                <c:pt idx="271">
                  <c:v>267.94349999999997</c:v>
                </c:pt>
                <c:pt idx="272">
                  <c:v>266.46299999999997</c:v>
                </c:pt>
                <c:pt idx="273">
                  <c:v>265.101</c:v>
                </c:pt>
                <c:pt idx="274">
                  <c:v>263.77050000000003</c:v>
                </c:pt>
                <c:pt idx="275">
                  <c:v>262.36199999999997</c:v>
                </c:pt>
                <c:pt idx="276">
                  <c:v>261.10950000000003</c:v>
                </c:pt>
                <c:pt idx="277">
                  <c:v>259.77449999999999</c:v>
                </c:pt>
                <c:pt idx="278">
                  <c:v>258.55650000000003</c:v>
                </c:pt>
                <c:pt idx="279">
                  <c:v>257.39550000000003</c:v>
                </c:pt>
                <c:pt idx="280">
                  <c:v>256.07100000000003</c:v>
                </c:pt>
                <c:pt idx="281">
                  <c:v>255.024</c:v>
                </c:pt>
                <c:pt idx="282">
                  <c:v>253.81200000000001</c:v>
                </c:pt>
                <c:pt idx="283">
                  <c:v>252.52050000000003</c:v>
                </c:pt>
                <c:pt idx="284">
                  <c:v>251.38800000000003</c:v>
                </c:pt>
                <c:pt idx="285">
                  <c:v>249.6165</c:v>
                </c:pt>
                <c:pt idx="286">
                  <c:v>248.5275</c:v>
                </c:pt>
                <c:pt idx="287">
                  <c:v>246.97500000000002</c:v>
                </c:pt>
                <c:pt idx="288">
                  <c:v>245.94</c:v>
                </c:pt>
                <c:pt idx="289">
                  <c:v>244.52549999999999</c:v>
                </c:pt>
                <c:pt idx="290">
                  <c:v>243.339</c:v>
                </c:pt>
                <c:pt idx="291">
                  <c:v>242.31</c:v>
                </c:pt>
                <c:pt idx="292">
                  <c:v>241.06049999999999</c:v>
                </c:pt>
                <c:pt idx="293">
                  <c:v>240.036</c:v>
                </c:pt>
                <c:pt idx="294">
                  <c:v>238.93799999999999</c:v>
                </c:pt>
                <c:pt idx="295">
                  <c:v>237.96750000000003</c:v>
                </c:pt>
                <c:pt idx="296">
                  <c:v>236.95050000000003</c:v>
                </c:pt>
                <c:pt idx="297">
                  <c:v>236.0085</c:v>
                </c:pt>
                <c:pt idx="298">
                  <c:v>235.089</c:v>
                </c:pt>
                <c:pt idx="299">
                  <c:v>234.12450000000001</c:v>
                </c:pt>
                <c:pt idx="300">
                  <c:v>233.25</c:v>
                </c:pt>
                <c:pt idx="301">
                  <c:v>232.35000000000002</c:v>
                </c:pt>
                <c:pt idx="302">
                  <c:v>231.48450000000003</c:v>
                </c:pt>
                <c:pt idx="303">
                  <c:v>230.673</c:v>
                </c:pt>
                <c:pt idx="304">
                  <c:v>229.7415</c:v>
                </c:pt>
                <c:pt idx="305">
                  <c:v>229.00350000000003</c:v>
                </c:pt>
                <c:pt idx="306">
                  <c:v>228.12450000000001</c:v>
                </c:pt>
                <c:pt idx="307">
                  <c:v>227.334</c:v>
                </c:pt>
                <c:pt idx="308">
                  <c:v>226.488</c:v>
                </c:pt>
                <c:pt idx="309">
                  <c:v>225.678</c:v>
                </c:pt>
                <c:pt idx="310">
                  <c:v>224.89049999999997</c:v>
                </c:pt>
                <c:pt idx="311">
                  <c:v>224.0625</c:v>
                </c:pt>
                <c:pt idx="312">
                  <c:v>223.2945</c:v>
                </c:pt>
                <c:pt idx="313">
                  <c:v>222.47550000000001</c:v>
                </c:pt>
                <c:pt idx="314">
                  <c:v>221.685</c:v>
                </c:pt>
                <c:pt idx="315">
                  <c:v>220.9725</c:v>
                </c:pt>
                <c:pt idx="316">
                  <c:v>220.125</c:v>
                </c:pt>
                <c:pt idx="317">
                  <c:v>219.435</c:v>
                </c:pt>
                <c:pt idx="318">
                  <c:v>218.637</c:v>
                </c:pt>
                <c:pt idx="319">
                  <c:v>217.911</c:v>
                </c:pt>
                <c:pt idx="320">
                  <c:v>217.125</c:v>
                </c:pt>
                <c:pt idx="321">
                  <c:v>216.387</c:v>
                </c:pt>
                <c:pt idx="322">
                  <c:v>215.673</c:v>
                </c:pt>
                <c:pt idx="323">
                  <c:v>214.887</c:v>
                </c:pt>
                <c:pt idx="324">
                  <c:v>214.197</c:v>
                </c:pt>
                <c:pt idx="325">
                  <c:v>213.45000000000002</c:v>
                </c:pt>
                <c:pt idx="326">
                  <c:v>212.73450000000003</c:v>
                </c:pt>
                <c:pt idx="327">
                  <c:v>212.06849999999997</c:v>
                </c:pt>
                <c:pt idx="328">
                  <c:v>211.29900000000004</c:v>
                </c:pt>
                <c:pt idx="329">
                  <c:v>210.678</c:v>
                </c:pt>
                <c:pt idx="330">
                  <c:v>209.93700000000001</c:v>
                </c:pt>
                <c:pt idx="331">
                  <c:v>209.274</c:v>
                </c:pt>
                <c:pt idx="332">
                  <c:v>208.56299999999999</c:v>
                </c:pt>
                <c:pt idx="333">
                  <c:v>207.8835</c:v>
                </c:pt>
                <c:pt idx="334">
                  <c:v>207.19349999999997</c:v>
                </c:pt>
                <c:pt idx="335">
                  <c:v>206.48699999999997</c:v>
                </c:pt>
                <c:pt idx="336">
                  <c:v>205.851</c:v>
                </c:pt>
                <c:pt idx="337">
                  <c:v>205.113</c:v>
                </c:pt>
                <c:pt idx="338">
                  <c:v>204.459</c:v>
                </c:pt>
                <c:pt idx="339">
                  <c:v>203.80650000000003</c:v>
                </c:pt>
                <c:pt idx="340">
                  <c:v>203.08199999999999</c:v>
                </c:pt>
                <c:pt idx="341">
                  <c:v>202.476</c:v>
                </c:pt>
                <c:pt idx="342">
                  <c:v>201.75</c:v>
                </c:pt>
                <c:pt idx="343">
                  <c:v>201.12149999999997</c:v>
                </c:pt>
                <c:pt idx="344">
                  <c:v>200.39999999999998</c:v>
                </c:pt>
                <c:pt idx="345">
                  <c:v>199.71750000000003</c:v>
                </c:pt>
                <c:pt idx="346">
                  <c:v>199.00350000000003</c:v>
                </c:pt>
                <c:pt idx="347">
                  <c:v>198.22500000000002</c:v>
                </c:pt>
                <c:pt idx="348">
                  <c:v>197.4915</c:v>
                </c:pt>
                <c:pt idx="349">
                  <c:v>196.79999999999998</c:v>
                </c:pt>
                <c:pt idx="350">
                  <c:v>195.96750000000003</c:v>
                </c:pt>
                <c:pt idx="351">
                  <c:v>195.2775</c:v>
                </c:pt>
                <c:pt idx="352">
                  <c:v>194.39700000000002</c:v>
                </c:pt>
                <c:pt idx="353">
                  <c:v>193.7055</c:v>
                </c:pt>
                <c:pt idx="354">
                  <c:v>192.88800000000003</c:v>
                </c:pt>
                <c:pt idx="355">
                  <c:v>192.15749999999997</c:v>
                </c:pt>
                <c:pt idx="356">
                  <c:v>191.33700000000002</c:v>
                </c:pt>
                <c:pt idx="357">
                  <c:v>190.56</c:v>
                </c:pt>
                <c:pt idx="358">
                  <c:v>189.786</c:v>
                </c:pt>
                <c:pt idx="359">
                  <c:v>188.97450000000001</c:v>
                </c:pt>
                <c:pt idx="360">
                  <c:v>188.19</c:v>
                </c:pt>
                <c:pt idx="361">
                  <c:v>187.3245</c:v>
                </c:pt>
                <c:pt idx="362">
                  <c:v>186.5685</c:v>
                </c:pt>
                <c:pt idx="363">
                  <c:v>185.8545</c:v>
                </c:pt>
                <c:pt idx="364">
                  <c:v>184.98149999999998</c:v>
                </c:pt>
                <c:pt idx="365">
                  <c:v>184.2705</c:v>
                </c:pt>
                <c:pt idx="366">
                  <c:v>183.42449999999999</c:v>
                </c:pt>
                <c:pt idx="367">
                  <c:v>182.637</c:v>
                </c:pt>
                <c:pt idx="368">
                  <c:v>181.77450000000002</c:v>
                </c:pt>
                <c:pt idx="369">
                  <c:v>180.9675</c:v>
                </c:pt>
                <c:pt idx="370">
                  <c:v>180.1695</c:v>
                </c:pt>
                <c:pt idx="371">
                  <c:v>179.37450000000001</c:v>
                </c:pt>
                <c:pt idx="372">
                  <c:v>178.6215</c:v>
                </c:pt>
                <c:pt idx="373">
                  <c:v>177.82499999999999</c:v>
                </c:pt>
                <c:pt idx="374">
                  <c:v>177.06</c:v>
                </c:pt>
                <c:pt idx="375">
                  <c:v>176.3475</c:v>
                </c:pt>
                <c:pt idx="376">
                  <c:v>175.48650000000001</c:v>
                </c:pt>
                <c:pt idx="377">
                  <c:v>174.786</c:v>
                </c:pt>
                <c:pt idx="378">
                  <c:v>173.988</c:v>
                </c:pt>
                <c:pt idx="379">
                  <c:v>173.274</c:v>
                </c:pt>
                <c:pt idx="380">
                  <c:v>172.488</c:v>
                </c:pt>
                <c:pt idx="381">
                  <c:v>171.726</c:v>
                </c:pt>
                <c:pt idx="382">
                  <c:v>170.988</c:v>
                </c:pt>
                <c:pt idx="383">
                  <c:v>170.22450000000001</c:v>
                </c:pt>
                <c:pt idx="384">
                  <c:v>169.512</c:v>
                </c:pt>
                <c:pt idx="385">
                  <c:v>168.75</c:v>
                </c:pt>
                <c:pt idx="386">
                  <c:v>168.036</c:v>
                </c:pt>
                <c:pt idx="387">
                  <c:v>167.3475</c:v>
                </c:pt>
                <c:pt idx="388">
                  <c:v>166.46100000000001</c:v>
                </c:pt>
                <c:pt idx="389">
                  <c:v>166.2225</c:v>
                </c:pt>
                <c:pt idx="390">
                  <c:v>165.5745</c:v>
                </c:pt>
                <c:pt idx="391">
                  <c:v>165.1095</c:v>
                </c:pt>
                <c:pt idx="392">
                  <c:v>164.59950000000001</c:v>
                </c:pt>
                <c:pt idx="393">
                  <c:v>164.1165</c:v>
                </c:pt>
                <c:pt idx="394">
                  <c:v>163.6335</c:v>
                </c:pt>
                <c:pt idx="395">
                  <c:v>163.08749999999998</c:v>
                </c:pt>
                <c:pt idx="396">
                  <c:v>162.6285</c:v>
                </c:pt>
                <c:pt idx="397">
                  <c:v>162.10049999999998</c:v>
                </c:pt>
                <c:pt idx="398">
                  <c:v>161.541</c:v>
                </c:pt>
                <c:pt idx="399">
                  <c:v>161.166</c:v>
                </c:pt>
                <c:pt idx="400">
                  <c:v>160.6875</c:v>
                </c:pt>
                <c:pt idx="401">
                  <c:v>160.3665</c:v>
                </c:pt>
                <c:pt idx="402">
                  <c:v>159.9495</c:v>
                </c:pt>
                <c:pt idx="403">
                  <c:v>159.5445</c:v>
                </c:pt>
                <c:pt idx="404">
                  <c:v>159.11250000000001</c:v>
                </c:pt>
                <c:pt idx="405">
                  <c:v>158.685</c:v>
                </c:pt>
                <c:pt idx="406">
                  <c:v>158.202</c:v>
                </c:pt>
                <c:pt idx="407">
                  <c:v>157.512</c:v>
                </c:pt>
                <c:pt idx="408">
                  <c:v>156.8475</c:v>
                </c:pt>
                <c:pt idx="409">
                  <c:v>156.12450000000001</c:v>
                </c:pt>
                <c:pt idx="410">
                  <c:v>155.4075</c:v>
                </c:pt>
                <c:pt idx="411">
                  <c:v>153.85342499999999</c:v>
                </c:pt>
                <c:pt idx="412">
                  <c:v>152.31489074999999</c:v>
                </c:pt>
                <c:pt idx="413">
                  <c:v>150.79174184249999</c:v>
                </c:pt>
                <c:pt idx="414">
                  <c:v>149.28382442407499</c:v>
                </c:pt>
                <c:pt idx="415">
                  <c:v>147.79098617983425</c:v>
                </c:pt>
                <c:pt idx="416">
                  <c:v>146.31307631803591</c:v>
                </c:pt>
                <c:pt idx="417">
                  <c:v>144.84994555485554</c:v>
                </c:pt>
                <c:pt idx="418">
                  <c:v>143.40144609930698</c:v>
                </c:pt>
                <c:pt idx="419">
                  <c:v>141.96743163831391</c:v>
                </c:pt>
                <c:pt idx="420">
                  <c:v>140.54775732193076</c:v>
                </c:pt>
                <c:pt idx="421">
                  <c:v>139.14227974871145</c:v>
                </c:pt>
                <c:pt idx="422">
                  <c:v>137.75085695122434</c:v>
                </c:pt>
                <c:pt idx="423">
                  <c:v>136.37334838171208</c:v>
                </c:pt>
                <c:pt idx="424">
                  <c:v>135.00961489789495</c:v>
                </c:pt>
                <c:pt idx="425">
                  <c:v>133.65951874891599</c:v>
                </c:pt>
                <c:pt idx="426">
                  <c:v>132.32292356142682</c:v>
                </c:pt>
                <c:pt idx="427">
                  <c:v>130.99969432581256</c:v>
                </c:pt>
                <c:pt idx="428">
                  <c:v>129.68969738255444</c:v>
                </c:pt>
                <c:pt idx="429">
                  <c:v>128.3928004087289</c:v>
                </c:pt>
                <c:pt idx="430">
                  <c:v>127.10887240464162</c:v>
                </c:pt>
                <c:pt idx="431">
                  <c:v>125.83778368059519</c:v>
                </c:pt>
                <c:pt idx="432">
                  <c:v>124.57940584378925</c:v>
                </c:pt>
                <c:pt idx="433">
                  <c:v>123.33361178535135</c:v>
                </c:pt>
                <c:pt idx="434">
                  <c:v>122.10027566749784</c:v>
                </c:pt>
                <c:pt idx="435">
                  <c:v>120.87927291082286</c:v>
                </c:pt>
                <c:pt idx="436">
                  <c:v>119.67048018171464</c:v>
                </c:pt>
                <c:pt idx="437">
                  <c:v>118.47377537989749</c:v>
                </c:pt>
                <c:pt idx="438">
                  <c:v>117.28903762609852</c:v>
                </c:pt>
                <c:pt idx="439">
                  <c:v>116.11614724983754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90-45FF-823D-857AD61FB73F}"/>
            </c:ext>
          </c:extLst>
        </c:ser>
        <c:ser>
          <c:idx val="9"/>
          <c:order val="9"/>
          <c:tx>
            <c:strRef>
              <c:f>'FPSO1 Otim'!$L$5</c:f>
              <c:strCache>
                <c:ptCount val="1"/>
                <c:pt idx="0">
                  <c:v>P10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Otim'!$L$6:$L$733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1757.2350000000001</c:v>
                </c:pt>
                <c:pt idx="20">
                  <c:v>2105.52</c:v>
                </c:pt>
                <c:pt idx="21">
                  <c:v>2066.4750000000004</c:v>
                </c:pt>
                <c:pt idx="22">
                  <c:v>2049.96</c:v>
                </c:pt>
                <c:pt idx="23">
                  <c:v>1964.97</c:v>
                </c:pt>
                <c:pt idx="24">
                  <c:v>1831.56</c:v>
                </c:pt>
                <c:pt idx="25">
                  <c:v>1776.345</c:v>
                </c:pt>
                <c:pt idx="26">
                  <c:v>1724.625</c:v>
                </c:pt>
                <c:pt idx="27">
                  <c:v>1677.5549999999998</c:v>
                </c:pt>
                <c:pt idx="28">
                  <c:v>1649.2649999999999</c:v>
                </c:pt>
                <c:pt idx="29">
                  <c:v>1656.6150000000002</c:v>
                </c:pt>
                <c:pt idx="30">
                  <c:v>1658.8500000000001</c:v>
                </c:pt>
                <c:pt idx="31">
                  <c:v>1645.7250000000001</c:v>
                </c:pt>
                <c:pt idx="32">
                  <c:v>1628.0249999999999</c:v>
                </c:pt>
                <c:pt idx="33">
                  <c:v>1610.5500000000002</c:v>
                </c:pt>
                <c:pt idx="34">
                  <c:v>1612.6799999999998</c:v>
                </c:pt>
                <c:pt idx="35">
                  <c:v>1614.03</c:v>
                </c:pt>
                <c:pt idx="36">
                  <c:v>1606.125</c:v>
                </c:pt>
                <c:pt idx="37">
                  <c:v>1586.1750000000002</c:v>
                </c:pt>
                <c:pt idx="38">
                  <c:v>1569.8849999999998</c:v>
                </c:pt>
                <c:pt idx="39">
                  <c:v>1554.33</c:v>
                </c:pt>
                <c:pt idx="40">
                  <c:v>1539.585</c:v>
                </c:pt>
                <c:pt idx="41">
                  <c:v>1524.345</c:v>
                </c:pt>
                <c:pt idx="42">
                  <c:v>1507.635</c:v>
                </c:pt>
                <c:pt idx="43">
                  <c:v>1491.6134999999999</c:v>
                </c:pt>
                <c:pt idx="44">
                  <c:v>1473.8910000000001</c:v>
                </c:pt>
                <c:pt idx="45">
                  <c:v>1456.0830000000001</c:v>
                </c:pt>
                <c:pt idx="46">
                  <c:v>1437.1605</c:v>
                </c:pt>
                <c:pt idx="47">
                  <c:v>1413.0674999999999</c:v>
                </c:pt>
                <c:pt idx="48">
                  <c:v>1392.798</c:v>
                </c:pt>
                <c:pt idx="49">
                  <c:v>1368.6089999999999</c:v>
                </c:pt>
                <c:pt idx="50">
                  <c:v>1346.289</c:v>
                </c:pt>
                <c:pt idx="51">
                  <c:v>1322.3879999999999</c:v>
                </c:pt>
                <c:pt idx="52">
                  <c:v>1300.4159999999999</c:v>
                </c:pt>
                <c:pt idx="53">
                  <c:v>1279.2705000000001</c:v>
                </c:pt>
                <c:pt idx="54">
                  <c:v>1257.3195000000001</c:v>
                </c:pt>
                <c:pt idx="55">
                  <c:v>1244.1224999999999</c:v>
                </c:pt>
                <c:pt idx="56">
                  <c:v>1220.9069999999999</c:v>
                </c:pt>
                <c:pt idx="57">
                  <c:v>1202.643</c:v>
                </c:pt>
                <c:pt idx="58">
                  <c:v>1186.1849999999999</c:v>
                </c:pt>
                <c:pt idx="59">
                  <c:v>1167.6569999999999</c:v>
                </c:pt>
                <c:pt idx="60">
                  <c:v>1153.3485000000001</c:v>
                </c:pt>
                <c:pt idx="61">
                  <c:v>1137.144</c:v>
                </c:pt>
                <c:pt idx="62">
                  <c:v>1122.828</c:v>
                </c:pt>
                <c:pt idx="63">
                  <c:v>1107.7620000000002</c:v>
                </c:pt>
                <c:pt idx="64">
                  <c:v>1093.9965</c:v>
                </c:pt>
                <c:pt idx="65">
                  <c:v>1080.672</c:v>
                </c:pt>
                <c:pt idx="66">
                  <c:v>1067.0564999999999</c:v>
                </c:pt>
                <c:pt idx="67">
                  <c:v>1054.8689999999999</c:v>
                </c:pt>
                <c:pt idx="68">
                  <c:v>1041.9870000000001</c:v>
                </c:pt>
                <c:pt idx="69">
                  <c:v>1025.3475000000001</c:v>
                </c:pt>
                <c:pt idx="70">
                  <c:v>1013.673</c:v>
                </c:pt>
                <c:pt idx="71">
                  <c:v>1001.4765</c:v>
                </c:pt>
                <c:pt idx="72">
                  <c:v>991.22849999999994</c:v>
                </c:pt>
                <c:pt idx="73">
                  <c:v>979.93050000000005</c:v>
                </c:pt>
                <c:pt idx="74">
                  <c:v>969.73799999999994</c:v>
                </c:pt>
                <c:pt idx="75">
                  <c:v>958.86299999999994</c:v>
                </c:pt>
                <c:pt idx="76">
                  <c:v>948.70799999999997</c:v>
                </c:pt>
                <c:pt idx="77">
                  <c:v>938.75850000000014</c:v>
                </c:pt>
                <c:pt idx="78">
                  <c:v>928.53749999999991</c:v>
                </c:pt>
                <c:pt idx="79">
                  <c:v>919.39049999999997</c:v>
                </c:pt>
                <c:pt idx="80">
                  <c:v>909.64949999999999</c:v>
                </c:pt>
                <c:pt idx="81">
                  <c:v>892.04700000000003</c:v>
                </c:pt>
                <c:pt idx="82">
                  <c:v>882.9375</c:v>
                </c:pt>
                <c:pt idx="83">
                  <c:v>873.32850000000008</c:v>
                </c:pt>
                <c:pt idx="84">
                  <c:v>865.70549999999992</c:v>
                </c:pt>
                <c:pt idx="85">
                  <c:v>856.875</c:v>
                </c:pt>
                <c:pt idx="86">
                  <c:v>848.8605</c:v>
                </c:pt>
                <c:pt idx="87">
                  <c:v>840.27449999999999</c:v>
                </c:pt>
                <c:pt idx="88">
                  <c:v>832.36649999999986</c:v>
                </c:pt>
                <c:pt idx="89">
                  <c:v>824.67899999999986</c:v>
                </c:pt>
                <c:pt idx="90">
                  <c:v>816.66300000000001</c:v>
                </c:pt>
                <c:pt idx="91">
                  <c:v>809.34750000000008</c:v>
                </c:pt>
                <c:pt idx="92">
                  <c:v>801.55049999999994</c:v>
                </c:pt>
                <c:pt idx="93">
                  <c:v>794.26200000000006</c:v>
                </c:pt>
                <c:pt idx="94">
                  <c:v>787.24649999999997</c:v>
                </c:pt>
                <c:pt idx="95">
                  <c:v>779.25</c:v>
                </c:pt>
                <c:pt idx="96">
                  <c:v>773.14650000000006</c:v>
                </c:pt>
                <c:pt idx="97">
                  <c:v>766.19399999999996</c:v>
                </c:pt>
                <c:pt idx="98">
                  <c:v>759.81600000000003</c:v>
                </c:pt>
                <c:pt idx="99">
                  <c:v>753.06299999999999</c:v>
                </c:pt>
                <c:pt idx="100">
                  <c:v>747.048</c:v>
                </c:pt>
                <c:pt idx="101">
                  <c:v>741.09749999999997</c:v>
                </c:pt>
                <c:pt idx="102">
                  <c:v>734.8934999999999</c:v>
                </c:pt>
                <c:pt idx="103">
                  <c:v>729.35699999999997</c:v>
                </c:pt>
                <c:pt idx="104">
                  <c:v>723.42450000000008</c:v>
                </c:pt>
                <c:pt idx="105">
                  <c:v>717.65250000000003</c:v>
                </c:pt>
                <c:pt idx="106">
                  <c:v>712.11300000000006</c:v>
                </c:pt>
                <c:pt idx="107">
                  <c:v>705.8309999999999</c:v>
                </c:pt>
                <c:pt idx="108">
                  <c:v>701.03250000000003</c:v>
                </c:pt>
                <c:pt idx="109">
                  <c:v>695.42550000000006</c:v>
                </c:pt>
                <c:pt idx="110">
                  <c:v>690.49649999999997</c:v>
                </c:pt>
                <c:pt idx="111">
                  <c:v>685.46250000000009</c:v>
                </c:pt>
                <c:pt idx="112">
                  <c:v>680.91600000000005</c:v>
                </c:pt>
                <c:pt idx="113">
                  <c:v>676.28250000000003</c:v>
                </c:pt>
                <c:pt idx="114">
                  <c:v>670.63799999999992</c:v>
                </c:pt>
                <c:pt idx="115">
                  <c:v>665.93999999999994</c:v>
                </c:pt>
                <c:pt idx="116">
                  <c:v>660.86249999999995</c:v>
                </c:pt>
                <c:pt idx="117">
                  <c:v>655.923</c:v>
                </c:pt>
                <c:pt idx="118">
                  <c:v>650.86649999999997</c:v>
                </c:pt>
                <c:pt idx="119">
                  <c:v>645.29700000000003</c:v>
                </c:pt>
                <c:pt idx="120">
                  <c:v>640.68149999999991</c:v>
                </c:pt>
                <c:pt idx="121">
                  <c:v>635.54999999999995</c:v>
                </c:pt>
                <c:pt idx="122">
                  <c:v>630.822</c:v>
                </c:pt>
                <c:pt idx="123">
                  <c:v>625.79999999999995</c:v>
                </c:pt>
                <c:pt idx="124">
                  <c:v>621.16949999999997</c:v>
                </c:pt>
                <c:pt idx="125">
                  <c:v>616.62149999999997</c:v>
                </c:pt>
                <c:pt idx="126">
                  <c:v>611.86200000000008</c:v>
                </c:pt>
                <c:pt idx="127">
                  <c:v>607.59749999999997</c:v>
                </c:pt>
                <c:pt idx="128">
                  <c:v>602.96250000000009</c:v>
                </c:pt>
                <c:pt idx="129">
                  <c:v>593.12850000000003</c:v>
                </c:pt>
                <c:pt idx="130">
                  <c:v>588.61649999999997</c:v>
                </c:pt>
                <c:pt idx="131">
                  <c:v>583.9815000000001</c:v>
                </c:pt>
                <c:pt idx="132">
                  <c:v>580.29449999999997</c:v>
                </c:pt>
                <c:pt idx="133">
                  <c:v>576.02549999999997</c:v>
                </c:pt>
                <c:pt idx="134">
                  <c:v>572.14049999999997</c:v>
                </c:pt>
                <c:pt idx="135">
                  <c:v>567.9375</c:v>
                </c:pt>
                <c:pt idx="136">
                  <c:v>564.06000000000006</c:v>
                </c:pt>
                <c:pt idx="137">
                  <c:v>560.178</c:v>
                </c:pt>
                <c:pt idx="138">
                  <c:v>556.13699999999994</c:v>
                </c:pt>
                <c:pt idx="139">
                  <c:v>552.47249999999997</c:v>
                </c:pt>
                <c:pt idx="140">
                  <c:v>549.38699999999994</c:v>
                </c:pt>
                <c:pt idx="141">
                  <c:v>544.93500000000006</c:v>
                </c:pt>
                <c:pt idx="142">
                  <c:v>541.524</c:v>
                </c:pt>
                <c:pt idx="143">
                  <c:v>537.4815000000001</c:v>
                </c:pt>
                <c:pt idx="144">
                  <c:v>534.25350000000003</c:v>
                </c:pt>
                <c:pt idx="145">
                  <c:v>530.67450000000008</c:v>
                </c:pt>
                <c:pt idx="146">
                  <c:v>527.23800000000006</c:v>
                </c:pt>
                <c:pt idx="147">
                  <c:v>523.67550000000006</c:v>
                </c:pt>
                <c:pt idx="148">
                  <c:v>520.27049999999997</c:v>
                </c:pt>
                <c:pt idx="149">
                  <c:v>516.89549999999997</c:v>
                </c:pt>
                <c:pt idx="150">
                  <c:v>513.45000000000005</c:v>
                </c:pt>
                <c:pt idx="151">
                  <c:v>510.351</c:v>
                </c:pt>
                <c:pt idx="152">
                  <c:v>507.02549999999997</c:v>
                </c:pt>
                <c:pt idx="153">
                  <c:v>503.964</c:v>
                </c:pt>
                <c:pt idx="154">
                  <c:v>501.13350000000003</c:v>
                </c:pt>
                <c:pt idx="155">
                  <c:v>497.8125</c:v>
                </c:pt>
                <c:pt idx="156">
                  <c:v>495.19350000000003</c:v>
                </c:pt>
                <c:pt idx="157">
                  <c:v>492.11249999999995</c:v>
                </c:pt>
                <c:pt idx="158">
                  <c:v>489.339</c:v>
                </c:pt>
                <c:pt idx="159">
                  <c:v>486.32549999999998</c:v>
                </c:pt>
                <c:pt idx="160">
                  <c:v>483.52049999999997</c:v>
                </c:pt>
                <c:pt idx="161">
                  <c:v>480.726</c:v>
                </c:pt>
                <c:pt idx="162">
                  <c:v>477.77549999999997</c:v>
                </c:pt>
                <c:pt idx="163">
                  <c:v>475.11300000000006</c:v>
                </c:pt>
                <c:pt idx="164">
                  <c:v>472.24950000000001</c:v>
                </c:pt>
                <c:pt idx="165">
                  <c:v>453.339</c:v>
                </c:pt>
                <c:pt idx="166">
                  <c:v>449.52750000000003</c:v>
                </c:pt>
                <c:pt idx="167">
                  <c:v>447.24599999999998</c:v>
                </c:pt>
                <c:pt idx="168">
                  <c:v>445.34249999999997</c:v>
                </c:pt>
                <c:pt idx="169">
                  <c:v>443.20049999999998</c:v>
                </c:pt>
                <c:pt idx="170">
                  <c:v>441.21749999999997</c:v>
                </c:pt>
                <c:pt idx="171">
                  <c:v>439.07549999999998</c:v>
                </c:pt>
                <c:pt idx="172">
                  <c:v>437.05649999999997</c:v>
                </c:pt>
                <c:pt idx="173">
                  <c:v>435.048</c:v>
                </c:pt>
                <c:pt idx="174">
                  <c:v>432.91200000000003</c:v>
                </c:pt>
                <c:pt idx="175">
                  <c:v>430.99650000000003</c:v>
                </c:pt>
                <c:pt idx="176">
                  <c:v>428.91300000000001</c:v>
                </c:pt>
                <c:pt idx="177">
                  <c:v>426.96749999999997</c:v>
                </c:pt>
                <c:pt idx="178">
                  <c:v>425.14050000000003</c:v>
                </c:pt>
                <c:pt idx="179">
                  <c:v>422.97300000000007</c:v>
                </c:pt>
                <c:pt idx="180">
                  <c:v>421.24650000000003</c:v>
                </c:pt>
                <c:pt idx="181">
                  <c:v>419.25</c:v>
                </c:pt>
                <c:pt idx="182">
                  <c:v>417.411</c:v>
                </c:pt>
                <c:pt idx="183">
                  <c:v>415.42499999999995</c:v>
                </c:pt>
                <c:pt idx="184">
                  <c:v>413.56499999999994</c:v>
                </c:pt>
                <c:pt idx="185">
                  <c:v>411.726</c:v>
                </c:pt>
                <c:pt idx="186">
                  <c:v>409.79999999999995</c:v>
                </c:pt>
                <c:pt idx="187">
                  <c:v>408.036</c:v>
                </c:pt>
                <c:pt idx="188">
                  <c:v>406.15049999999997</c:v>
                </c:pt>
                <c:pt idx="189">
                  <c:v>404.37150000000003</c:v>
                </c:pt>
                <c:pt idx="190">
                  <c:v>402.714</c:v>
                </c:pt>
                <c:pt idx="191">
                  <c:v>400.78199999999998</c:v>
                </c:pt>
                <c:pt idx="192">
                  <c:v>399.22950000000003</c:v>
                </c:pt>
                <c:pt idx="193">
                  <c:v>397.42499999999995</c:v>
                </c:pt>
                <c:pt idx="194">
                  <c:v>395.80649999999997</c:v>
                </c:pt>
                <c:pt idx="195">
                  <c:v>394.04999999999995</c:v>
                </c:pt>
                <c:pt idx="196">
                  <c:v>392.40750000000003</c:v>
                </c:pt>
                <c:pt idx="197">
                  <c:v>390.786</c:v>
                </c:pt>
                <c:pt idx="198">
                  <c:v>389.08799999999997</c:v>
                </c:pt>
                <c:pt idx="199">
                  <c:v>387.54449999999997</c:v>
                </c:pt>
                <c:pt idx="200">
                  <c:v>385.875</c:v>
                </c:pt>
                <c:pt idx="201">
                  <c:v>384.327</c:v>
                </c:pt>
                <c:pt idx="202">
                  <c:v>382.875</c:v>
                </c:pt>
                <c:pt idx="203">
                  <c:v>381.17400000000004</c:v>
                </c:pt>
                <c:pt idx="204">
                  <c:v>379.803</c:v>
                </c:pt>
                <c:pt idx="205">
                  <c:v>378.22500000000002</c:v>
                </c:pt>
                <c:pt idx="206">
                  <c:v>376.791</c:v>
                </c:pt>
                <c:pt idx="207">
                  <c:v>375.22500000000002</c:v>
                </c:pt>
                <c:pt idx="208">
                  <c:v>373.77750000000003</c:v>
                </c:pt>
                <c:pt idx="209">
                  <c:v>372.315</c:v>
                </c:pt>
                <c:pt idx="210">
                  <c:v>370.78800000000001</c:v>
                </c:pt>
                <c:pt idx="211">
                  <c:v>369.399</c:v>
                </c:pt>
                <c:pt idx="212">
                  <c:v>367.90049999999997</c:v>
                </c:pt>
                <c:pt idx="213">
                  <c:v>366.47249999999997</c:v>
                </c:pt>
                <c:pt idx="214">
                  <c:v>365.10449999999997</c:v>
                </c:pt>
                <c:pt idx="215">
                  <c:v>363.59550000000002</c:v>
                </c:pt>
                <c:pt idx="216">
                  <c:v>362.274</c:v>
                </c:pt>
                <c:pt idx="217">
                  <c:v>360.81299999999999</c:v>
                </c:pt>
                <c:pt idx="218">
                  <c:v>359.47949999999997</c:v>
                </c:pt>
                <c:pt idx="219">
                  <c:v>358.03800000000001</c:v>
                </c:pt>
                <c:pt idx="220">
                  <c:v>356.661</c:v>
                </c:pt>
                <c:pt idx="221">
                  <c:v>355.29449999999997</c:v>
                </c:pt>
                <c:pt idx="222">
                  <c:v>353.87549999999999</c:v>
                </c:pt>
                <c:pt idx="223">
                  <c:v>352.56</c:v>
                </c:pt>
                <c:pt idx="224">
                  <c:v>351.15</c:v>
                </c:pt>
                <c:pt idx="225">
                  <c:v>349.815</c:v>
                </c:pt>
                <c:pt idx="226">
                  <c:v>348.55650000000003</c:v>
                </c:pt>
                <c:pt idx="227">
                  <c:v>347.07599999999996</c:v>
                </c:pt>
                <c:pt idx="228">
                  <c:v>345.89550000000003</c:v>
                </c:pt>
                <c:pt idx="229">
                  <c:v>344.51250000000005</c:v>
                </c:pt>
                <c:pt idx="230">
                  <c:v>343.22249999999997</c:v>
                </c:pt>
                <c:pt idx="231">
                  <c:v>341.86199999999997</c:v>
                </c:pt>
                <c:pt idx="232">
                  <c:v>340.56</c:v>
                </c:pt>
                <c:pt idx="233">
                  <c:v>339.24149999999997</c:v>
                </c:pt>
                <c:pt idx="234">
                  <c:v>337.90049999999997</c:v>
                </c:pt>
                <c:pt idx="235">
                  <c:v>336.62850000000003</c:v>
                </c:pt>
                <c:pt idx="236">
                  <c:v>335.27549999999997</c:v>
                </c:pt>
                <c:pt idx="237">
                  <c:v>334.00350000000003</c:v>
                </c:pt>
                <c:pt idx="238">
                  <c:v>332.78249999999997</c:v>
                </c:pt>
                <c:pt idx="239">
                  <c:v>331.38</c:v>
                </c:pt>
                <c:pt idx="240">
                  <c:v>330.24149999999997</c:v>
                </c:pt>
                <c:pt idx="241">
                  <c:v>328.91250000000002</c:v>
                </c:pt>
                <c:pt idx="242">
                  <c:v>327.738</c:v>
                </c:pt>
                <c:pt idx="243">
                  <c:v>326.4255</c:v>
                </c:pt>
                <c:pt idx="244">
                  <c:v>325.209</c:v>
                </c:pt>
                <c:pt idx="245">
                  <c:v>324.012</c:v>
                </c:pt>
                <c:pt idx="246">
                  <c:v>322.72500000000002</c:v>
                </c:pt>
                <c:pt idx="247">
                  <c:v>321.55650000000003</c:v>
                </c:pt>
                <c:pt idx="248">
                  <c:v>320.262</c:v>
                </c:pt>
                <c:pt idx="249">
                  <c:v>319.077</c:v>
                </c:pt>
                <c:pt idx="250">
                  <c:v>317.94</c:v>
                </c:pt>
                <c:pt idx="251">
                  <c:v>316.59300000000002</c:v>
                </c:pt>
                <c:pt idx="252">
                  <c:v>315.50850000000003</c:v>
                </c:pt>
                <c:pt idx="253">
                  <c:v>314.238</c:v>
                </c:pt>
                <c:pt idx="254">
                  <c:v>313.065</c:v>
                </c:pt>
                <c:pt idx="255">
                  <c:v>311.78700000000003</c:v>
                </c:pt>
                <c:pt idx="256">
                  <c:v>310.584</c:v>
                </c:pt>
                <c:pt idx="257">
                  <c:v>309.399</c:v>
                </c:pt>
                <c:pt idx="258">
                  <c:v>308.12549999999999</c:v>
                </c:pt>
                <c:pt idx="259">
                  <c:v>307.22249999999997</c:v>
                </c:pt>
                <c:pt idx="260">
                  <c:v>306.012</c:v>
                </c:pt>
                <c:pt idx="261">
                  <c:v>304.536</c:v>
                </c:pt>
                <c:pt idx="262">
                  <c:v>303.363</c:v>
                </c:pt>
                <c:pt idx="263">
                  <c:v>302.09550000000002</c:v>
                </c:pt>
                <c:pt idx="264">
                  <c:v>300.99149999999997</c:v>
                </c:pt>
                <c:pt idx="265">
                  <c:v>299.76300000000003</c:v>
                </c:pt>
                <c:pt idx="266">
                  <c:v>298.64550000000003</c:v>
                </c:pt>
                <c:pt idx="267">
                  <c:v>297.41250000000002</c:v>
                </c:pt>
                <c:pt idx="268">
                  <c:v>296.31</c:v>
                </c:pt>
                <c:pt idx="269">
                  <c:v>294.99149999999997</c:v>
                </c:pt>
                <c:pt idx="270">
                  <c:v>293.625</c:v>
                </c:pt>
                <c:pt idx="271">
                  <c:v>292.428</c:v>
                </c:pt>
                <c:pt idx="272">
                  <c:v>291.1755</c:v>
                </c:pt>
                <c:pt idx="273">
                  <c:v>289.959</c:v>
                </c:pt>
                <c:pt idx="274">
                  <c:v>288.87149999999997</c:v>
                </c:pt>
                <c:pt idx="275">
                  <c:v>287.57100000000003</c:v>
                </c:pt>
                <c:pt idx="276">
                  <c:v>286.56</c:v>
                </c:pt>
                <c:pt idx="277">
                  <c:v>285.34950000000003</c:v>
                </c:pt>
                <c:pt idx="278">
                  <c:v>284.262</c:v>
                </c:pt>
                <c:pt idx="279">
                  <c:v>283.04999999999995</c:v>
                </c:pt>
                <c:pt idx="280">
                  <c:v>281.94</c:v>
                </c:pt>
                <c:pt idx="281">
                  <c:v>280.839</c:v>
                </c:pt>
                <c:pt idx="282">
                  <c:v>279.66300000000001</c:v>
                </c:pt>
                <c:pt idx="283">
                  <c:v>278.589</c:v>
                </c:pt>
                <c:pt idx="284">
                  <c:v>277.93799999999999</c:v>
                </c:pt>
                <c:pt idx="285">
                  <c:v>277.149</c:v>
                </c:pt>
                <c:pt idx="286">
                  <c:v>276.15749999999997</c:v>
                </c:pt>
                <c:pt idx="287">
                  <c:v>275.16899999999998</c:v>
                </c:pt>
                <c:pt idx="288">
                  <c:v>274.37850000000003</c:v>
                </c:pt>
                <c:pt idx="289">
                  <c:v>273.49950000000001</c:v>
                </c:pt>
                <c:pt idx="290">
                  <c:v>272.709</c:v>
                </c:pt>
                <c:pt idx="291">
                  <c:v>271.875</c:v>
                </c:pt>
                <c:pt idx="292">
                  <c:v>271.101</c:v>
                </c:pt>
                <c:pt idx="293">
                  <c:v>270.303</c:v>
                </c:pt>
                <c:pt idx="294">
                  <c:v>269.48699999999997</c:v>
                </c:pt>
                <c:pt idx="295">
                  <c:v>268.71750000000003</c:v>
                </c:pt>
                <c:pt idx="296">
                  <c:v>267.9255</c:v>
                </c:pt>
                <c:pt idx="297">
                  <c:v>267.14550000000003</c:v>
                </c:pt>
                <c:pt idx="298">
                  <c:v>266.44349999999997</c:v>
                </c:pt>
                <c:pt idx="299">
                  <c:v>265.55399999999997</c:v>
                </c:pt>
                <c:pt idx="300">
                  <c:v>264.85950000000003</c:v>
                </c:pt>
                <c:pt idx="301">
                  <c:v>264.03750000000002</c:v>
                </c:pt>
                <c:pt idx="302">
                  <c:v>263.274</c:v>
                </c:pt>
                <c:pt idx="303">
                  <c:v>262.64999999999998</c:v>
                </c:pt>
                <c:pt idx="304">
                  <c:v>261.726</c:v>
                </c:pt>
                <c:pt idx="305">
                  <c:v>260.988</c:v>
                </c:pt>
                <c:pt idx="306">
                  <c:v>260.22450000000003</c:v>
                </c:pt>
                <c:pt idx="307">
                  <c:v>259.56</c:v>
                </c:pt>
                <c:pt idx="308">
                  <c:v>258.85050000000001</c:v>
                </c:pt>
                <c:pt idx="309">
                  <c:v>258.18150000000003</c:v>
                </c:pt>
                <c:pt idx="310">
                  <c:v>257.553</c:v>
                </c:pt>
                <c:pt idx="311">
                  <c:v>256.86150000000004</c:v>
                </c:pt>
                <c:pt idx="312">
                  <c:v>256.27050000000003</c:v>
                </c:pt>
                <c:pt idx="313">
                  <c:v>255.58799999999999</c:v>
                </c:pt>
                <c:pt idx="314">
                  <c:v>254.976</c:v>
                </c:pt>
                <c:pt idx="315">
                  <c:v>254.31299999999999</c:v>
                </c:pt>
                <c:pt idx="316">
                  <c:v>253.6695</c:v>
                </c:pt>
                <c:pt idx="317">
                  <c:v>253.053</c:v>
                </c:pt>
                <c:pt idx="318">
                  <c:v>252.375</c:v>
                </c:pt>
                <c:pt idx="319">
                  <c:v>251.78249999999997</c:v>
                </c:pt>
                <c:pt idx="320">
                  <c:v>251.10000000000002</c:v>
                </c:pt>
                <c:pt idx="321">
                  <c:v>250.5</c:v>
                </c:pt>
                <c:pt idx="322">
                  <c:v>249.9195</c:v>
                </c:pt>
                <c:pt idx="323">
                  <c:v>249.255</c:v>
                </c:pt>
                <c:pt idx="324">
                  <c:v>248.709</c:v>
                </c:pt>
                <c:pt idx="325">
                  <c:v>248.08799999999999</c:v>
                </c:pt>
                <c:pt idx="326">
                  <c:v>247.512</c:v>
                </c:pt>
                <c:pt idx="327">
                  <c:v>246.91200000000001</c:v>
                </c:pt>
                <c:pt idx="328">
                  <c:v>246.351</c:v>
                </c:pt>
                <c:pt idx="329">
                  <c:v>245.78249999999997</c:v>
                </c:pt>
                <c:pt idx="330">
                  <c:v>245.22450000000001</c:v>
                </c:pt>
                <c:pt idx="331">
                  <c:v>244.68150000000003</c:v>
                </c:pt>
                <c:pt idx="332">
                  <c:v>244.125</c:v>
                </c:pt>
                <c:pt idx="333">
                  <c:v>243.60449999999997</c:v>
                </c:pt>
                <c:pt idx="334">
                  <c:v>243.10950000000003</c:v>
                </c:pt>
                <c:pt idx="335">
                  <c:v>242.5575</c:v>
                </c:pt>
                <c:pt idx="336">
                  <c:v>242.09250000000003</c:v>
                </c:pt>
                <c:pt idx="337">
                  <c:v>241.57500000000002</c:v>
                </c:pt>
                <c:pt idx="338">
                  <c:v>241.101</c:v>
                </c:pt>
                <c:pt idx="339">
                  <c:v>240.61199999999997</c:v>
                </c:pt>
                <c:pt idx="340">
                  <c:v>240.15749999999997</c:v>
                </c:pt>
                <c:pt idx="341">
                  <c:v>239.697</c:v>
                </c:pt>
                <c:pt idx="342">
                  <c:v>239.22450000000001</c:v>
                </c:pt>
                <c:pt idx="343">
                  <c:v>238.815</c:v>
                </c:pt>
                <c:pt idx="344">
                  <c:v>238.35000000000002</c:v>
                </c:pt>
                <c:pt idx="345">
                  <c:v>237.94349999999997</c:v>
                </c:pt>
                <c:pt idx="346">
                  <c:v>237.5445</c:v>
                </c:pt>
                <c:pt idx="347">
                  <c:v>237.09300000000002</c:v>
                </c:pt>
                <c:pt idx="348">
                  <c:v>236.7585</c:v>
                </c:pt>
                <c:pt idx="349">
                  <c:v>236.33699999999999</c:v>
                </c:pt>
                <c:pt idx="350">
                  <c:v>235.959</c:v>
                </c:pt>
                <c:pt idx="351">
                  <c:v>235.58699999999999</c:v>
                </c:pt>
                <c:pt idx="352">
                  <c:v>235.209</c:v>
                </c:pt>
                <c:pt idx="353">
                  <c:v>234.85950000000003</c:v>
                </c:pt>
                <c:pt idx="354">
                  <c:v>234.47550000000001</c:v>
                </c:pt>
                <c:pt idx="355">
                  <c:v>234.15749999999997</c:v>
                </c:pt>
                <c:pt idx="356">
                  <c:v>233.8005</c:v>
                </c:pt>
                <c:pt idx="357">
                  <c:v>233.46750000000003</c:v>
                </c:pt>
                <c:pt idx="358">
                  <c:v>233.14049999999997</c:v>
                </c:pt>
                <c:pt idx="359">
                  <c:v>232.82400000000001</c:v>
                </c:pt>
                <c:pt idx="360">
                  <c:v>232.512</c:v>
                </c:pt>
                <c:pt idx="361">
                  <c:v>232.18799999999999</c:v>
                </c:pt>
                <c:pt idx="362">
                  <c:v>231.89550000000003</c:v>
                </c:pt>
                <c:pt idx="363">
                  <c:v>231.58799999999999</c:v>
                </c:pt>
                <c:pt idx="364">
                  <c:v>231.291</c:v>
                </c:pt>
                <c:pt idx="365">
                  <c:v>231.012</c:v>
                </c:pt>
                <c:pt idx="366">
                  <c:v>230.71199999999999</c:v>
                </c:pt>
                <c:pt idx="367">
                  <c:v>230.4195</c:v>
                </c:pt>
                <c:pt idx="368">
                  <c:v>230.17499999999998</c:v>
                </c:pt>
                <c:pt idx="369">
                  <c:v>229.899</c:v>
                </c:pt>
                <c:pt idx="370">
                  <c:v>229.6695</c:v>
                </c:pt>
                <c:pt idx="371">
                  <c:v>229.41899999999998</c:v>
                </c:pt>
                <c:pt idx="372">
                  <c:v>229.209</c:v>
                </c:pt>
                <c:pt idx="373">
                  <c:v>228.98699999999997</c:v>
                </c:pt>
                <c:pt idx="374">
                  <c:v>228.786</c:v>
                </c:pt>
                <c:pt idx="375">
                  <c:v>228.5745</c:v>
                </c:pt>
                <c:pt idx="376">
                  <c:v>228.351</c:v>
                </c:pt>
                <c:pt idx="377">
                  <c:v>228.14550000000003</c:v>
                </c:pt>
                <c:pt idx="378">
                  <c:v>227.93700000000001</c:v>
                </c:pt>
                <c:pt idx="379">
                  <c:v>227.7225</c:v>
                </c:pt>
                <c:pt idx="380">
                  <c:v>227.47500000000002</c:v>
                </c:pt>
                <c:pt idx="381">
                  <c:v>227.262</c:v>
                </c:pt>
                <c:pt idx="382">
                  <c:v>227.06849999999997</c:v>
                </c:pt>
                <c:pt idx="383">
                  <c:v>226.821</c:v>
                </c:pt>
                <c:pt idx="384">
                  <c:v>226.6335</c:v>
                </c:pt>
                <c:pt idx="385">
                  <c:v>226.43700000000001</c:v>
                </c:pt>
                <c:pt idx="386">
                  <c:v>226.23450000000003</c:v>
                </c:pt>
                <c:pt idx="387">
                  <c:v>226.02449999999999</c:v>
                </c:pt>
                <c:pt idx="388">
                  <c:v>225.8475</c:v>
                </c:pt>
                <c:pt idx="389">
                  <c:v>225.62850000000003</c:v>
                </c:pt>
                <c:pt idx="390">
                  <c:v>225.42449999999997</c:v>
                </c:pt>
                <c:pt idx="391">
                  <c:v>225.21750000000003</c:v>
                </c:pt>
                <c:pt idx="392">
                  <c:v>225</c:v>
                </c:pt>
                <c:pt idx="393">
                  <c:v>224.78249999999997</c:v>
                </c:pt>
                <c:pt idx="394">
                  <c:v>224.565</c:v>
                </c:pt>
                <c:pt idx="395">
                  <c:v>224.33100000000002</c:v>
                </c:pt>
                <c:pt idx="396">
                  <c:v>224.10449999999997</c:v>
                </c:pt>
                <c:pt idx="397">
                  <c:v>223.90049999999999</c:v>
                </c:pt>
                <c:pt idx="398">
                  <c:v>223.69349999999997</c:v>
                </c:pt>
                <c:pt idx="399">
                  <c:v>223.45050000000003</c:v>
                </c:pt>
                <c:pt idx="400">
                  <c:v>223.23450000000003</c:v>
                </c:pt>
                <c:pt idx="401">
                  <c:v>223.01549999999997</c:v>
                </c:pt>
                <c:pt idx="402">
                  <c:v>222.82500000000002</c:v>
                </c:pt>
                <c:pt idx="403">
                  <c:v>222.5805</c:v>
                </c:pt>
                <c:pt idx="404">
                  <c:v>222.40049999999999</c:v>
                </c:pt>
                <c:pt idx="405">
                  <c:v>222.14550000000003</c:v>
                </c:pt>
                <c:pt idx="406">
                  <c:v>221.928</c:v>
                </c:pt>
                <c:pt idx="407">
                  <c:v>221.715</c:v>
                </c:pt>
                <c:pt idx="408">
                  <c:v>221.565</c:v>
                </c:pt>
                <c:pt idx="409">
                  <c:v>221.29949999999997</c:v>
                </c:pt>
                <c:pt idx="410">
                  <c:v>221.0805</c:v>
                </c:pt>
                <c:pt idx="411">
                  <c:v>220.79999999999998</c:v>
                </c:pt>
                <c:pt idx="412">
                  <c:v>220.5975</c:v>
                </c:pt>
                <c:pt idx="413">
                  <c:v>220.3305</c:v>
                </c:pt>
                <c:pt idx="414">
                  <c:v>220.15049999999999</c:v>
                </c:pt>
                <c:pt idx="415">
                  <c:v>219.89550000000003</c:v>
                </c:pt>
                <c:pt idx="416">
                  <c:v>219.62549999999999</c:v>
                </c:pt>
                <c:pt idx="417">
                  <c:v>219.459</c:v>
                </c:pt>
                <c:pt idx="418">
                  <c:v>219.21750000000003</c:v>
                </c:pt>
                <c:pt idx="419">
                  <c:v>219</c:v>
                </c:pt>
                <c:pt idx="420">
                  <c:v>218.78249999999997</c:v>
                </c:pt>
                <c:pt idx="421">
                  <c:v>218.52449999999999</c:v>
                </c:pt>
                <c:pt idx="422">
                  <c:v>218.3475</c:v>
                </c:pt>
                <c:pt idx="423">
                  <c:v>218.10000000000002</c:v>
                </c:pt>
                <c:pt idx="424">
                  <c:v>217.887</c:v>
                </c:pt>
                <c:pt idx="425">
                  <c:v>217.6695</c:v>
                </c:pt>
                <c:pt idx="426">
                  <c:v>217.45050000000003</c:v>
                </c:pt>
                <c:pt idx="427">
                  <c:v>217.2585</c:v>
                </c:pt>
                <c:pt idx="428">
                  <c:v>217.04999999999998</c:v>
                </c:pt>
                <c:pt idx="429">
                  <c:v>216.822</c:v>
                </c:pt>
                <c:pt idx="430">
                  <c:v>216.53249999999997</c:v>
                </c:pt>
                <c:pt idx="431">
                  <c:v>216.48149999999998</c:v>
                </c:pt>
                <c:pt idx="432">
                  <c:v>216.387</c:v>
                </c:pt>
                <c:pt idx="433">
                  <c:v>216.29999999999998</c:v>
                </c:pt>
                <c:pt idx="434">
                  <c:v>216.12149999999997</c:v>
                </c:pt>
                <c:pt idx="435">
                  <c:v>215.95050000000003</c:v>
                </c:pt>
                <c:pt idx="436">
                  <c:v>215.7585</c:v>
                </c:pt>
                <c:pt idx="437">
                  <c:v>215.565</c:v>
                </c:pt>
                <c:pt idx="438">
                  <c:v>215.37450000000001</c:v>
                </c:pt>
                <c:pt idx="439">
                  <c:v>215.1525</c:v>
                </c:pt>
                <c:pt idx="440">
                  <c:v>214.95000000000002</c:v>
                </c:pt>
                <c:pt idx="441">
                  <c:v>214.791</c:v>
                </c:pt>
                <c:pt idx="442">
                  <c:v>214.5975</c:v>
                </c:pt>
                <c:pt idx="443">
                  <c:v>214.39350000000002</c:v>
                </c:pt>
                <c:pt idx="444">
                  <c:v>214.23450000000003</c:v>
                </c:pt>
                <c:pt idx="445">
                  <c:v>214.04999999999998</c:v>
                </c:pt>
                <c:pt idx="446">
                  <c:v>213.87149999999997</c:v>
                </c:pt>
                <c:pt idx="447">
                  <c:v>213.67499999999998</c:v>
                </c:pt>
                <c:pt idx="448">
                  <c:v>213.5085</c:v>
                </c:pt>
                <c:pt idx="449">
                  <c:v>213.339</c:v>
                </c:pt>
                <c:pt idx="450">
                  <c:v>213.14999999999998</c:v>
                </c:pt>
                <c:pt idx="451">
                  <c:v>212.976</c:v>
                </c:pt>
                <c:pt idx="452">
                  <c:v>212.77499999999998</c:v>
                </c:pt>
                <c:pt idx="453">
                  <c:v>212.78249999999997</c:v>
                </c:pt>
                <c:pt idx="454">
                  <c:v>212.80650000000003</c:v>
                </c:pt>
                <c:pt idx="455">
                  <c:v>212.81849999999997</c:v>
                </c:pt>
                <c:pt idx="456">
                  <c:v>212.73450000000003</c:v>
                </c:pt>
                <c:pt idx="457">
                  <c:v>212.625</c:v>
                </c:pt>
                <c:pt idx="458">
                  <c:v>212.44349999999997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90-45FF-823D-857AD61FB73F}"/>
            </c:ext>
          </c:extLst>
        </c:ser>
        <c:ser>
          <c:idx val="10"/>
          <c:order val="10"/>
          <c:tx>
            <c:strRef>
              <c:f>'FPSO1 Otim'!$M$5</c:f>
              <c:strCache>
                <c:ptCount val="1"/>
                <c:pt idx="0">
                  <c:v>P11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Otim'!$M$6:$M$733</c:f>
              <c:numCache>
                <c:formatCode>General</c:formatCode>
                <c:ptCount val="728"/>
                <c:pt idx="0">
                  <c:v>1561.2449999999999</c:v>
                </c:pt>
                <c:pt idx="1">
                  <c:v>3000.5099999999998</c:v>
                </c:pt>
                <c:pt idx="2">
                  <c:v>2706.3</c:v>
                </c:pt>
                <c:pt idx="3">
                  <c:v>2533.9349999999999</c:v>
                </c:pt>
                <c:pt idx="4">
                  <c:v>2349.5249999999996</c:v>
                </c:pt>
                <c:pt idx="5">
                  <c:v>2159.2950000000001</c:v>
                </c:pt>
                <c:pt idx="6">
                  <c:v>2004.2550000000001</c:v>
                </c:pt>
                <c:pt idx="7">
                  <c:v>1874.4299999999998</c:v>
                </c:pt>
                <c:pt idx="8">
                  <c:v>1780.98</c:v>
                </c:pt>
                <c:pt idx="9">
                  <c:v>1712.46</c:v>
                </c:pt>
                <c:pt idx="10">
                  <c:v>1652.28</c:v>
                </c:pt>
                <c:pt idx="11">
                  <c:v>1606.9949999999999</c:v>
                </c:pt>
                <c:pt idx="12">
                  <c:v>1563.54</c:v>
                </c:pt>
                <c:pt idx="13">
                  <c:v>1522.9499999999998</c:v>
                </c:pt>
                <c:pt idx="14">
                  <c:v>1501.4549999999999</c:v>
                </c:pt>
                <c:pt idx="15">
                  <c:v>1455.1275000000001</c:v>
                </c:pt>
                <c:pt idx="16">
                  <c:v>1418.6399999999999</c:v>
                </c:pt>
                <c:pt idx="17">
                  <c:v>1379.25</c:v>
                </c:pt>
                <c:pt idx="18">
                  <c:v>1346.1195</c:v>
                </c:pt>
                <c:pt idx="19">
                  <c:v>1313.1465000000001</c:v>
                </c:pt>
                <c:pt idx="20">
                  <c:v>1285.098</c:v>
                </c:pt>
                <c:pt idx="21">
                  <c:v>1259.3775000000001</c:v>
                </c:pt>
                <c:pt idx="22">
                  <c:v>1234.4445000000001</c:v>
                </c:pt>
                <c:pt idx="23">
                  <c:v>1213.527</c:v>
                </c:pt>
                <c:pt idx="24">
                  <c:v>1192.6995000000002</c:v>
                </c:pt>
                <c:pt idx="25">
                  <c:v>1175.5529999999999</c:v>
                </c:pt>
                <c:pt idx="26">
                  <c:v>1159.6845000000001</c:v>
                </c:pt>
                <c:pt idx="27">
                  <c:v>1142.076</c:v>
                </c:pt>
                <c:pt idx="28">
                  <c:v>1128.9675</c:v>
                </c:pt>
                <c:pt idx="29">
                  <c:v>1114.4625000000001</c:v>
                </c:pt>
                <c:pt idx="30">
                  <c:v>1101.9974999999999</c:v>
                </c:pt>
                <c:pt idx="31">
                  <c:v>1089.306</c:v>
                </c:pt>
                <c:pt idx="32">
                  <c:v>1078.3274999999999</c:v>
                </c:pt>
                <c:pt idx="33">
                  <c:v>1068.1695</c:v>
                </c:pt>
                <c:pt idx="34">
                  <c:v>1058.0369999999998</c:v>
                </c:pt>
                <c:pt idx="35">
                  <c:v>1052.19</c:v>
                </c:pt>
                <c:pt idx="36">
                  <c:v>1041.7244999999998</c:v>
                </c:pt>
                <c:pt idx="37">
                  <c:v>1035.0975000000001</c:v>
                </c:pt>
                <c:pt idx="38">
                  <c:v>1028.0205000000001</c:v>
                </c:pt>
                <c:pt idx="39">
                  <c:v>1019.8934999999999</c:v>
                </c:pt>
                <c:pt idx="40">
                  <c:v>1013.595</c:v>
                </c:pt>
                <c:pt idx="41">
                  <c:v>1006.4939999999999</c:v>
                </c:pt>
                <c:pt idx="42">
                  <c:v>1000.2405</c:v>
                </c:pt>
                <c:pt idx="43">
                  <c:v>993.70650000000001</c:v>
                </c:pt>
                <c:pt idx="44">
                  <c:v>987.84750000000008</c:v>
                </c:pt>
                <c:pt idx="45">
                  <c:v>982.23450000000003</c:v>
                </c:pt>
                <c:pt idx="46">
                  <c:v>976.55550000000005</c:v>
                </c:pt>
                <c:pt idx="47">
                  <c:v>971.58299999999997</c:v>
                </c:pt>
                <c:pt idx="48">
                  <c:v>966.2940000000001</c:v>
                </c:pt>
                <c:pt idx="49">
                  <c:v>956.80049999999994</c:v>
                </c:pt>
                <c:pt idx="50">
                  <c:v>951.72600000000011</c:v>
                </c:pt>
                <c:pt idx="51">
                  <c:v>946.64850000000001</c:v>
                </c:pt>
                <c:pt idx="52">
                  <c:v>942.32100000000014</c:v>
                </c:pt>
                <c:pt idx="53">
                  <c:v>937.29299999999989</c:v>
                </c:pt>
                <c:pt idx="54">
                  <c:v>932.83049999999992</c:v>
                </c:pt>
                <c:pt idx="55">
                  <c:v>928.21800000000007</c:v>
                </c:pt>
                <c:pt idx="56">
                  <c:v>924.08999999999992</c:v>
                </c:pt>
                <c:pt idx="57">
                  <c:v>920.0625</c:v>
                </c:pt>
                <c:pt idx="58">
                  <c:v>915.77550000000008</c:v>
                </c:pt>
                <c:pt idx="59">
                  <c:v>911.70299999999997</c:v>
                </c:pt>
                <c:pt idx="60">
                  <c:v>907.3755000000001</c:v>
                </c:pt>
                <c:pt idx="61">
                  <c:v>894.55649999999991</c:v>
                </c:pt>
                <c:pt idx="62">
                  <c:v>890.10450000000003</c:v>
                </c:pt>
                <c:pt idx="63">
                  <c:v>885.99749999999995</c:v>
                </c:pt>
                <c:pt idx="64">
                  <c:v>882.34500000000003</c:v>
                </c:pt>
                <c:pt idx="65">
                  <c:v>877.34999999999991</c:v>
                </c:pt>
                <c:pt idx="66">
                  <c:v>873.13350000000014</c:v>
                </c:pt>
                <c:pt idx="67">
                  <c:v>868.77449999999999</c:v>
                </c:pt>
                <c:pt idx="68">
                  <c:v>864.74399999999991</c:v>
                </c:pt>
                <c:pt idx="69">
                  <c:v>860.44350000000009</c:v>
                </c:pt>
                <c:pt idx="70">
                  <c:v>854.89949999999999</c:v>
                </c:pt>
                <c:pt idx="71">
                  <c:v>850.05899999999997</c:v>
                </c:pt>
                <c:pt idx="72">
                  <c:v>844.93050000000005</c:v>
                </c:pt>
                <c:pt idx="73">
                  <c:v>840.1395</c:v>
                </c:pt>
                <c:pt idx="74">
                  <c:v>835.6395</c:v>
                </c:pt>
                <c:pt idx="75">
                  <c:v>830.20949999999993</c:v>
                </c:pt>
                <c:pt idx="76">
                  <c:v>825.85349999999994</c:v>
                </c:pt>
                <c:pt idx="77">
                  <c:v>820.7940000000001</c:v>
                </c:pt>
                <c:pt idx="78">
                  <c:v>816.29099999999994</c:v>
                </c:pt>
                <c:pt idx="79">
                  <c:v>811.36800000000005</c:v>
                </c:pt>
                <c:pt idx="80">
                  <c:v>806.78250000000003</c:v>
                </c:pt>
                <c:pt idx="81">
                  <c:v>802.2405</c:v>
                </c:pt>
                <c:pt idx="82">
                  <c:v>797.5184999999999</c:v>
                </c:pt>
                <c:pt idx="83">
                  <c:v>793.2405</c:v>
                </c:pt>
                <c:pt idx="84">
                  <c:v>788.65050000000008</c:v>
                </c:pt>
                <c:pt idx="85">
                  <c:v>784.37249999999995</c:v>
                </c:pt>
                <c:pt idx="86">
                  <c:v>780.375</c:v>
                </c:pt>
                <c:pt idx="87">
                  <c:v>775.72050000000013</c:v>
                </c:pt>
                <c:pt idx="88">
                  <c:v>772.06500000000005</c:v>
                </c:pt>
                <c:pt idx="89">
                  <c:v>767.79300000000001</c:v>
                </c:pt>
                <c:pt idx="90">
                  <c:v>763.92899999999997</c:v>
                </c:pt>
                <c:pt idx="91">
                  <c:v>759.75</c:v>
                </c:pt>
                <c:pt idx="92">
                  <c:v>755.86649999999997</c:v>
                </c:pt>
                <c:pt idx="93">
                  <c:v>752.05649999999991</c:v>
                </c:pt>
                <c:pt idx="94">
                  <c:v>748.125</c:v>
                </c:pt>
                <c:pt idx="95">
                  <c:v>744.60450000000003</c:v>
                </c:pt>
                <c:pt idx="96">
                  <c:v>740.80050000000006</c:v>
                </c:pt>
                <c:pt idx="97">
                  <c:v>737.298</c:v>
                </c:pt>
                <c:pt idx="98">
                  <c:v>733.86300000000006</c:v>
                </c:pt>
                <c:pt idx="99">
                  <c:v>729.99599999999998</c:v>
                </c:pt>
                <c:pt idx="100">
                  <c:v>726.71399999999994</c:v>
                </c:pt>
                <c:pt idx="101">
                  <c:v>723.06299999999999</c:v>
                </c:pt>
                <c:pt idx="102">
                  <c:v>719.79449999999997</c:v>
                </c:pt>
                <c:pt idx="103">
                  <c:v>716.27549999999997</c:v>
                </c:pt>
                <c:pt idx="104">
                  <c:v>712.97249999999997</c:v>
                </c:pt>
                <c:pt idx="105">
                  <c:v>709.71749999999997</c:v>
                </c:pt>
                <c:pt idx="106">
                  <c:v>706.32449999999994</c:v>
                </c:pt>
                <c:pt idx="107">
                  <c:v>703.27049999999997</c:v>
                </c:pt>
                <c:pt idx="108">
                  <c:v>699.96299999999997</c:v>
                </c:pt>
                <c:pt idx="109">
                  <c:v>690.52049999999997</c:v>
                </c:pt>
                <c:pt idx="110">
                  <c:v>687.09749999999997</c:v>
                </c:pt>
                <c:pt idx="111">
                  <c:v>683.85299999999995</c:v>
                </c:pt>
                <c:pt idx="112">
                  <c:v>681.27750000000003</c:v>
                </c:pt>
                <c:pt idx="113">
                  <c:v>678.25049999999999</c:v>
                </c:pt>
                <c:pt idx="114">
                  <c:v>675.50850000000003</c:v>
                </c:pt>
                <c:pt idx="115">
                  <c:v>672.55050000000006</c:v>
                </c:pt>
                <c:pt idx="116">
                  <c:v>669.83399999999995</c:v>
                </c:pt>
                <c:pt idx="117">
                  <c:v>667.101</c:v>
                </c:pt>
                <c:pt idx="118">
                  <c:v>664.28700000000003</c:v>
                </c:pt>
                <c:pt idx="119">
                  <c:v>661.70550000000003</c:v>
                </c:pt>
                <c:pt idx="120">
                  <c:v>659.55</c:v>
                </c:pt>
                <c:pt idx="121">
                  <c:v>656.37149999999997</c:v>
                </c:pt>
                <c:pt idx="122">
                  <c:v>653.91600000000005</c:v>
                </c:pt>
                <c:pt idx="123">
                  <c:v>651.04049999999995</c:v>
                </c:pt>
                <c:pt idx="124">
                  <c:v>648.76199999999994</c:v>
                </c:pt>
                <c:pt idx="125">
                  <c:v>646.16249999999991</c:v>
                </c:pt>
                <c:pt idx="126">
                  <c:v>643.76549999999997</c:v>
                </c:pt>
                <c:pt idx="127">
                  <c:v>641.21250000000009</c:v>
                </c:pt>
                <c:pt idx="128">
                  <c:v>638.78250000000003</c:v>
                </c:pt>
                <c:pt idx="129">
                  <c:v>636.423</c:v>
                </c:pt>
                <c:pt idx="130">
                  <c:v>633.96299999999997</c:v>
                </c:pt>
                <c:pt idx="131">
                  <c:v>631.71749999999997</c:v>
                </c:pt>
                <c:pt idx="132">
                  <c:v>629.27549999999997</c:v>
                </c:pt>
                <c:pt idx="133">
                  <c:v>626.98800000000006</c:v>
                </c:pt>
                <c:pt idx="134">
                  <c:v>624.85950000000003</c:v>
                </c:pt>
                <c:pt idx="135">
                  <c:v>622.35299999999995</c:v>
                </c:pt>
                <c:pt idx="136">
                  <c:v>620.38350000000003</c:v>
                </c:pt>
                <c:pt idx="137">
                  <c:v>618.11249999999995</c:v>
                </c:pt>
                <c:pt idx="138">
                  <c:v>616.053</c:v>
                </c:pt>
                <c:pt idx="139">
                  <c:v>613.81200000000001</c:v>
                </c:pt>
                <c:pt idx="140">
                  <c:v>611.70899999999995</c:v>
                </c:pt>
                <c:pt idx="141">
                  <c:v>609.64049999999997</c:v>
                </c:pt>
                <c:pt idx="142">
                  <c:v>607.46250000000009</c:v>
                </c:pt>
                <c:pt idx="143">
                  <c:v>605.50350000000003</c:v>
                </c:pt>
                <c:pt idx="144">
                  <c:v>603.33750000000009</c:v>
                </c:pt>
                <c:pt idx="145">
                  <c:v>580.476</c:v>
                </c:pt>
                <c:pt idx="146">
                  <c:v>576.60450000000003</c:v>
                </c:pt>
                <c:pt idx="147">
                  <c:v>574.48649999999998</c:v>
                </c:pt>
                <c:pt idx="148">
                  <c:v>572.68500000000006</c:v>
                </c:pt>
                <c:pt idx="149">
                  <c:v>570.63750000000005</c:v>
                </c:pt>
                <c:pt idx="150">
                  <c:v>568.71749999999997</c:v>
                </c:pt>
                <c:pt idx="151">
                  <c:v>566.57549999999992</c:v>
                </c:pt>
                <c:pt idx="152">
                  <c:v>564.55649999999991</c:v>
                </c:pt>
                <c:pt idx="153">
                  <c:v>562.428</c:v>
                </c:pt>
                <c:pt idx="154">
                  <c:v>560.18700000000001</c:v>
                </c:pt>
                <c:pt idx="155">
                  <c:v>558.09749999999997</c:v>
                </c:pt>
                <c:pt idx="156">
                  <c:v>554.44949999999994</c:v>
                </c:pt>
                <c:pt idx="157">
                  <c:v>550.08899999999994</c:v>
                </c:pt>
                <c:pt idx="158">
                  <c:v>545.86649999999997</c:v>
                </c:pt>
                <c:pt idx="159">
                  <c:v>541.03199999999993</c:v>
                </c:pt>
                <c:pt idx="160">
                  <c:v>537.21749999999997</c:v>
                </c:pt>
                <c:pt idx="161">
                  <c:v>532.79999999999995</c:v>
                </c:pt>
                <c:pt idx="162">
                  <c:v>528.798</c:v>
                </c:pt>
                <c:pt idx="163">
                  <c:v>524.73749999999995</c:v>
                </c:pt>
                <c:pt idx="164">
                  <c:v>521.16600000000005</c:v>
                </c:pt>
                <c:pt idx="165">
                  <c:v>517.59749999999997</c:v>
                </c:pt>
                <c:pt idx="166">
                  <c:v>513.9375</c:v>
                </c:pt>
                <c:pt idx="167">
                  <c:v>510.55649999999997</c:v>
                </c:pt>
                <c:pt idx="168">
                  <c:v>506.87549999999999</c:v>
                </c:pt>
                <c:pt idx="169">
                  <c:v>503.40750000000003</c:v>
                </c:pt>
                <c:pt idx="170">
                  <c:v>500.202</c:v>
                </c:pt>
                <c:pt idx="171">
                  <c:v>496.40699999999998</c:v>
                </c:pt>
                <c:pt idx="172">
                  <c:v>493.41600000000005</c:v>
                </c:pt>
                <c:pt idx="173">
                  <c:v>489.97499999999997</c:v>
                </c:pt>
                <c:pt idx="174">
                  <c:v>486.88350000000003</c:v>
                </c:pt>
                <c:pt idx="175">
                  <c:v>483.52500000000003</c:v>
                </c:pt>
                <c:pt idx="176">
                  <c:v>480.38699999999994</c:v>
                </c:pt>
                <c:pt idx="177">
                  <c:v>477.303</c:v>
                </c:pt>
                <c:pt idx="178">
                  <c:v>474.11249999999995</c:v>
                </c:pt>
                <c:pt idx="179">
                  <c:v>471.19350000000003</c:v>
                </c:pt>
                <c:pt idx="180">
                  <c:v>468.04950000000002</c:v>
                </c:pt>
                <c:pt idx="181">
                  <c:v>465.12150000000003</c:v>
                </c:pt>
                <c:pt idx="182">
                  <c:v>462.423</c:v>
                </c:pt>
                <c:pt idx="183">
                  <c:v>459.21449999999993</c:v>
                </c:pt>
                <c:pt idx="184">
                  <c:v>456.678</c:v>
                </c:pt>
                <c:pt idx="185">
                  <c:v>453.71250000000003</c:v>
                </c:pt>
                <c:pt idx="186">
                  <c:v>451.077</c:v>
                </c:pt>
                <c:pt idx="187">
                  <c:v>448.21199999999999</c:v>
                </c:pt>
                <c:pt idx="188">
                  <c:v>445.536</c:v>
                </c:pt>
                <c:pt idx="189">
                  <c:v>442.88699999999994</c:v>
                </c:pt>
                <c:pt idx="190">
                  <c:v>440.16300000000001</c:v>
                </c:pt>
                <c:pt idx="191">
                  <c:v>437.673</c:v>
                </c:pt>
                <c:pt idx="192">
                  <c:v>434.98800000000006</c:v>
                </c:pt>
                <c:pt idx="193">
                  <c:v>432.45899999999995</c:v>
                </c:pt>
                <c:pt idx="194">
                  <c:v>430.101</c:v>
                </c:pt>
                <c:pt idx="195">
                  <c:v>427.44900000000001</c:v>
                </c:pt>
                <c:pt idx="196">
                  <c:v>425.26199999999994</c:v>
                </c:pt>
                <c:pt idx="197">
                  <c:v>423</c:v>
                </c:pt>
                <c:pt idx="198">
                  <c:v>420.99149999999997</c:v>
                </c:pt>
                <c:pt idx="199">
                  <c:v>418.78800000000001</c:v>
                </c:pt>
                <c:pt idx="200">
                  <c:v>416.70899999999995</c:v>
                </c:pt>
                <c:pt idx="201">
                  <c:v>414.66600000000005</c:v>
                </c:pt>
                <c:pt idx="202">
                  <c:v>412.53749999999997</c:v>
                </c:pt>
                <c:pt idx="203">
                  <c:v>410.577</c:v>
                </c:pt>
                <c:pt idx="204">
                  <c:v>408.46199999999999</c:v>
                </c:pt>
                <c:pt idx="205">
                  <c:v>406.51199999999994</c:v>
                </c:pt>
                <c:pt idx="206">
                  <c:v>404.697</c:v>
                </c:pt>
                <c:pt idx="207">
                  <c:v>402.54899999999998</c:v>
                </c:pt>
                <c:pt idx="208">
                  <c:v>400.827</c:v>
                </c:pt>
                <c:pt idx="209">
                  <c:v>398.83799999999997</c:v>
                </c:pt>
                <c:pt idx="210">
                  <c:v>397.06499999999994</c:v>
                </c:pt>
                <c:pt idx="211">
                  <c:v>395.12549999999999</c:v>
                </c:pt>
                <c:pt idx="212">
                  <c:v>393.303</c:v>
                </c:pt>
                <c:pt idx="213">
                  <c:v>391.5</c:v>
                </c:pt>
                <c:pt idx="214">
                  <c:v>389.65049999999997</c:v>
                </c:pt>
                <c:pt idx="215">
                  <c:v>387.93149999999997</c:v>
                </c:pt>
                <c:pt idx="216">
                  <c:v>385.875</c:v>
                </c:pt>
                <c:pt idx="217">
                  <c:v>383.928</c:v>
                </c:pt>
                <c:pt idx="218">
                  <c:v>382.173</c:v>
                </c:pt>
                <c:pt idx="219">
                  <c:v>380.08949999999999</c:v>
                </c:pt>
                <c:pt idx="220">
                  <c:v>378.56849999999997</c:v>
                </c:pt>
                <c:pt idx="221">
                  <c:v>376.6755</c:v>
                </c:pt>
                <c:pt idx="222">
                  <c:v>375.048</c:v>
                </c:pt>
                <c:pt idx="223">
                  <c:v>373.3005</c:v>
                </c:pt>
                <c:pt idx="224">
                  <c:v>371.72249999999997</c:v>
                </c:pt>
                <c:pt idx="225">
                  <c:v>370.173</c:v>
                </c:pt>
                <c:pt idx="226">
                  <c:v>368.57550000000003</c:v>
                </c:pt>
                <c:pt idx="227">
                  <c:v>367.125</c:v>
                </c:pt>
                <c:pt idx="228">
                  <c:v>365.53800000000001</c:v>
                </c:pt>
                <c:pt idx="229">
                  <c:v>364.089</c:v>
                </c:pt>
                <c:pt idx="230">
                  <c:v>362.697</c:v>
                </c:pt>
                <c:pt idx="231">
                  <c:v>361.08450000000005</c:v>
                </c:pt>
                <c:pt idx="232">
                  <c:v>359.79449999999997</c:v>
                </c:pt>
                <c:pt idx="233">
                  <c:v>358.24950000000001</c:v>
                </c:pt>
                <c:pt idx="234">
                  <c:v>356.89049999999997</c:v>
                </c:pt>
                <c:pt idx="235">
                  <c:v>355.39949999999999</c:v>
                </c:pt>
                <c:pt idx="236">
                  <c:v>353.976</c:v>
                </c:pt>
                <c:pt idx="237">
                  <c:v>352.572</c:v>
                </c:pt>
                <c:pt idx="238">
                  <c:v>351.12450000000001</c:v>
                </c:pt>
                <c:pt idx="239">
                  <c:v>350.06849999999997</c:v>
                </c:pt>
                <c:pt idx="240">
                  <c:v>348.6</c:v>
                </c:pt>
                <c:pt idx="241">
                  <c:v>346.815</c:v>
                </c:pt>
                <c:pt idx="242">
                  <c:v>345.423</c:v>
                </c:pt>
                <c:pt idx="243">
                  <c:v>343.88849999999996</c:v>
                </c:pt>
                <c:pt idx="244">
                  <c:v>342.60449999999997</c:v>
                </c:pt>
                <c:pt idx="245">
                  <c:v>341.18700000000001</c:v>
                </c:pt>
                <c:pt idx="246">
                  <c:v>339.93150000000003</c:v>
                </c:pt>
                <c:pt idx="247">
                  <c:v>338.57550000000003</c:v>
                </c:pt>
                <c:pt idx="248">
                  <c:v>411.99149999999997</c:v>
                </c:pt>
                <c:pt idx="249">
                  <c:v>417.59249999999997</c:v>
                </c:pt>
                <c:pt idx="250">
                  <c:v>414.98700000000002</c:v>
                </c:pt>
                <c:pt idx="251">
                  <c:v>413.02049999999997</c:v>
                </c:pt>
                <c:pt idx="252">
                  <c:v>410.54999999999995</c:v>
                </c:pt>
                <c:pt idx="253">
                  <c:v>407.80649999999997</c:v>
                </c:pt>
                <c:pt idx="254">
                  <c:v>405.411</c:v>
                </c:pt>
                <c:pt idx="255">
                  <c:v>402.88350000000003</c:v>
                </c:pt>
                <c:pt idx="256">
                  <c:v>401.02049999999997</c:v>
                </c:pt>
                <c:pt idx="257">
                  <c:v>398.93700000000001</c:v>
                </c:pt>
                <c:pt idx="258">
                  <c:v>397.125</c:v>
                </c:pt>
                <c:pt idx="259">
                  <c:v>395.21250000000003</c:v>
                </c:pt>
                <c:pt idx="260">
                  <c:v>393.45899999999995</c:v>
                </c:pt>
                <c:pt idx="261">
                  <c:v>391.74149999999997</c:v>
                </c:pt>
                <c:pt idx="262">
                  <c:v>390.01199999999994</c:v>
                </c:pt>
                <c:pt idx="263">
                  <c:v>399.375</c:v>
                </c:pt>
                <c:pt idx="264">
                  <c:v>399.67499999999995</c:v>
                </c:pt>
                <c:pt idx="265">
                  <c:v>398.661</c:v>
                </c:pt>
                <c:pt idx="266">
                  <c:v>397.524</c:v>
                </c:pt>
                <c:pt idx="267">
                  <c:v>396.4425</c:v>
                </c:pt>
                <c:pt idx="268">
                  <c:v>395.625</c:v>
                </c:pt>
                <c:pt idx="269">
                  <c:v>394.66200000000003</c:v>
                </c:pt>
                <c:pt idx="270">
                  <c:v>393.798</c:v>
                </c:pt>
                <c:pt idx="271">
                  <c:v>392.88750000000005</c:v>
                </c:pt>
                <c:pt idx="272">
                  <c:v>392.03250000000003</c:v>
                </c:pt>
                <c:pt idx="273">
                  <c:v>391.161</c:v>
                </c:pt>
                <c:pt idx="274">
                  <c:v>390.23700000000002</c:v>
                </c:pt>
                <c:pt idx="275">
                  <c:v>389.35949999999997</c:v>
                </c:pt>
                <c:pt idx="276">
                  <c:v>388.42499999999995</c:v>
                </c:pt>
                <c:pt idx="277">
                  <c:v>387.52049999999997</c:v>
                </c:pt>
                <c:pt idx="278">
                  <c:v>386.649</c:v>
                </c:pt>
                <c:pt idx="279">
                  <c:v>385.59300000000002</c:v>
                </c:pt>
                <c:pt idx="280">
                  <c:v>384.75</c:v>
                </c:pt>
                <c:pt idx="281">
                  <c:v>383.71199999999999</c:v>
                </c:pt>
                <c:pt idx="282">
                  <c:v>382.64550000000003</c:v>
                </c:pt>
                <c:pt idx="283">
                  <c:v>381.68700000000001</c:v>
                </c:pt>
                <c:pt idx="284">
                  <c:v>380.274</c:v>
                </c:pt>
                <c:pt idx="285">
                  <c:v>379.30650000000003</c:v>
                </c:pt>
                <c:pt idx="286">
                  <c:v>378.12450000000001</c:v>
                </c:pt>
                <c:pt idx="287">
                  <c:v>377.226</c:v>
                </c:pt>
                <c:pt idx="288">
                  <c:v>376.137</c:v>
                </c:pt>
                <c:pt idx="289">
                  <c:v>375.16949999999997</c:v>
                </c:pt>
                <c:pt idx="290">
                  <c:v>374.37149999999997</c:v>
                </c:pt>
                <c:pt idx="291">
                  <c:v>373.35750000000002</c:v>
                </c:pt>
                <c:pt idx="292">
                  <c:v>372.55650000000003</c:v>
                </c:pt>
                <c:pt idx="293">
                  <c:v>371.613</c:v>
                </c:pt>
                <c:pt idx="294">
                  <c:v>370.791</c:v>
                </c:pt>
                <c:pt idx="295">
                  <c:v>369.87450000000001</c:v>
                </c:pt>
                <c:pt idx="296">
                  <c:v>369.012</c:v>
                </c:pt>
                <c:pt idx="297">
                  <c:v>368.12850000000003</c:v>
                </c:pt>
                <c:pt idx="298">
                  <c:v>367.23749999999995</c:v>
                </c:pt>
                <c:pt idx="299">
                  <c:v>366.375</c:v>
                </c:pt>
                <c:pt idx="300">
                  <c:v>365.48699999999997</c:v>
                </c:pt>
                <c:pt idx="301">
                  <c:v>364.62149999999997</c:v>
                </c:pt>
                <c:pt idx="302">
                  <c:v>363.81</c:v>
                </c:pt>
                <c:pt idx="303">
                  <c:v>362.86649999999997</c:v>
                </c:pt>
                <c:pt idx="304">
                  <c:v>362.10449999999997</c:v>
                </c:pt>
                <c:pt idx="305">
                  <c:v>361.20000000000005</c:v>
                </c:pt>
                <c:pt idx="306">
                  <c:v>360.411</c:v>
                </c:pt>
                <c:pt idx="307">
                  <c:v>359.57550000000003</c:v>
                </c:pt>
                <c:pt idx="308">
                  <c:v>358.74149999999997</c:v>
                </c:pt>
                <c:pt idx="309">
                  <c:v>357.96750000000003</c:v>
                </c:pt>
                <c:pt idx="310">
                  <c:v>357.1755</c:v>
                </c:pt>
                <c:pt idx="311">
                  <c:v>356.41949999999997</c:v>
                </c:pt>
                <c:pt idx="312">
                  <c:v>355.62450000000001</c:v>
                </c:pt>
                <c:pt idx="313">
                  <c:v>354.94349999999997</c:v>
                </c:pt>
                <c:pt idx="314">
                  <c:v>354.24149999999997</c:v>
                </c:pt>
                <c:pt idx="315">
                  <c:v>353.49149999999997</c:v>
                </c:pt>
                <c:pt idx="316">
                  <c:v>352.887</c:v>
                </c:pt>
                <c:pt idx="317">
                  <c:v>352.20000000000005</c:v>
                </c:pt>
                <c:pt idx="318">
                  <c:v>351.60449999999997</c:v>
                </c:pt>
                <c:pt idx="319">
                  <c:v>350.89949999999999</c:v>
                </c:pt>
                <c:pt idx="320">
                  <c:v>350.322</c:v>
                </c:pt>
                <c:pt idx="321">
                  <c:v>349.74149999999997</c:v>
                </c:pt>
                <c:pt idx="322">
                  <c:v>349.15049999999997</c:v>
                </c:pt>
                <c:pt idx="323">
                  <c:v>348.58050000000003</c:v>
                </c:pt>
                <c:pt idx="324">
                  <c:v>347.97450000000003</c:v>
                </c:pt>
                <c:pt idx="325">
                  <c:v>347.44349999999997</c:v>
                </c:pt>
                <c:pt idx="326">
                  <c:v>346.959</c:v>
                </c:pt>
                <c:pt idx="327">
                  <c:v>346.36649999999997</c:v>
                </c:pt>
                <c:pt idx="328">
                  <c:v>345.89550000000003</c:v>
                </c:pt>
                <c:pt idx="329">
                  <c:v>345.375</c:v>
                </c:pt>
                <c:pt idx="330">
                  <c:v>344.87850000000003</c:v>
                </c:pt>
                <c:pt idx="331">
                  <c:v>344.4</c:v>
                </c:pt>
                <c:pt idx="332">
                  <c:v>343.911</c:v>
                </c:pt>
                <c:pt idx="333">
                  <c:v>343.452</c:v>
                </c:pt>
                <c:pt idx="334">
                  <c:v>342.9495</c:v>
                </c:pt>
                <c:pt idx="335">
                  <c:v>342.55650000000003</c:v>
                </c:pt>
                <c:pt idx="336">
                  <c:v>342.04949999999997</c:v>
                </c:pt>
                <c:pt idx="337">
                  <c:v>341.637</c:v>
                </c:pt>
                <c:pt idx="338">
                  <c:v>341.226</c:v>
                </c:pt>
                <c:pt idx="339">
                  <c:v>340.75799999999998</c:v>
                </c:pt>
                <c:pt idx="340">
                  <c:v>340.37850000000003</c:v>
                </c:pt>
                <c:pt idx="341">
                  <c:v>339.97500000000002</c:v>
                </c:pt>
                <c:pt idx="342">
                  <c:v>339.58050000000003</c:v>
                </c:pt>
                <c:pt idx="343">
                  <c:v>339.15</c:v>
                </c:pt>
                <c:pt idx="344">
                  <c:v>338.709</c:v>
                </c:pt>
                <c:pt idx="345">
                  <c:v>338.34749999999997</c:v>
                </c:pt>
                <c:pt idx="346">
                  <c:v>337.84950000000003</c:v>
                </c:pt>
                <c:pt idx="347">
                  <c:v>337.428</c:v>
                </c:pt>
                <c:pt idx="348">
                  <c:v>337.07550000000003</c:v>
                </c:pt>
                <c:pt idx="349">
                  <c:v>336.65250000000003</c:v>
                </c:pt>
                <c:pt idx="350">
                  <c:v>336.26549999999997</c:v>
                </c:pt>
                <c:pt idx="351">
                  <c:v>335.86649999999997</c:v>
                </c:pt>
                <c:pt idx="352">
                  <c:v>335.541</c:v>
                </c:pt>
                <c:pt idx="353">
                  <c:v>335.22450000000003</c:v>
                </c:pt>
                <c:pt idx="354">
                  <c:v>334.935</c:v>
                </c:pt>
                <c:pt idx="355">
                  <c:v>334.62450000000001</c:v>
                </c:pt>
                <c:pt idx="356">
                  <c:v>334.33050000000003</c:v>
                </c:pt>
                <c:pt idx="357">
                  <c:v>334.065</c:v>
                </c:pt>
                <c:pt idx="358">
                  <c:v>333.75</c:v>
                </c:pt>
                <c:pt idx="359">
                  <c:v>333.459</c:v>
                </c:pt>
                <c:pt idx="360">
                  <c:v>333.07500000000005</c:v>
                </c:pt>
                <c:pt idx="361">
                  <c:v>332.75850000000003</c:v>
                </c:pt>
                <c:pt idx="362">
                  <c:v>332.49149999999997</c:v>
                </c:pt>
                <c:pt idx="363">
                  <c:v>332.08949999999999</c:v>
                </c:pt>
                <c:pt idx="364">
                  <c:v>331.815</c:v>
                </c:pt>
                <c:pt idx="365">
                  <c:v>331.47450000000003</c:v>
                </c:pt>
                <c:pt idx="366">
                  <c:v>331.185</c:v>
                </c:pt>
                <c:pt idx="367">
                  <c:v>330.82500000000005</c:v>
                </c:pt>
                <c:pt idx="368">
                  <c:v>330.55650000000003</c:v>
                </c:pt>
                <c:pt idx="369">
                  <c:v>330.24149999999997</c:v>
                </c:pt>
                <c:pt idx="370">
                  <c:v>329.97450000000003</c:v>
                </c:pt>
                <c:pt idx="371">
                  <c:v>329.73450000000003</c:v>
                </c:pt>
                <c:pt idx="372">
                  <c:v>329.4</c:v>
                </c:pt>
                <c:pt idx="373">
                  <c:v>329.15250000000003</c:v>
                </c:pt>
                <c:pt idx="374">
                  <c:v>328.839</c:v>
                </c:pt>
                <c:pt idx="375">
                  <c:v>328.47300000000001</c:v>
                </c:pt>
                <c:pt idx="376">
                  <c:v>328.209</c:v>
                </c:pt>
                <c:pt idx="377">
                  <c:v>327.85050000000001</c:v>
                </c:pt>
                <c:pt idx="378">
                  <c:v>327.55650000000003</c:v>
                </c:pt>
                <c:pt idx="379">
                  <c:v>327.1995</c:v>
                </c:pt>
                <c:pt idx="380">
                  <c:v>326.928</c:v>
                </c:pt>
                <c:pt idx="381">
                  <c:v>326.637</c:v>
                </c:pt>
                <c:pt idx="382">
                  <c:v>326.35050000000001</c:v>
                </c:pt>
                <c:pt idx="383">
                  <c:v>326.08050000000003</c:v>
                </c:pt>
                <c:pt idx="384">
                  <c:v>325.79999999999995</c:v>
                </c:pt>
                <c:pt idx="385">
                  <c:v>325.5</c:v>
                </c:pt>
                <c:pt idx="386">
                  <c:v>325.23450000000003</c:v>
                </c:pt>
                <c:pt idx="387">
                  <c:v>324.90449999999998</c:v>
                </c:pt>
                <c:pt idx="388">
                  <c:v>324.798</c:v>
                </c:pt>
                <c:pt idx="389">
                  <c:v>324.67499999999995</c:v>
                </c:pt>
                <c:pt idx="390">
                  <c:v>324.50850000000003</c:v>
                </c:pt>
                <c:pt idx="391">
                  <c:v>324.29999999999995</c:v>
                </c:pt>
                <c:pt idx="392">
                  <c:v>324.024</c:v>
                </c:pt>
                <c:pt idx="393">
                  <c:v>323.75850000000003</c:v>
                </c:pt>
                <c:pt idx="394">
                  <c:v>323.4495</c:v>
                </c:pt>
                <c:pt idx="395">
                  <c:v>323.15250000000003</c:v>
                </c:pt>
                <c:pt idx="396">
                  <c:v>322.82550000000003</c:v>
                </c:pt>
                <c:pt idx="397">
                  <c:v>322.5</c:v>
                </c:pt>
                <c:pt idx="398">
                  <c:v>322.25850000000003</c:v>
                </c:pt>
                <c:pt idx="399">
                  <c:v>321.99149999999997</c:v>
                </c:pt>
                <c:pt idx="400">
                  <c:v>321.774</c:v>
                </c:pt>
                <c:pt idx="401">
                  <c:v>321.49950000000001</c:v>
                </c:pt>
                <c:pt idx="402">
                  <c:v>321.24149999999997</c:v>
                </c:pt>
                <c:pt idx="403">
                  <c:v>320.95050000000003</c:v>
                </c:pt>
                <c:pt idx="404">
                  <c:v>320.661</c:v>
                </c:pt>
                <c:pt idx="405">
                  <c:v>320.34749999999997</c:v>
                </c:pt>
                <c:pt idx="406">
                  <c:v>320.02499999999998</c:v>
                </c:pt>
                <c:pt idx="407">
                  <c:v>319.71750000000003</c:v>
                </c:pt>
                <c:pt idx="408">
                  <c:v>319.42499999999995</c:v>
                </c:pt>
                <c:pt idx="409">
                  <c:v>319.161</c:v>
                </c:pt>
                <c:pt idx="410">
                  <c:v>318.19349999999997</c:v>
                </c:pt>
                <c:pt idx="411">
                  <c:v>318.58949999999999</c:v>
                </c:pt>
                <c:pt idx="412">
                  <c:v>319.30650000000003</c:v>
                </c:pt>
                <c:pt idx="413">
                  <c:v>320.20050000000003</c:v>
                </c:pt>
                <c:pt idx="414">
                  <c:v>320.87850000000003</c:v>
                </c:pt>
                <c:pt idx="415">
                  <c:v>321.5505</c:v>
                </c:pt>
                <c:pt idx="416">
                  <c:v>321.99149999999997</c:v>
                </c:pt>
                <c:pt idx="417">
                  <c:v>322.428</c:v>
                </c:pt>
                <c:pt idx="418">
                  <c:v>322.77449999999999</c:v>
                </c:pt>
                <c:pt idx="419">
                  <c:v>323.05650000000003</c:v>
                </c:pt>
                <c:pt idx="420">
                  <c:v>323.35050000000001</c:v>
                </c:pt>
                <c:pt idx="421">
                  <c:v>323.51549999999997</c:v>
                </c:pt>
                <c:pt idx="422">
                  <c:v>323.685</c:v>
                </c:pt>
                <c:pt idx="423">
                  <c:v>323.83949999999999</c:v>
                </c:pt>
                <c:pt idx="424">
                  <c:v>323.928</c:v>
                </c:pt>
                <c:pt idx="425">
                  <c:v>324.07500000000005</c:v>
                </c:pt>
                <c:pt idx="426">
                  <c:v>324.12149999999997</c:v>
                </c:pt>
                <c:pt idx="427">
                  <c:v>324.1755</c:v>
                </c:pt>
                <c:pt idx="428">
                  <c:v>324.24149999999997</c:v>
                </c:pt>
                <c:pt idx="429">
                  <c:v>324.291</c:v>
                </c:pt>
                <c:pt idx="430">
                  <c:v>324.34950000000003</c:v>
                </c:pt>
                <c:pt idx="431">
                  <c:v>324.363</c:v>
                </c:pt>
                <c:pt idx="432">
                  <c:v>324.32550000000003</c:v>
                </c:pt>
                <c:pt idx="433">
                  <c:v>324.459</c:v>
                </c:pt>
                <c:pt idx="434">
                  <c:v>324.702</c:v>
                </c:pt>
                <c:pt idx="435">
                  <c:v>325.03499999999997</c:v>
                </c:pt>
                <c:pt idx="436">
                  <c:v>325.23450000000003</c:v>
                </c:pt>
                <c:pt idx="437">
                  <c:v>325.39949999999999</c:v>
                </c:pt>
                <c:pt idx="438">
                  <c:v>325.524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90-45FF-823D-857AD61FB73F}"/>
            </c:ext>
          </c:extLst>
        </c:ser>
        <c:ser>
          <c:idx val="11"/>
          <c:order val="11"/>
          <c:tx>
            <c:strRef>
              <c:f>'FPSO1 Otim'!$N$5</c:f>
              <c:strCache>
                <c:ptCount val="1"/>
                <c:pt idx="0">
                  <c:v>P12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Otim'!$N$6:$N$733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280.69349999999997</c:v>
                </c:pt>
                <c:pt idx="40">
                  <c:v>350.274</c:v>
                </c:pt>
                <c:pt idx="41">
                  <c:v>312.762</c:v>
                </c:pt>
                <c:pt idx="42">
                  <c:v>293.12850000000003</c:v>
                </c:pt>
                <c:pt idx="43">
                  <c:v>281.74950000000001</c:v>
                </c:pt>
                <c:pt idx="44">
                  <c:v>272.988</c:v>
                </c:pt>
                <c:pt idx="45">
                  <c:v>265.137</c:v>
                </c:pt>
                <c:pt idx="46">
                  <c:v>257.51250000000005</c:v>
                </c:pt>
                <c:pt idx="47">
                  <c:v>252.2415</c:v>
                </c:pt>
                <c:pt idx="48">
                  <c:v>247.15049999999999</c:v>
                </c:pt>
                <c:pt idx="49">
                  <c:v>240.06</c:v>
                </c:pt>
                <c:pt idx="50">
                  <c:v>235.791</c:v>
                </c:pt>
                <c:pt idx="51">
                  <c:v>231.21449999999999</c:v>
                </c:pt>
                <c:pt idx="52">
                  <c:v>228.5085</c:v>
                </c:pt>
                <c:pt idx="53">
                  <c:v>225.58799999999999</c:v>
                </c:pt>
                <c:pt idx="54">
                  <c:v>223.089</c:v>
                </c:pt>
                <c:pt idx="55">
                  <c:v>220.52549999999999</c:v>
                </c:pt>
                <c:pt idx="56">
                  <c:v>218.39550000000003</c:v>
                </c:pt>
                <c:pt idx="57">
                  <c:v>216.315</c:v>
                </c:pt>
                <c:pt idx="58">
                  <c:v>214.24950000000001</c:v>
                </c:pt>
                <c:pt idx="59">
                  <c:v>212.3475</c:v>
                </c:pt>
                <c:pt idx="60">
                  <c:v>210.40049999999999</c:v>
                </c:pt>
                <c:pt idx="61">
                  <c:v>208.69349999999997</c:v>
                </c:pt>
                <c:pt idx="62">
                  <c:v>206.976</c:v>
                </c:pt>
                <c:pt idx="63">
                  <c:v>204.8835</c:v>
                </c:pt>
                <c:pt idx="64">
                  <c:v>203.226</c:v>
                </c:pt>
                <c:pt idx="65">
                  <c:v>201.32550000000003</c:v>
                </c:pt>
                <c:pt idx="66">
                  <c:v>199.548</c:v>
                </c:pt>
                <c:pt idx="67">
                  <c:v>197.65049999999999</c:v>
                </c:pt>
                <c:pt idx="68">
                  <c:v>195.798</c:v>
                </c:pt>
                <c:pt idx="69">
                  <c:v>193.98450000000003</c:v>
                </c:pt>
                <c:pt idx="70">
                  <c:v>192</c:v>
                </c:pt>
                <c:pt idx="71">
                  <c:v>190.2825</c:v>
                </c:pt>
                <c:pt idx="72">
                  <c:v>186.1755</c:v>
                </c:pt>
                <c:pt idx="73">
                  <c:v>182.9025</c:v>
                </c:pt>
                <c:pt idx="74">
                  <c:v>180.1215</c:v>
                </c:pt>
                <c:pt idx="75">
                  <c:v>176.97300000000001</c:v>
                </c:pt>
                <c:pt idx="76">
                  <c:v>174.5085</c:v>
                </c:pt>
                <c:pt idx="77">
                  <c:v>171.75</c:v>
                </c:pt>
                <c:pt idx="78">
                  <c:v>169.3065</c:v>
                </c:pt>
                <c:pt idx="79">
                  <c:v>166.8</c:v>
                </c:pt>
                <c:pt idx="80">
                  <c:v>164.4915</c:v>
                </c:pt>
                <c:pt idx="81">
                  <c:v>162.315</c:v>
                </c:pt>
                <c:pt idx="82">
                  <c:v>160.05000000000001</c:v>
                </c:pt>
                <c:pt idx="83">
                  <c:v>158.1045</c:v>
                </c:pt>
                <c:pt idx="84">
                  <c:v>156</c:v>
                </c:pt>
                <c:pt idx="85">
                  <c:v>153.387</c:v>
                </c:pt>
                <c:pt idx="86">
                  <c:v>151.572</c:v>
                </c:pt>
                <c:pt idx="87">
                  <c:v>149.68965</c:v>
                </c:pt>
                <c:pt idx="88">
                  <c:v>148.11285000000001</c:v>
                </c:pt>
                <c:pt idx="89">
                  <c:v>146.29995</c:v>
                </c:pt>
                <c:pt idx="90">
                  <c:v>144.60480000000001</c:v>
                </c:pt>
                <c:pt idx="91">
                  <c:v>142.64999999999998</c:v>
                </c:pt>
                <c:pt idx="92">
                  <c:v>140.83064999999999</c:v>
                </c:pt>
                <c:pt idx="93">
                  <c:v>139.11285000000001</c:v>
                </c:pt>
                <c:pt idx="94">
                  <c:v>137.25</c:v>
                </c:pt>
                <c:pt idx="95">
                  <c:v>135.67740000000001</c:v>
                </c:pt>
                <c:pt idx="96">
                  <c:v>133.92495</c:v>
                </c:pt>
                <c:pt idx="97">
                  <c:v>131.0565</c:v>
                </c:pt>
                <c:pt idx="98">
                  <c:v>129.43545</c:v>
                </c:pt>
                <c:pt idx="99">
                  <c:v>127.7946</c:v>
                </c:pt>
                <c:pt idx="100">
                  <c:v>126.48389999999999</c:v>
                </c:pt>
                <c:pt idx="101">
                  <c:v>125.02499999999999</c:v>
                </c:pt>
                <c:pt idx="102">
                  <c:v>123.70155</c:v>
                </c:pt>
                <c:pt idx="103">
                  <c:v>122.27504999999999</c:v>
                </c:pt>
                <c:pt idx="104">
                  <c:v>121.01610000000001</c:v>
                </c:pt>
                <c:pt idx="105">
                  <c:v>119.78219999999999</c:v>
                </c:pt>
                <c:pt idx="106">
                  <c:v>118.45005</c:v>
                </c:pt>
                <c:pt idx="107">
                  <c:v>117.29040000000001</c:v>
                </c:pt>
                <c:pt idx="108">
                  <c:v>115.94999999999999</c:v>
                </c:pt>
                <c:pt idx="109">
                  <c:v>114.79845</c:v>
                </c:pt>
                <c:pt idx="110">
                  <c:v>113.68545</c:v>
                </c:pt>
                <c:pt idx="111">
                  <c:v>112.4196</c:v>
                </c:pt>
                <c:pt idx="112">
                  <c:v>111.38714999999999</c:v>
                </c:pt>
                <c:pt idx="113">
                  <c:v>110.20005</c:v>
                </c:pt>
                <c:pt idx="114">
                  <c:v>109.08870000000002</c:v>
                </c:pt>
                <c:pt idx="115">
                  <c:v>107.92500000000001</c:v>
                </c:pt>
                <c:pt idx="116">
                  <c:v>106.76610000000001</c:v>
                </c:pt>
                <c:pt idx="117">
                  <c:v>105.70155</c:v>
                </c:pt>
                <c:pt idx="118">
                  <c:v>104.57505</c:v>
                </c:pt>
                <c:pt idx="119">
                  <c:v>103.52414999999999</c:v>
                </c:pt>
                <c:pt idx="120">
                  <c:v>102.44999999999999</c:v>
                </c:pt>
                <c:pt idx="121">
                  <c:v>101.41934999999999</c:v>
                </c:pt>
                <c:pt idx="122">
                  <c:v>100.42740000000001</c:v>
                </c:pt>
                <c:pt idx="123">
                  <c:v>99.348150000000004</c:v>
                </c:pt>
                <c:pt idx="124">
                  <c:v>98.4435</c:v>
                </c:pt>
                <c:pt idx="125">
                  <c:v>97.399950000000004</c:v>
                </c:pt>
                <c:pt idx="126">
                  <c:v>96.459599999999995</c:v>
                </c:pt>
                <c:pt idx="127">
                  <c:v>95.449950000000001</c:v>
                </c:pt>
                <c:pt idx="128">
                  <c:v>94.572599999999994</c:v>
                </c:pt>
                <c:pt idx="129">
                  <c:v>93.629100000000008</c:v>
                </c:pt>
                <c:pt idx="130">
                  <c:v>92.674949999999995</c:v>
                </c:pt>
                <c:pt idx="131">
                  <c:v>91.790400000000005</c:v>
                </c:pt>
                <c:pt idx="132">
                  <c:v>90.874949999999998</c:v>
                </c:pt>
                <c:pt idx="133">
                  <c:v>89.951549999999997</c:v>
                </c:pt>
                <c:pt idx="134">
                  <c:v>89.080649999999991</c:v>
                </c:pt>
                <c:pt idx="135">
                  <c:v>88.137900000000002</c:v>
                </c:pt>
                <c:pt idx="136">
                  <c:v>87.256521000000006</c:v>
                </c:pt>
                <c:pt idx="137">
                  <c:v>86.383955790000002</c:v>
                </c:pt>
                <c:pt idx="138">
                  <c:v>85.520116232099994</c:v>
                </c:pt>
                <c:pt idx="139">
                  <c:v>84.664915069778999</c:v>
                </c:pt>
                <c:pt idx="140">
                  <c:v>83.818265919081213</c:v>
                </c:pt>
                <c:pt idx="141">
                  <c:v>82.980083259890407</c:v>
                </c:pt>
                <c:pt idx="142">
                  <c:v>82.150282427291501</c:v>
                </c:pt>
                <c:pt idx="143">
                  <c:v>81.328779603018589</c:v>
                </c:pt>
                <c:pt idx="144">
                  <c:v>80.515491806988408</c:v>
                </c:pt>
                <c:pt idx="145">
                  <c:v>79.710336888918519</c:v>
                </c:pt>
                <c:pt idx="146">
                  <c:v>78.913233520029337</c:v>
                </c:pt>
                <c:pt idx="147">
                  <c:v>78.124101184829044</c:v>
                </c:pt>
                <c:pt idx="148">
                  <c:v>77.34286017298075</c:v>
                </c:pt>
                <c:pt idx="149">
                  <c:v>76.569431571250945</c:v>
                </c:pt>
                <c:pt idx="150">
                  <c:v>75.803737255538437</c:v>
                </c:pt>
                <c:pt idx="151">
                  <c:v>75.045699882983058</c:v>
                </c:pt>
                <c:pt idx="152">
                  <c:v>74.295242884153225</c:v>
                </c:pt>
                <c:pt idx="153">
                  <c:v>73.552290455311692</c:v>
                </c:pt>
                <c:pt idx="154">
                  <c:v>72.81676755075857</c:v>
                </c:pt>
                <c:pt idx="155">
                  <c:v>72.088599875250978</c:v>
                </c:pt>
                <c:pt idx="156">
                  <c:v>71.36771387649847</c:v>
                </c:pt>
                <c:pt idx="157">
                  <c:v>70.654036737733492</c:v>
                </c:pt>
                <c:pt idx="158">
                  <c:v>69.947496370356163</c:v>
                </c:pt>
                <c:pt idx="159">
                  <c:v>69.248021406652597</c:v>
                </c:pt>
                <c:pt idx="160">
                  <c:v>68.555541192586077</c:v>
                </c:pt>
                <c:pt idx="161">
                  <c:v>67.869985780660215</c:v>
                </c:pt>
                <c:pt idx="162">
                  <c:v>67.191285922853609</c:v>
                </c:pt>
                <c:pt idx="163">
                  <c:v>66.519373063625068</c:v>
                </c:pt>
                <c:pt idx="164">
                  <c:v>65.854179332988821</c:v>
                </c:pt>
                <c:pt idx="165">
                  <c:v>65.195637539658932</c:v>
                </c:pt>
                <c:pt idx="166">
                  <c:v>64.543681164262338</c:v>
                </c:pt>
                <c:pt idx="167">
                  <c:v>63.898244352619713</c:v>
                </c:pt>
                <c:pt idx="168">
                  <c:v>63.259261909093517</c:v>
                </c:pt>
                <c:pt idx="169">
                  <c:v>62.626669290002582</c:v>
                </c:pt>
                <c:pt idx="170">
                  <c:v>62.000402597102557</c:v>
                </c:pt>
                <c:pt idx="171">
                  <c:v>61.380398571131529</c:v>
                </c:pt>
                <c:pt idx="172">
                  <c:v>60.766594585420215</c:v>
                </c:pt>
                <c:pt idx="173">
                  <c:v>60.158928639566014</c:v>
                </c:pt>
                <c:pt idx="174">
                  <c:v>59.557339353170356</c:v>
                </c:pt>
                <c:pt idx="175">
                  <c:v>58.961765959638655</c:v>
                </c:pt>
                <c:pt idx="176">
                  <c:v>58.372148300042269</c:v>
                </c:pt>
                <c:pt idx="177">
                  <c:v>57.788426817041845</c:v>
                </c:pt>
                <c:pt idx="178">
                  <c:v>57.210542548871423</c:v>
                </c:pt>
                <c:pt idx="179">
                  <c:v>56.638437123382708</c:v>
                </c:pt>
                <c:pt idx="180">
                  <c:v>56.072052752148878</c:v>
                </c:pt>
                <c:pt idx="181">
                  <c:v>55.511332224627388</c:v>
                </c:pt>
                <c:pt idx="182">
                  <c:v>54.956218902381117</c:v>
                </c:pt>
                <c:pt idx="183">
                  <c:v>54.406656713357307</c:v>
                </c:pt>
                <c:pt idx="184">
                  <c:v>53.862590146223731</c:v>
                </c:pt>
                <c:pt idx="185">
                  <c:v>53.323964244761491</c:v>
                </c:pt>
                <c:pt idx="186">
                  <c:v>52.790724602313873</c:v>
                </c:pt>
                <c:pt idx="187">
                  <c:v>52.262817356290732</c:v>
                </c:pt>
                <c:pt idx="188">
                  <c:v>51.740189182727825</c:v>
                </c:pt>
                <c:pt idx="189">
                  <c:v>51.222787290900548</c:v>
                </c:pt>
                <c:pt idx="190">
                  <c:v>50.71055941799154</c:v>
                </c:pt>
                <c:pt idx="191">
                  <c:v>50.203453823811621</c:v>
                </c:pt>
                <c:pt idx="192">
                  <c:v>49.701419285573508</c:v>
                </c:pt>
                <c:pt idx="193">
                  <c:v>49.204405092717771</c:v>
                </c:pt>
                <c:pt idx="194">
                  <c:v>48.712361041790594</c:v>
                </c:pt>
                <c:pt idx="195">
                  <c:v>48.22523743137269</c:v>
                </c:pt>
                <c:pt idx="196">
                  <c:v>47.742985057058966</c:v>
                </c:pt>
                <c:pt idx="197">
                  <c:v>47.265555206488379</c:v>
                </c:pt>
                <c:pt idx="198">
                  <c:v>46.792899654423493</c:v>
                </c:pt>
                <c:pt idx="199">
                  <c:v>46.324970657879255</c:v>
                </c:pt>
                <c:pt idx="200">
                  <c:v>45.861720951300462</c:v>
                </c:pt>
                <c:pt idx="201">
                  <c:v>45.403103741787454</c:v>
                </c:pt>
                <c:pt idx="202">
                  <c:v>44.949072704369577</c:v>
                </c:pt>
                <c:pt idx="203">
                  <c:v>44.499581977325882</c:v>
                </c:pt>
                <c:pt idx="204">
                  <c:v>44.05458615755262</c:v>
                </c:pt>
                <c:pt idx="205">
                  <c:v>43.614040295977091</c:v>
                </c:pt>
                <c:pt idx="206">
                  <c:v>43.177899893017319</c:v>
                </c:pt>
                <c:pt idx="207">
                  <c:v>42.746120894087149</c:v>
                </c:pt>
                <c:pt idx="208">
                  <c:v>42.31865968514628</c:v>
                </c:pt>
                <c:pt idx="209">
                  <c:v>41.895473088294814</c:v>
                </c:pt>
                <c:pt idx="210">
                  <c:v>41.476518357411862</c:v>
                </c:pt>
                <c:pt idx="211">
                  <c:v>41.061753173837744</c:v>
                </c:pt>
                <c:pt idx="212">
                  <c:v>40.651135642099369</c:v>
                </c:pt>
                <c:pt idx="213">
                  <c:v>40.244624285678377</c:v>
                </c:pt>
                <c:pt idx="214">
                  <c:v>39.842178042821594</c:v>
                </c:pt>
                <c:pt idx="215">
                  <c:v>39.443756262393379</c:v>
                </c:pt>
                <c:pt idx="216">
                  <c:v>39.049318699769444</c:v>
                </c:pt>
                <c:pt idx="217">
                  <c:v>38.658825512771749</c:v>
                </c:pt>
                <c:pt idx="218">
                  <c:v>38.272237257644029</c:v>
                </c:pt>
                <c:pt idx="219">
                  <c:v>37.889514885067591</c:v>
                </c:pt>
                <c:pt idx="220">
                  <c:v>37.510619736216917</c:v>
                </c:pt>
                <c:pt idx="221">
                  <c:v>37.135513538854745</c:v>
                </c:pt>
                <c:pt idx="222">
                  <c:v>36.764158403466197</c:v>
                </c:pt>
                <c:pt idx="223">
                  <c:v>36.396516819431532</c:v>
                </c:pt>
                <c:pt idx="224">
                  <c:v>36.03255165123722</c:v>
                </c:pt>
                <c:pt idx="225">
                  <c:v>35.672226134724845</c:v>
                </c:pt>
                <c:pt idx="226">
                  <c:v>35.315503873377594</c:v>
                </c:pt>
                <c:pt idx="227">
                  <c:v>34.962348834643819</c:v>
                </c:pt>
                <c:pt idx="228">
                  <c:v>34.612725346297381</c:v>
                </c:pt>
                <c:pt idx="229">
                  <c:v>34.266598092834407</c:v>
                </c:pt>
                <c:pt idx="230">
                  <c:v>33.923932111906062</c:v>
                </c:pt>
                <c:pt idx="231">
                  <c:v>33.584692790787003</c:v>
                </c:pt>
                <c:pt idx="232">
                  <c:v>33.248845862879129</c:v>
                </c:pt>
                <c:pt idx="233">
                  <c:v>32.916357404250334</c:v>
                </c:pt>
                <c:pt idx="234">
                  <c:v>32.587193830207831</c:v>
                </c:pt>
                <c:pt idx="235">
                  <c:v>32.261321891905752</c:v>
                </c:pt>
                <c:pt idx="236">
                  <c:v>31.938708672986692</c:v>
                </c:pt>
                <c:pt idx="237">
                  <c:v>31.619321586256824</c:v>
                </c:pt>
                <c:pt idx="238">
                  <c:v>31.303128370394255</c:v>
                </c:pt>
                <c:pt idx="239">
                  <c:v>30.990097086690312</c:v>
                </c:pt>
                <c:pt idx="240">
                  <c:v>30.68019611582341</c:v>
                </c:pt>
                <c:pt idx="241">
                  <c:v>30.373394154665174</c:v>
                </c:pt>
                <c:pt idx="242">
                  <c:v>30.069660213118521</c:v>
                </c:pt>
                <c:pt idx="243">
                  <c:v>29.768963610987335</c:v>
                </c:pt>
                <c:pt idx="244">
                  <c:v>29.471273974877462</c:v>
                </c:pt>
                <c:pt idx="245">
                  <c:v>29.176561235128688</c:v>
                </c:pt>
                <c:pt idx="246">
                  <c:v>28.8847956227774</c:v>
                </c:pt>
                <c:pt idx="247">
                  <c:v>28.595947666549627</c:v>
                </c:pt>
                <c:pt idx="248">
                  <c:v>28.30998818988413</c:v>
                </c:pt>
                <c:pt idx="249">
                  <c:v>28.026888307985288</c:v>
                </c:pt>
                <c:pt idx="250">
                  <c:v>27.746619424905436</c:v>
                </c:pt>
                <c:pt idx="251">
                  <c:v>27.469153230656381</c:v>
                </c:pt>
                <c:pt idx="252">
                  <c:v>27.194461698349816</c:v>
                </c:pt>
                <c:pt idx="253">
                  <c:v>26.922517081366319</c:v>
                </c:pt>
                <c:pt idx="254">
                  <c:v>26.653291910552657</c:v>
                </c:pt>
                <c:pt idx="255">
                  <c:v>26.386758991447131</c:v>
                </c:pt>
                <c:pt idx="256">
                  <c:v>26.122891401532659</c:v>
                </c:pt>
                <c:pt idx="257">
                  <c:v>25.861662487517332</c:v>
                </c:pt>
                <c:pt idx="258">
                  <c:v>25.603045862642158</c:v>
                </c:pt>
                <c:pt idx="259">
                  <c:v>25.347015404015735</c:v>
                </c:pt>
                <c:pt idx="260">
                  <c:v>25.093545249975577</c:v>
                </c:pt>
                <c:pt idx="261">
                  <c:v>24.84260979747582</c:v>
                </c:pt>
                <c:pt idx="262">
                  <c:v>24.594183699501063</c:v>
                </c:pt>
                <c:pt idx="263">
                  <c:v>24.34824186250605</c:v>
                </c:pt>
                <c:pt idx="264">
                  <c:v>24.10475944388099</c:v>
                </c:pt>
                <c:pt idx="265">
                  <c:v>23.863711849442179</c:v>
                </c:pt>
                <c:pt idx="266">
                  <c:v>23.625074730947759</c:v>
                </c:pt>
                <c:pt idx="267">
                  <c:v>23.388823983638282</c:v>
                </c:pt>
                <c:pt idx="268">
                  <c:v>23.1549357438019</c:v>
                </c:pt>
                <c:pt idx="269">
                  <c:v>22.92338638636388</c:v>
                </c:pt>
                <c:pt idx="270">
                  <c:v>22.694152522500243</c:v>
                </c:pt>
                <c:pt idx="271">
                  <c:v>22.467210997275242</c:v>
                </c:pt>
                <c:pt idx="272">
                  <c:v>22.242538887302491</c:v>
                </c:pt>
                <c:pt idx="273">
                  <c:v>22.020113498429467</c:v>
                </c:pt>
                <c:pt idx="274">
                  <c:v>21.799912363445173</c:v>
                </c:pt>
                <c:pt idx="275">
                  <c:v>21.581913239810721</c:v>
                </c:pt>
                <c:pt idx="276">
                  <c:v>21.366094107412614</c:v>
                </c:pt>
                <c:pt idx="277">
                  <c:v>21.152433166338486</c:v>
                </c:pt>
                <c:pt idx="278">
                  <c:v>20.940908834675103</c:v>
                </c:pt>
                <c:pt idx="279">
                  <c:v>20.73149974632835</c:v>
                </c:pt>
                <c:pt idx="280">
                  <c:v>20.524184748865068</c:v>
                </c:pt>
                <c:pt idx="281">
                  <c:v>20.318942901376417</c:v>
                </c:pt>
                <c:pt idx="282">
                  <c:v>20.115753472362652</c:v>
                </c:pt>
                <c:pt idx="283">
                  <c:v>19.914595937639024</c:v>
                </c:pt>
                <c:pt idx="284">
                  <c:v>19.715449978262633</c:v>
                </c:pt>
                <c:pt idx="285">
                  <c:v>19.518295478480006</c:v>
                </c:pt>
                <c:pt idx="286">
                  <c:v>19.323112523695205</c:v>
                </c:pt>
                <c:pt idx="287">
                  <c:v>19.129881398458252</c:v>
                </c:pt>
                <c:pt idx="288">
                  <c:v>18.938582584473668</c:v>
                </c:pt>
                <c:pt idx="289">
                  <c:v>18.74919675862893</c:v>
                </c:pt>
                <c:pt idx="290">
                  <c:v>18.56170479104264</c:v>
                </c:pt>
                <c:pt idx="291">
                  <c:v>18.376087743132214</c:v>
                </c:pt>
                <c:pt idx="292">
                  <c:v>18.192326865700892</c:v>
                </c:pt>
                <c:pt idx="293">
                  <c:v>18.010403597043883</c:v>
                </c:pt>
                <c:pt idx="294">
                  <c:v>17.830299561073446</c:v>
                </c:pt>
                <c:pt idx="295">
                  <c:v>17.65199656546271</c:v>
                </c:pt>
                <c:pt idx="296">
                  <c:v>17.475476599808083</c:v>
                </c:pt>
                <c:pt idx="297">
                  <c:v>17.300721833810002</c:v>
                </c:pt>
                <c:pt idx="298">
                  <c:v>17.127714615471902</c:v>
                </c:pt>
                <c:pt idx="299">
                  <c:v>16.956437469317184</c:v>
                </c:pt>
                <c:pt idx="300">
                  <c:v>16.78687309462401</c:v>
                </c:pt>
                <c:pt idx="301">
                  <c:v>16.619004363677771</c:v>
                </c:pt>
                <c:pt idx="302">
                  <c:v>16.452814320040993</c:v>
                </c:pt>
                <c:pt idx="303">
                  <c:v>16.288286176840582</c:v>
                </c:pt>
                <c:pt idx="304">
                  <c:v>16.125403315072177</c:v>
                </c:pt>
                <c:pt idx="305">
                  <c:v>15.964149281921454</c:v>
                </c:pt>
                <c:pt idx="306">
                  <c:v>15.804507789102239</c:v>
                </c:pt>
                <c:pt idx="307">
                  <c:v>15.646462711211216</c:v>
                </c:pt>
                <c:pt idx="308">
                  <c:v>15.489998084099103</c:v>
                </c:pt>
                <c:pt idx="309">
                  <c:v>15.335098103258112</c:v>
                </c:pt>
                <c:pt idx="310">
                  <c:v>15.181747122225531</c:v>
                </c:pt>
                <c:pt idx="311">
                  <c:v>15.029929651003275</c:v>
                </c:pt>
                <c:pt idx="312">
                  <c:v>14.879630354493242</c:v>
                </c:pt>
                <c:pt idx="313">
                  <c:v>14.73083405094831</c:v>
                </c:pt>
                <c:pt idx="314">
                  <c:v>14.583525710438828</c:v>
                </c:pt>
                <c:pt idx="315">
                  <c:v>14.437690453334438</c:v>
                </c:pt>
                <c:pt idx="316">
                  <c:v>14.293313548801093</c:v>
                </c:pt>
                <c:pt idx="317">
                  <c:v>14.150380413313082</c:v>
                </c:pt>
                <c:pt idx="318">
                  <c:v>14.00887660917995</c:v>
                </c:pt>
                <c:pt idx="319">
                  <c:v>13.86878784308815</c:v>
                </c:pt>
                <c:pt idx="320">
                  <c:v>13.730099964657269</c:v>
                </c:pt>
                <c:pt idx="321">
                  <c:v>13.592798965010696</c:v>
                </c:pt>
                <c:pt idx="322">
                  <c:v>13.456870975360589</c:v>
                </c:pt>
                <c:pt idx="323">
                  <c:v>13.322302265606982</c:v>
                </c:pt>
                <c:pt idx="324">
                  <c:v>13.189079242950912</c:v>
                </c:pt>
                <c:pt idx="325">
                  <c:v>13.057188450521403</c:v>
                </c:pt>
                <c:pt idx="326">
                  <c:v>12.92661656601619</c:v>
                </c:pt>
                <c:pt idx="327">
                  <c:v>12.797350400356027</c:v>
                </c:pt>
                <c:pt idx="328">
                  <c:v>12.669376896352468</c:v>
                </c:pt>
                <c:pt idx="329">
                  <c:v>12.542683127388942</c:v>
                </c:pt>
                <c:pt idx="330">
                  <c:v>12.417256296115053</c:v>
                </c:pt>
                <c:pt idx="331">
                  <c:v>12.293083733153901</c:v>
                </c:pt>
                <c:pt idx="332">
                  <c:v>12.170152895822362</c:v>
                </c:pt>
                <c:pt idx="333">
                  <c:v>12.048451366864137</c:v>
                </c:pt>
                <c:pt idx="334">
                  <c:v>11.927966853195496</c:v>
                </c:pt>
                <c:pt idx="335">
                  <c:v>11.80868718466354</c:v>
                </c:pt>
                <c:pt idx="336">
                  <c:v>11.690600312816905</c:v>
                </c:pt>
                <c:pt idx="337">
                  <c:v>11.573694309688735</c:v>
                </c:pt>
                <c:pt idx="338">
                  <c:v>11.457957366591847</c:v>
                </c:pt>
                <c:pt idx="339">
                  <c:v>11.343377792925928</c:v>
                </c:pt>
                <c:pt idx="340">
                  <c:v>11.229944014996668</c:v>
                </c:pt>
                <c:pt idx="341">
                  <c:v>11.117644574846702</c:v>
                </c:pt>
                <c:pt idx="342">
                  <c:v>11.006468129098234</c:v>
                </c:pt>
                <c:pt idx="343">
                  <c:v>10.896403447807252</c:v>
                </c:pt>
                <c:pt idx="344">
                  <c:v>10.78743941332918</c:v>
                </c:pt>
                <c:pt idx="345">
                  <c:v>10.679565019195888</c:v>
                </c:pt>
                <c:pt idx="346">
                  <c:v>10.572769369003929</c:v>
                </c:pt>
                <c:pt idx="347">
                  <c:v>10.46704167531389</c:v>
                </c:pt>
                <c:pt idx="348">
                  <c:v>10.362371258560751</c:v>
                </c:pt>
                <c:pt idx="349">
                  <c:v>10.258747545975144</c:v>
                </c:pt>
                <c:pt idx="350">
                  <c:v>10.156160070515392</c:v>
                </c:pt>
                <c:pt idx="351">
                  <c:v>10.054598469810239</c:v>
                </c:pt>
                <c:pt idx="352">
                  <c:v>9.9540524851121361</c:v>
                </c:pt>
                <c:pt idx="353">
                  <c:v>9.8545119602610143</c:v>
                </c:pt>
                <c:pt idx="354">
                  <c:v>9.7559668406584041</c:v>
                </c:pt>
                <c:pt idx="355">
                  <c:v>9.6584071722518203</c:v>
                </c:pt>
                <c:pt idx="356">
                  <c:v>9.5618231005293026</c:v>
                </c:pt>
                <c:pt idx="357">
                  <c:v>9.4662048695240095</c:v>
                </c:pt>
                <c:pt idx="358">
                  <c:v>9.3715428208287701</c:v>
                </c:pt>
                <c:pt idx="359">
                  <c:v>9.2778273926204822</c:v>
                </c:pt>
                <c:pt idx="360">
                  <c:v>9.1850491186942769</c:v>
                </c:pt>
                <c:pt idx="361">
                  <c:v>9.0931986275073342</c:v>
                </c:pt>
                <c:pt idx="362">
                  <c:v>9.0022666412322607</c:v>
                </c:pt>
                <c:pt idx="363">
                  <c:v>8.9122439748199387</c:v>
                </c:pt>
                <c:pt idx="364">
                  <c:v>8.8231215350717385</c:v>
                </c:pt>
                <c:pt idx="365">
                  <c:v>8.7348903197210213</c:v>
                </c:pt>
                <c:pt idx="366">
                  <c:v>8.6475414165238114</c:v>
                </c:pt>
                <c:pt idx="367">
                  <c:v>8.5610660023585723</c:v>
                </c:pt>
                <c:pt idx="368">
                  <c:v>8.4754553423349872</c:v>
                </c:pt>
                <c:pt idx="369">
                  <c:v>8.3907007889116372</c:v>
                </c:pt>
                <c:pt idx="370">
                  <c:v>8.3067937810225203</c:v>
                </c:pt>
                <c:pt idx="371">
                  <c:v>8.2237258432122946</c:v>
                </c:pt>
                <c:pt idx="372">
                  <c:v>8.1414885847801717</c:v>
                </c:pt>
                <c:pt idx="373">
                  <c:v>8.0600736989323707</c:v>
                </c:pt>
                <c:pt idx="374">
                  <c:v>7.9794729619430473</c:v>
                </c:pt>
                <c:pt idx="375">
                  <c:v>7.899678232323617</c:v>
                </c:pt>
                <c:pt idx="376">
                  <c:v>7.8206814500003805</c:v>
                </c:pt>
                <c:pt idx="377">
                  <c:v>7.7424746355003764</c:v>
                </c:pt>
                <c:pt idx="378">
                  <c:v>7.6650498891453722</c:v>
                </c:pt>
                <c:pt idx="379">
                  <c:v>7.5883993902539189</c:v>
                </c:pt>
                <c:pt idx="380">
                  <c:v>7.5125153963513798</c:v>
                </c:pt>
                <c:pt idx="381">
                  <c:v>7.4373902423878659</c:v>
                </c:pt>
                <c:pt idx="382">
                  <c:v>7.3630163399639876</c:v>
                </c:pt>
                <c:pt idx="383">
                  <c:v>7.2893861765643475</c:v>
                </c:pt>
                <c:pt idx="384">
                  <c:v>7.2164923147987041</c:v>
                </c:pt>
                <c:pt idx="385">
                  <c:v>7.1443273916507168</c:v>
                </c:pt>
                <c:pt idx="386">
                  <c:v>7.0728841177342092</c:v>
                </c:pt>
                <c:pt idx="387">
                  <c:v>7.0021552765568673</c:v>
                </c:pt>
                <c:pt idx="388">
                  <c:v>6.9321337237912983</c:v>
                </c:pt>
                <c:pt idx="389">
                  <c:v>6.8628123865533857</c:v>
                </c:pt>
                <c:pt idx="390">
                  <c:v>6.7941842626878515</c:v>
                </c:pt>
                <c:pt idx="391">
                  <c:v>6.7262424200609727</c:v>
                </c:pt>
                <c:pt idx="392">
                  <c:v>6.6589799958603626</c:v>
                </c:pt>
                <c:pt idx="393">
                  <c:v>6.5923901959017588</c:v>
                </c:pt>
                <c:pt idx="394">
                  <c:v>6.5264662939427414</c:v>
                </c:pt>
                <c:pt idx="395">
                  <c:v>6.4612016310033136</c:v>
                </c:pt>
                <c:pt idx="396">
                  <c:v>6.3965896146932808</c:v>
                </c:pt>
                <c:pt idx="397">
                  <c:v>6.3326237185463476</c:v>
                </c:pt>
                <c:pt idx="398">
                  <c:v>6.2692974813608844</c:v>
                </c:pt>
                <c:pt idx="399">
                  <c:v>6.2066045065472757</c:v>
                </c:pt>
                <c:pt idx="400">
                  <c:v>6.1445384614818028</c:v>
                </c:pt>
                <c:pt idx="401">
                  <c:v>6.0830930768669846</c:v>
                </c:pt>
                <c:pt idx="402">
                  <c:v>6.0222621460983143</c:v>
                </c:pt>
                <c:pt idx="403">
                  <c:v>5.9620395246373308</c:v>
                </c:pt>
                <c:pt idx="404">
                  <c:v>5.9024191293909576</c:v>
                </c:pt>
                <c:pt idx="405">
                  <c:v>5.843394938097048</c:v>
                </c:pt>
                <c:pt idx="406">
                  <c:v>5.7849609887160778</c:v>
                </c:pt>
                <c:pt idx="407">
                  <c:v>5.7271113788289165</c:v>
                </c:pt>
                <c:pt idx="408">
                  <c:v>5.6698402650406274</c:v>
                </c:pt>
                <c:pt idx="409">
                  <c:v>5.6131418623902212</c:v>
                </c:pt>
                <c:pt idx="410">
                  <c:v>5.5570104437663188</c:v>
                </c:pt>
                <c:pt idx="411">
                  <c:v>5.5014403393286555</c:v>
                </c:pt>
                <c:pt idx="412">
                  <c:v>5.4464259359353688</c:v>
                </c:pt>
                <c:pt idx="413">
                  <c:v>5.391961676576015</c:v>
                </c:pt>
                <c:pt idx="414">
                  <c:v>5.3380420598102551</c:v>
                </c:pt>
                <c:pt idx="415">
                  <c:v>5.2846616392121524</c:v>
                </c:pt>
                <c:pt idx="416">
                  <c:v>5.2318150228200304</c:v>
                </c:pt>
                <c:pt idx="417">
                  <c:v>5.1794968725918302</c:v>
                </c:pt>
                <c:pt idx="418">
                  <c:v>5.127701903865912</c:v>
                </c:pt>
                <c:pt idx="419">
                  <c:v>5.0764248848272526</c:v>
                </c:pt>
                <c:pt idx="420">
                  <c:v>5.0256606359789799</c:v>
                </c:pt>
                <c:pt idx="421">
                  <c:v>4.9754040296191899</c:v>
                </c:pt>
                <c:pt idx="422">
                  <c:v>4.9256499893229977</c:v>
                </c:pt>
                <c:pt idx="423">
                  <c:v>4.876393489429768</c:v>
                </c:pt>
                <c:pt idx="424">
                  <c:v>4.8276295545354699</c:v>
                </c:pt>
                <c:pt idx="425">
                  <c:v>4.7793532589901151</c:v>
                </c:pt>
                <c:pt idx="426">
                  <c:v>4.7315597264002136</c:v>
                </c:pt>
                <c:pt idx="427">
                  <c:v>4.6842441291362116</c:v>
                </c:pt>
                <c:pt idx="428">
                  <c:v>4.6374016878448492</c:v>
                </c:pt>
                <c:pt idx="429">
                  <c:v>4.5910276709664011</c:v>
                </c:pt>
                <c:pt idx="430">
                  <c:v>4.5451173942567369</c:v>
                </c:pt>
                <c:pt idx="431">
                  <c:v>4.4996662203141691</c:v>
                </c:pt>
                <c:pt idx="432">
                  <c:v>4.4546695581110276</c:v>
                </c:pt>
                <c:pt idx="433">
                  <c:v>4.4101228625299171</c:v>
                </c:pt>
                <c:pt idx="434">
                  <c:v>4.3660216339046176</c:v>
                </c:pt>
                <c:pt idx="435">
                  <c:v>4.3223614175655714</c:v>
                </c:pt>
                <c:pt idx="436">
                  <c:v>4.2791378033899159</c:v>
                </c:pt>
                <c:pt idx="437">
                  <c:v>4.2363464253560164</c:v>
                </c:pt>
                <c:pt idx="438">
                  <c:v>4.1939829611024564</c:v>
                </c:pt>
                <c:pt idx="439">
                  <c:v>4.1520431314914319</c:v>
                </c:pt>
                <c:pt idx="440">
                  <c:v>4.1105227001765172</c:v>
                </c:pt>
                <c:pt idx="441">
                  <c:v>4.0694174731747523</c:v>
                </c:pt>
                <c:pt idx="442">
                  <c:v>4.0287232984430048</c:v>
                </c:pt>
                <c:pt idx="443">
                  <c:v>3.9884360654585747</c:v>
                </c:pt>
                <c:pt idx="444">
                  <c:v>3.9485517048039886</c:v>
                </c:pt>
                <c:pt idx="445">
                  <c:v>3.9090661877559487</c:v>
                </c:pt>
                <c:pt idx="446">
                  <c:v>3.869975525878389</c:v>
                </c:pt>
                <c:pt idx="447">
                  <c:v>3.8312757706196052</c:v>
                </c:pt>
                <c:pt idx="448">
                  <c:v>3.7929630129134093</c:v>
                </c:pt>
                <c:pt idx="449">
                  <c:v>3.755033382784275</c:v>
                </c:pt>
                <c:pt idx="450">
                  <c:v>3.7174830489564323</c:v>
                </c:pt>
                <c:pt idx="451">
                  <c:v>3.6803082184668678</c:v>
                </c:pt>
                <c:pt idx="452">
                  <c:v>3.6435051362821991</c:v>
                </c:pt>
                <c:pt idx="453">
                  <c:v>3.6070700849193771</c:v>
                </c:pt>
                <c:pt idx="454">
                  <c:v>3.5709993840701832</c:v>
                </c:pt>
                <c:pt idx="455">
                  <c:v>3.5352893902294813</c:v>
                </c:pt>
                <c:pt idx="456">
                  <c:v>3.4999364963271864</c:v>
                </c:pt>
                <c:pt idx="457">
                  <c:v>3.4649371313639143</c:v>
                </c:pt>
                <c:pt idx="458">
                  <c:v>3.430287760050275</c:v>
                </c:pt>
                <c:pt idx="459">
                  <c:v>3.3959848824497723</c:v>
                </c:pt>
                <c:pt idx="460">
                  <c:v>3.3620250336252746</c:v>
                </c:pt>
                <c:pt idx="461">
                  <c:v>3.328404783289022</c:v>
                </c:pt>
                <c:pt idx="462">
                  <c:v>3.2951207354561318</c:v>
                </c:pt>
                <c:pt idx="463">
                  <c:v>3.2621695281015706</c:v>
                </c:pt>
                <c:pt idx="464">
                  <c:v>3.2295478328205549</c:v>
                </c:pt>
                <c:pt idx="465">
                  <c:v>3.1972523544923495</c:v>
                </c:pt>
                <c:pt idx="466">
                  <c:v>3.1652798309474259</c:v>
                </c:pt>
                <c:pt idx="467">
                  <c:v>3.1336270326379516</c:v>
                </c:pt>
                <c:pt idx="468">
                  <c:v>3.1022907623115721</c:v>
                </c:pt>
                <c:pt idx="469">
                  <c:v>3.0712678546884562</c:v>
                </c:pt>
                <c:pt idx="470">
                  <c:v>3.0405551761415714</c:v>
                </c:pt>
                <c:pt idx="471">
                  <c:v>3.0101496243801558</c:v>
                </c:pt>
                <c:pt idx="472">
                  <c:v>2.980048128136354</c:v>
                </c:pt>
                <c:pt idx="473">
                  <c:v>2.9502476468549905</c:v>
                </c:pt>
                <c:pt idx="474">
                  <c:v>2.9207451703864407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90-45FF-823D-857AD61FB73F}"/>
            </c:ext>
          </c:extLst>
        </c:ser>
        <c:ser>
          <c:idx val="12"/>
          <c:order val="12"/>
          <c:tx>
            <c:strRef>
              <c:f>'FPSO1 Otim'!$O$5</c:f>
              <c:strCache>
                <c:ptCount val="1"/>
                <c:pt idx="0">
                  <c:v>P13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Otim'!$O$6:$O$733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731.01750000000004</c:v>
                </c:pt>
                <c:pt idx="107">
                  <c:v>992.12850000000003</c:v>
                </c:pt>
                <c:pt idx="108">
                  <c:v>914.55000000000007</c:v>
                </c:pt>
                <c:pt idx="109">
                  <c:v>880.76549999999997</c:v>
                </c:pt>
                <c:pt idx="110">
                  <c:v>864.22499999999991</c:v>
                </c:pt>
                <c:pt idx="111">
                  <c:v>853.11299999999994</c:v>
                </c:pt>
                <c:pt idx="112">
                  <c:v>840.87149999999997</c:v>
                </c:pt>
                <c:pt idx="113">
                  <c:v>826.84949999999992</c:v>
                </c:pt>
                <c:pt idx="114">
                  <c:v>816.45900000000006</c:v>
                </c:pt>
                <c:pt idx="115">
                  <c:v>805.875</c:v>
                </c:pt>
                <c:pt idx="116">
                  <c:v>787.47600000000011</c:v>
                </c:pt>
                <c:pt idx="117">
                  <c:v>776.78250000000003</c:v>
                </c:pt>
                <c:pt idx="118">
                  <c:v>764.08949999999993</c:v>
                </c:pt>
                <c:pt idx="119">
                  <c:v>755.75850000000003</c:v>
                </c:pt>
                <c:pt idx="120">
                  <c:v>746.27549999999997</c:v>
                </c:pt>
                <c:pt idx="121">
                  <c:v>737.322</c:v>
                </c:pt>
                <c:pt idx="122">
                  <c:v>726.40049999999997</c:v>
                </c:pt>
                <c:pt idx="123">
                  <c:v>716.49149999999997</c:v>
                </c:pt>
                <c:pt idx="124">
                  <c:v>707.03250000000003</c:v>
                </c:pt>
                <c:pt idx="125">
                  <c:v>697.47450000000003</c:v>
                </c:pt>
                <c:pt idx="126">
                  <c:v>689.10450000000003</c:v>
                </c:pt>
                <c:pt idx="127">
                  <c:v>680.65049999999997</c:v>
                </c:pt>
                <c:pt idx="128">
                  <c:v>674.00850000000003</c:v>
                </c:pt>
                <c:pt idx="129">
                  <c:v>667.69350000000009</c:v>
                </c:pt>
                <c:pt idx="130">
                  <c:v>660.61649999999997</c:v>
                </c:pt>
                <c:pt idx="131">
                  <c:v>655.476</c:v>
                </c:pt>
                <c:pt idx="132">
                  <c:v>649.77449999999999</c:v>
                </c:pt>
                <c:pt idx="133">
                  <c:v>644.952</c:v>
                </c:pt>
                <c:pt idx="134">
                  <c:v>640.15049999999997</c:v>
                </c:pt>
                <c:pt idx="135">
                  <c:v>635.90250000000003</c:v>
                </c:pt>
                <c:pt idx="136">
                  <c:v>632.05649999999991</c:v>
                </c:pt>
                <c:pt idx="137">
                  <c:v>628.17450000000008</c:v>
                </c:pt>
                <c:pt idx="138">
                  <c:v>626.10450000000003</c:v>
                </c:pt>
                <c:pt idx="139">
                  <c:v>622.52549999999997</c:v>
                </c:pt>
                <c:pt idx="140">
                  <c:v>621.12149999999997</c:v>
                </c:pt>
                <c:pt idx="141">
                  <c:v>618.58050000000003</c:v>
                </c:pt>
                <c:pt idx="142">
                  <c:v>615.2940000000001</c:v>
                </c:pt>
                <c:pt idx="143">
                  <c:v>612.75</c:v>
                </c:pt>
                <c:pt idx="144">
                  <c:v>609.82500000000005</c:v>
                </c:pt>
                <c:pt idx="145">
                  <c:v>607.20899999999995</c:v>
                </c:pt>
                <c:pt idx="146">
                  <c:v>604.30050000000006</c:v>
                </c:pt>
                <c:pt idx="147">
                  <c:v>601.66949999999997</c:v>
                </c:pt>
                <c:pt idx="148">
                  <c:v>599.08050000000003</c:v>
                </c:pt>
                <c:pt idx="149">
                  <c:v>596.44949999999994</c:v>
                </c:pt>
                <c:pt idx="150">
                  <c:v>594.12149999999997</c:v>
                </c:pt>
                <c:pt idx="151">
                  <c:v>591.70049999999992</c:v>
                </c:pt>
                <c:pt idx="152">
                  <c:v>586.08899999999994</c:v>
                </c:pt>
                <c:pt idx="153">
                  <c:v>583.62149999999997</c:v>
                </c:pt>
                <c:pt idx="154">
                  <c:v>581.30099999999993</c:v>
                </c:pt>
                <c:pt idx="155">
                  <c:v>579.38699999999994</c:v>
                </c:pt>
                <c:pt idx="156">
                  <c:v>577.22550000000001</c:v>
                </c:pt>
                <c:pt idx="157">
                  <c:v>575.298</c:v>
                </c:pt>
                <c:pt idx="158">
                  <c:v>573.27449999999999</c:v>
                </c:pt>
                <c:pt idx="159">
                  <c:v>571.33050000000003</c:v>
                </c:pt>
                <c:pt idx="160">
                  <c:v>569.49149999999997</c:v>
                </c:pt>
                <c:pt idx="161">
                  <c:v>567.49950000000001</c:v>
                </c:pt>
                <c:pt idx="162">
                  <c:v>565.71749999999997</c:v>
                </c:pt>
                <c:pt idx="163">
                  <c:v>563.74950000000001</c:v>
                </c:pt>
                <c:pt idx="164">
                  <c:v>555.45899999999995</c:v>
                </c:pt>
                <c:pt idx="165">
                  <c:v>553.08899999999994</c:v>
                </c:pt>
                <c:pt idx="166">
                  <c:v>550.9815000000001</c:v>
                </c:pt>
                <c:pt idx="167">
                  <c:v>549.31499999999994</c:v>
                </c:pt>
                <c:pt idx="168">
                  <c:v>547.27500000000009</c:v>
                </c:pt>
                <c:pt idx="169">
                  <c:v>545.39549999999997</c:v>
                </c:pt>
                <c:pt idx="170">
                  <c:v>543.29999999999995</c:v>
                </c:pt>
                <c:pt idx="171">
                  <c:v>541.25850000000003</c:v>
                </c:pt>
                <c:pt idx="172">
                  <c:v>539.10450000000003</c:v>
                </c:pt>
                <c:pt idx="173">
                  <c:v>536.77500000000009</c:v>
                </c:pt>
                <c:pt idx="174">
                  <c:v>534.50850000000003</c:v>
                </c:pt>
                <c:pt idx="175">
                  <c:v>531.90000000000009</c:v>
                </c:pt>
                <c:pt idx="176">
                  <c:v>529.37850000000003</c:v>
                </c:pt>
                <c:pt idx="177">
                  <c:v>526.88699999999994</c:v>
                </c:pt>
                <c:pt idx="178">
                  <c:v>523.74149999999997</c:v>
                </c:pt>
                <c:pt idx="179">
                  <c:v>521.08050000000003</c:v>
                </c:pt>
                <c:pt idx="180">
                  <c:v>517.84950000000003</c:v>
                </c:pt>
                <c:pt idx="181">
                  <c:v>514.74149999999997</c:v>
                </c:pt>
                <c:pt idx="182">
                  <c:v>511.27500000000003</c:v>
                </c:pt>
                <c:pt idx="183">
                  <c:v>507.94350000000003</c:v>
                </c:pt>
                <c:pt idx="184">
                  <c:v>504.58050000000003</c:v>
                </c:pt>
                <c:pt idx="185">
                  <c:v>501.04950000000002</c:v>
                </c:pt>
                <c:pt idx="186">
                  <c:v>497.85450000000003</c:v>
                </c:pt>
                <c:pt idx="187">
                  <c:v>494.44949999999994</c:v>
                </c:pt>
                <c:pt idx="188">
                  <c:v>491.202</c:v>
                </c:pt>
                <c:pt idx="189">
                  <c:v>488.226</c:v>
                </c:pt>
                <c:pt idx="190">
                  <c:v>484.63350000000003</c:v>
                </c:pt>
                <c:pt idx="191">
                  <c:v>481.71749999999997</c:v>
                </c:pt>
                <c:pt idx="192">
                  <c:v>478.42499999999995</c:v>
                </c:pt>
                <c:pt idx="193">
                  <c:v>475.428</c:v>
                </c:pt>
                <c:pt idx="194">
                  <c:v>472.17450000000002</c:v>
                </c:pt>
                <c:pt idx="195">
                  <c:v>469.11300000000006</c:v>
                </c:pt>
                <c:pt idx="196">
                  <c:v>466.01550000000003</c:v>
                </c:pt>
                <c:pt idx="197">
                  <c:v>462.77549999999997</c:v>
                </c:pt>
                <c:pt idx="198">
                  <c:v>459.822</c:v>
                </c:pt>
                <c:pt idx="199">
                  <c:v>456.57449999999994</c:v>
                </c:pt>
                <c:pt idx="200">
                  <c:v>453.55649999999997</c:v>
                </c:pt>
                <c:pt idx="201">
                  <c:v>450.62849999999997</c:v>
                </c:pt>
                <c:pt idx="202">
                  <c:v>447.33600000000001</c:v>
                </c:pt>
                <c:pt idx="203">
                  <c:v>443.41949999999997</c:v>
                </c:pt>
                <c:pt idx="204">
                  <c:v>439.37549999999999</c:v>
                </c:pt>
                <c:pt idx="205">
                  <c:v>436.13699999999994</c:v>
                </c:pt>
                <c:pt idx="206">
                  <c:v>432.85050000000001</c:v>
                </c:pt>
                <c:pt idx="207">
                  <c:v>429.84749999999997</c:v>
                </c:pt>
                <c:pt idx="208">
                  <c:v>426.87150000000003</c:v>
                </c:pt>
                <c:pt idx="209">
                  <c:v>423.85050000000001</c:v>
                </c:pt>
                <c:pt idx="210">
                  <c:v>421.089</c:v>
                </c:pt>
                <c:pt idx="211">
                  <c:v>418.125</c:v>
                </c:pt>
                <c:pt idx="212">
                  <c:v>410.589</c:v>
                </c:pt>
                <c:pt idx="213">
                  <c:v>407.49149999999997</c:v>
                </c:pt>
                <c:pt idx="214">
                  <c:v>404.57100000000003</c:v>
                </c:pt>
                <c:pt idx="215">
                  <c:v>402.339</c:v>
                </c:pt>
                <c:pt idx="216">
                  <c:v>399.59999999999997</c:v>
                </c:pt>
                <c:pt idx="217">
                  <c:v>397.11300000000006</c:v>
                </c:pt>
                <c:pt idx="218">
                  <c:v>394.37549999999999</c:v>
                </c:pt>
                <c:pt idx="219">
                  <c:v>391.88699999999994</c:v>
                </c:pt>
                <c:pt idx="220">
                  <c:v>389.37150000000003</c:v>
                </c:pt>
                <c:pt idx="221">
                  <c:v>386.80050000000006</c:v>
                </c:pt>
                <c:pt idx="222">
                  <c:v>384.24149999999997</c:v>
                </c:pt>
                <c:pt idx="223">
                  <c:v>382.04999999999995</c:v>
                </c:pt>
                <c:pt idx="224">
                  <c:v>378.91949999999997</c:v>
                </c:pt>
                <c:pt idx="225">
                  <c:v>376.59749999999997</c:v>
                </c:pt>
                <c:pt idx="226">
                  <c:v>373.92899999999997</c:v>
                </c:pt>
                <c:pt idx="227">
                  <c:v>371.87850000000003</c:v>
                </c:pt>
                <c:pt idx="228">
                  <c:v>369.64949999999999</c:v>
                </c:pt>
                <c:pt idx="229">
                  <c:v>367.572</c:v>
                </c:pt>
                <c:pt idx="230">
                  <c:v>365.4</c:v>
                </c:pt>
                <c:pt idx="231">
                  <c:v>363.339</c:v>
                </c:pt>
                <c:pt idx="232">
                  <c:v>361.28249999999997</c:v>
                </c:pt>
                <c:pt idx="233">
                  <c:v>359.22450000000003</c:v>
                </c:pt>
                <c:pt idx="234">
                  <c:v>357.363</c:v>
                </c:pt>
                <c:pt idx="235">
                  <c:v>355.42499999999995</c:v>
                </c:pt>
                <c:pt idx="236">
                  <c:v>353.637</c:v>
                </c:pt>
                <c:pt idx="237">
                  <c:v>352.01549999999997</c:v>
                </c:pt>
                <c:pt idx="238">
                  <c:v>350.11649999999997</c:v>
                </c:pt>
                <c:pt idx="239">
                  <c:v>348.62850000000003</c:v>
                </c:pt>
                <c:pt idx="240">
                  <c:v>346.90049999999997</c:v>
                </c:pt>
                <c:pt idx="241">
                  <c:v>345.339</c:v>
                </c:pt>
                <c:pt idx="242">
                  <c:v>343.6755</c:v>
                </c:pt>
                <c:pt idx="243">
                  <c:v>342.12149999999997</c:v>
                </c:pt>
                <c:pt idx="244">
                  <c:v>340.572</c:v>
                </c:pt>
                <c:pt idx="245">
                  <c:v>338.97450000000003</c:v>
                </c:pt>
                <c:pt idx="246">
                  <c:v>337.548</c:v>
                </c:pt>
                <c:pt idx="247">
                  <c:v>335.97450000000003</c:v>
                </c:pt>
                <c:pt idx="248">
                  <c:v>319.572</c:v>
                </c:pt>
                <c:pt idx="249">
                  <c:v>316.64550000000003</c:v>
                </c:pt>
                <c:pt idx="250">
                  <c:v>315.23250000000002</c:v>
                </c:pt>
                <c:pt idx="251">
                  <c:v>314.15250000000003</c:v>
                </c:pt>
                <c:pt idx="252">
                  <c:v>312.9255</c:v>
                </c:pt>
                <c:pt idx="253">
                  <c:v>311.85449999999997</c:v>
                </c:pt>
                <c:pt idx="254">
                  <c:v>310.6995</c:v>
                </c:pt>
                <c:pt idx="255">
                  <c:v>309.58050000000003</c:v>
                </c:pt>
                <c:pt idx="256">
                  <c:v>308.49149999999997</c:v>
                </c:pt>
                <c:pt idx="257">
                  <c:v>307.24950000000001</c:v>
                </c:pt>
                <c:pt idx="258">
                  <c:v>306.16949999999997</c:v>
                </c:pt>
                <c:pt idx="259">
                  <c:v>304.92449999999997</c:v>
                </c:pt>
                <c:pt idx="260">
                  <c:v>303.726</c:v>
                </c:pt>
                <c:pt idx="261">
                  <c:v>302.685</c:v>
                </c:pt>
                <c:pt idx="262">
                  <c:v>301.33949999999999</c:v>
                </c:pt>
                <c:pt idx="263">
                  <c:v>300.26549999999997</c:v>
                </c:pt>
                <c:pt idx="264">
                  <c:v>298.97550000000001</c:v>
                </c:pt>
                <c:pt idx="265">
                  <c:v>297.822</c:v>
                </c:pt>
                <c:pt idx="266">
                  <c:v>296.54999999999995</c:v>
                </c:pt>
                <c:pt idx="267">
                  <c:v>295.28249999999997</c:v>
                </c:pt>
                <c:pt idx="268">
                  <c:v>294.072</c:v>
                </c:pt>
                <c:pt idx="269">
                  <c:v>292.77449999999999</c:v>
                </c:pt>
                <c:pt idx="270">
                  <c:v>291.58050000000003</c:v>
                </c:pt>
                <c:pt idx="271">
                  <c:v>290.25</c:v>
                </c:pt>
                <c:pt idx="272">
                  <c:v>289.01549999999997</c:v>
                </c:pt>
                <c:pt idx="273">
                  <c:v>287.78249999999997</c:v>
                </c:pt>
                <c:pt idx="274">
                  <c:v>286.39350000000002</c:v>
                </c:pt>
                <c:pt idx="275">
                  <c:v>285.26549999999997</c:v>
                </c:pt>
                <c:pt idx="276">
                  <c:v>283.875</c:v>
                </c:pt>
                <c:pt idx="277">
                  <c:v>282.678</c:v>
                </c:pt>
                <c:pt idx="278">
                  <c:v>281.27549999999997</c:v>
                </c:pt>
                <c:pt idx="279">
                  <c:v>280.01549999999997</c:v>
                </c:pt>
                <c:pt idx="280">
                  <c:v>278.75850000000003</c:v>
                </c:pt>
                <c:pt idx="281">
                  <c:v>277.39949999999999</c:v>
                </c:pt>
                <c:pt idx="282">
                  <c:v>276.16949999999997</c:v>
                </c:pt>
                <c:pt idx="283">
                  <c:v>274.79999999999995</c:v>
                </c:pt>
                <c:pt idx="284">
                  <c:v>273.53249999999997</c:v>
                </c:pt>
                <c:pt idx="285">
                  <c:v>272.322</c:v>
                </c:pt>
                <c:pt idx="286">
                  <c:v>270.88350000000003</c:v>
                </c:pt>
                <c:pt idx="287">
                  <c:v>269.709</c:v>
                </c:pt>
                <c:pt idx="288">
                  <c:v>268.37549999999999</c:v>
                </c:pt>
                <c:pt idx="289">
                  <c:v>267.12149999999997</c:v>
                </c:pt>
                <c:pt idx="290">
                  <c:v>265.75049999999999</c:v>
                </c:pt>
                <c:pt idx="291">
                  <c:v>264.50850000000003</c:v>
                </c:pt>
                <c:pt idx="292">
                  <c:v>263.226</c:v>
                </c:pt>
                <c:pt idx="293">
                  <c:v>261.87450000000001</c:v>
                </c:pt>
                <c:pt idx="294">
                  <c:v>260.637</c:v>
                </c:pt>
                <c:pt idx="295">
                  <c:v>259.27499999999998</c:v>
                </c:pt>
                <c:pt idx="296">
                  <c:v>258.024</c:v>
                </c:pt>
                <c:pt idx="297">
                  <c:v>256.815</c:v>
                </c:pt>
                <c:pt idx="298">
                  <c:v>255.41400000000002</c:v>
                </c:pt>
                <c:pt idx="299">
                  <c:v>254.25</c:v>
                </c:pt>
                <c:pt idx="300">
                  <c:v>253.00049999999999</c:v>
                </c:pt>
                <c:pt idx="301">
                  <c:v>251.85449999999997</c:v>
                </c:pt>
                <c:pt idx="302">
                  <c:v>250.64999999999998</c:v>
                </c:pt>
                <c:pt idx="303">
                  <c:v>249.5085</c:v>
                </c:pt>
                <c:pt idx="304">
                  <c:v>248.44349999999997</c:v>
                </c:pt>
                <c:pt idx="305">
                  <c:v>247.22550000000001</c:v>
                </c:pt>
                <c:pt idx="306">
                  <c:v>246.21750000000003</c:v>
                </c:pt>
                <c:pt idx="307">
                  <c:v>245.0505</c:v>
                </c:pt>
                <c:pt idx="308">
                  <c:v>244.01549999999997</c:v>
                </c:pt>
                <c:pt idx="309">
                  <c:v>243.024</c:v>
                </c:pt>
                <c:pt idx="310">
                  <c:v>241.875</c:v>
                </c:pt>
                <c:pt idx="311">
                  <c:v>240.9915</c:v>
                </c:pt>
                <c:pt idx="312">
                  <c:v>239.92499999999998</c:v>
                </c:pt>
                <c:pt idx="313">
                  <c:v>238.959</c:v>
                </c:pt>
                <c:pt idx="314">
                  <c:v>237.9495</c:v>
                </c:pt>
                <c:pt idx="315">
                  <c:v>237</c:v>
                </c:pt>
                <c:pt idx="316">
                  <c:v>236.10449999999997</c:v>
                </c:pt>
                <c:pt idx="317">
                  <c:v>235.09950000000001</c:v>
                </c:pt>
                <c:pt idx="318">
                  <c:v>234.21750000000003</c:v>
                </c:pt>
                <c:pt idx="319">
                  <c:v>233.25</c:v>
                </c:pt>
                <c:pt idx="320">
                  <c:v>232.3305</c:v>
                </c:pt>
                <c:pt idx="321">
                  <c:v>231.459</c:v>
                </c:pt>
                <c:pt idx="322">
                  <c:v>230.41050000000001</c:v>
                </c:pt>
                <c:pt idx="323">
                  <c:v>229.62149999999997</c:v>
                </c:pt>
                <c:pt idx="324">
                  <c:v>228.67499999999998</c:v>
                </c:pt>
                <c:pt idx="325">
                  <c:v>227.8305</c:v>
                </c:pt>
                <c:pt idx="326">
                  <c:v>226.92449999999997</c:v>
                </c:pt>
                <c:pt idx="327">
                  <c:v>226.041</c:v>
                </c:pt>
                <c:pt idx="328">
                  <c:v>225.26549999999997</c:v>
                </c:pt>
                <c:pt idx="329">
                  <c:v>224.35050000000001</c:v>
                </c:pt>
                <c:pt idx="330">
                  <c:v>223.548</c:v>
                </c:pt>
                <c:pt idx="331">
                  <c:v>222.70050000000003</c:v>
                </c:pt>
                <c:pt idx="332">
                  <c:v>221.9025</c:v>
                </c:pt>
                <c:pt idx="333">
                  <c:v>221.10449999999997</c:v>
                </c:pt>
                <c:pt idx="334">
                  <c:v>220.23149999999998</c:v>
                </c:pt>
                <c:pt idx="335">
                  <c:v>219.48450000000003</c:v>
                </c:pt>
                <c:pt idx="336">
                  <c:v>218.65049999999999</c:v>
                </c:pt>
                <c:pt idx="337">
                  <c:v>217.839</c:v>
                </c:pt>
                <c:pt idx="338">
                  <c:v>217.02449999999999</c:v>
                </c:pt>
                <c:pt idx="339">
                  <c:v>216.21750000000003</c:v>
                </c:pt>
                <c:pt idx="340">
                  <c:v>215.4195</c:v>
                </c:pt>
                <c:pt idx="341">
                  <c:v>214.54949999999997</c:v>
                </c:pt>
                <c:pt idx="342">
                  <c:v>213.9915</c:v>
                </c:pt>
                <c:pt idx="343">
                  <c:v>213.1755</c:v>
                </c:pt>
                <c:pt idx="344">
                  <c:v>212.178</c:v>
                </c:pt>
                <c:pt idx="345">
                  <c:v>211.428</c:v>
                </c:pt>
                <c:pt idx="346">
                  <c:v>210.59549999999999</c:v>
                </c:pt>
                <c:pt idx="347">
                  <c:v>209.87850000000003</c:v>
                </c:pt>
                <c:pt idx="348">
                  <c:v>209.10000000000002</c:v>
                </c:pt>
                <c:pt idx="349">
                  <c:v>208.37850000000003</c:v>
                </c:pt>
                <c:pt idx="350">
                  <c:v>207.60000000000002</c:v>
                </c:pt>
                <c:pt idx="351">
                  <c:v>204.75</c:v>
                </c:pt>
                <c:pt idx="352">
                  <c:v>202.137</c:v>
                </c:pt>
                <c:pt idx="353">
                  <c:v>199.99950000000001</c:v>
                </c:pt>
                <c:pt idx="354">
                  <c:v>198.55650000000003</c:v>
                </c:pt>
                <c:pt idx="355">
                  <c:v>197.54999999999998</c:v>
                </c:pt>
                <c:pt idx="356">
                  <c:v>196.37850000000003</c:v>
                </c:pt>
                <c:pt idx="357">
                  <c:v>195.411</c:v>
                </c:pt>
                <c:pt idx="358">
                  <c:v>194.41050000000001</c:v>
                </c:pt>
                <c:pt idx="359">
                  <c:v>193.64550000000003</c:v>
                </c:pt>
                <c:pt idx="360">
                  <c:v>192.70050000000003</c:v>
                </c:pt>
                <c:pt idx="361">
                  <c:v>191.8785</c:v>
                </c:pt>
                <c:pt idx="362">
                  <c:v>190.875</c:v>
                </c:pt>
                <c:pt idx="363">
                  <c:v>189.9195</c:v>
                </c:pt>
                <c:pt idx="364">
                  <c:v>188.952</c:v>
                </c:pt>
                <c:pt idx="365">
                  <c:v>187.90049999999999</c:v>
                </c:pt>
                <c:pt idx="366">
                  <c:v>186.02149499999999</c:v>
                </c:pt>
                <c:pt idx="367">
                  <c:v>184.16128004999999</c:v>
                </c:pt>
                <c:pt idx="368">
                  <c:v>182.31966724949999</c:v>
                </c:pt>
                <c:pt idx="369">
                  <c:v>180.49647057700497</c:v>
                </c:pt>
                <c:pt idx="370">
                  <c:v>178.69150587123491</c:v>
                </c:pt>
                <c:pt idx="371">
                  <c:v>176.90459081252257</c:v>
                </c:pt>
                <c:pt idx="372">
                  <c:v>175.13554490439734</c:v>
                </c:pt>
                <c:pt idx="373">
                  <c:v>173.38418945535335</c:v>
                </c:pt>
                <c:pt idx="374">
                  <c:v>171.65034756079982</c:v>
                </c:pt>
                <c:pt idx="375">
                  <c:v>169.93384408519182</c:v>
                </c:pt>
                <c:pt idx="376">
                  <c:v>168.23450564433989</c:v>
                </c:pt>
                <c:pt idx="377">
                  <c:v>166.55216058789648</c:v>
                </c:pt>
                <c:pt idx="378">
                  <c:v>164.8866389820175</c:v>
                </c:pt>
                <c:pt idx="379">
                  <c:v>163.23777259219733</c:v>
                </c:pt>
                <c:pt idx="380">
                  <c:v>161.60539486627536</c:v>
                </c:pt>
                <c:pt idx="381">
                  <c:v>159.98934091761259</c:v>
                </c:pt>
                <c:pt idx="382">
                  <c:v>158.38944750843646</c:v>
                </c:pt>
                <c:pt idx="383">
                  <c:v>156.80555303335208</c:v>
                </c:pt>
                <c:pt idx="384">
                  <c:v>155.23749750301857</c:v>
                </c:pt>
                <c:pt idx="385">
                  <c:v>153.6851225279884</c:v>
                </c:pt>
                <c:pt idx="386">
                  <c:v>152.14827130270851</c:v>
                </c:pt>
                <c:pt idx="387">
                  <c:v>150.62678858968141</c:v>
                </c:pt>
                <c:pt idx="388">
                  <c:v>149.12052070378459</c:v>
                </c:pt>
                <c:pt idx="389">
                  <c:v>147.62931549674676</c:v>
                </c:pt>
                <c:pt idx="390">
                  <c:v>146.15302234177929</c:v>
                </c:pt>
                <c:pt idx="391">
                  <c:v>144.69149211836151</c:v>
                </c:pt>
                <c:pt idx="392">
                  <c:v>143.2445771971779</c:v>
                </c:pt>
                <c:pt idx="393">
                  <c:v>141.81213142520613</c:v>
                </c:pt>
                <c:pt idx="394">
                  <c:v>140.39401011095407</c:v>
                </c:pt>
                <c:pt idx="395">
                  <c:v>138.99007000984452</c:v>
                </c:pt>
                <c:pt idx="396">
                  <c:v>137.60016930974606</c:v>
                </c:pt>
                <c:pt idx="397">
                  <c:v>136.2241676166486</c:v>
                </c:pt>
                <c:pt idx="398">
                  <c:v>134.86192594048211</c:v>
                </c:pt>
                <c:pt idx="399">
                  <c:v>133.5133066810773</c:v>
                </c:pt>
                <c:pt idx="400">
                  <c:v>132.17817361426651</c:v>
                </c:pt>
                <c:pt idx="401">
                  <c:v>130.85639187812384</c:v>
                </c:pt>
                <c:pt idx="402">
                  <c:v>129.54782795934261</c:v>
                </c:pt>
                <c:pt idx="403">
                  <c:v>128.25234967974919</c:v>
                </c:pt>
                <c:pt idx="404">
                  <c:v>126.96982618295169</c:v>
                </c:pt>
                <c:pt idx="405">
                  <c:v>125.70012792112217</c:v>
                </c:pt>
                <c:pt idx="406">
                  <c:v>124.44312664191095</c:v>
                </c:pt>
                <c:pt idx="407">
                  <c:v>123.19869537549184</c:v>
                </c:pt>
                <c:pt idx="408">
                  <c:v>121.96670842173693</c:v>
                </c:pt>
                <c:pt idx="409">
                  <c:v>120.74704133751955</c:v>
                </c:pt>
                <c:pt idx="410">
                  <c:v>119.53957092414436</c:v>
                </c:pt>
                <c:pt idx="411">
                  <c:v>118.34417521490292</c:v>
                </c:pt>
                <c:pt idx="412">
                  <c:v>117.16073346275388</c:v>
                </c:pt>
                <c:pt idx="413">
                  <c:v>115.98912612812634</c:v>
                </c:pt>
                <c:pt idx="414">
                  <c:v>114.82923486684508</c:v>
                </c:pt>
                <c:pt idx="415">
                  <c:v>113.68094251817664</c:v>
                </c:pt>
                <c:pt idx="416">
                  <c:v>112.54413309299487</c:v>
                </c:pt>
                <c:pt idx="417">
                  <c:v>111.41869176206492</c:v>
                </c:pt>
                <c:pt idx="418">
                  <c:v>110.30450484444427</c:v>
                </c:pt>
                <c:pt idx="419">
                  <c:v>109.20145979599982</c:v>
                </c:pt>
                <c:pt idx="420">
                  <c:v>108.10944519803982</c:v>
                </c:pt>
                <c:pt idx="421">
                  <c:v>107.02835074605942</c:v>
                </c:pt>
                <c:pt idx="422">
                  <c:v>105.95806723859882</c:v>
                </c:pt>
                <c:pt idx="423">
                  <c:v>104.89848656621282</c:v>
                </c:pt>
                <c:pt idx="424">
                  <c:v>103.84950170055069</c:v>
                </c:pt>
                <c:pt idx="425">
                  <c:v>102.81100668354519</c:v>
                </c:pt>
                <c:pt idx="426">
                  <c:v>101.78289661670973</c:v>
                </c:pt>
                <c:pt idx="427">
                  <c:v>100.76506765054263</c:v>
                </c:pt>
                <c:pt idx="428">
                  <c:v>99.757416974037213</c:v>
                </c:pt>
                <c:pt idx="429">
                  <c:v>98.759842804296838</c:v>
                </c:pt>
                <c:pt idx="430">
                  <c:v>97.772244376253866</c:v>
                </c:pt>
                <c:pt idx="431">
                  <c:v>96.794521932491321</c:v>
                </c:pt>
                <c:pt idx="432">
                  <c:v>95.826576713166403</c:v>
                </c:pt>
                <c:pt idx="433">
                  <c:v>94.86831094603474</c:v>
                </c:pt>
                <c:pt idx="434">
                  <c:v>93.919627836574392</c:v>
                </c:pt>
                <c:pt idx="435">
                  <c:v>92.98043155820865</c:v>
                </c:pt>
                <c:pt idx="436">
                  <c:v>92.050627242626561</c:v>
                </c:pt>
                <c:pt idx="437">
                  <c:v>91.130120970200295</c:v>
                </c:pt>
                <c:pt idx="438">
                  <c:v>90.218819760498292</c:v>
                </c:pt>
                <c:pt idx="439">
                  <c:v>89.316631562893306</c:v>
                </c:pt>
                <c:pt idx="440">
                  <c:v>88.423465247264375</c:v>
                </c:pt>
                <c:pt idx="441">
                  <c:v>87.539230594791732</c:v>
                </c:pt>
                <c:pt idx="442">
                  <c:v>86.66383828884382</c:v>
                </c:pt>
                <c:pt idx="443">
                  <c:v>85.797199905955381</c:v>
                </c:pt>
                <c:pt idx="444">
                  <c:v>84.939227906895823</c:v>
                </c:pt>
                <c:pt idx="445">
                  <c:v>84.089835627826858</c:v>
                </c:pt>
                <c:pt idx="446">
                  <c:v>83.248937271548584</c:v>
                </c:pt>
                <c:pt idx="447">
                  <c:v>82.416447898833098</c:v>
                </c:pt>
                <c:pt idx="448">
                  <c:v>81.592283419844762</c:v>
                </c:pt>
                <c:pt idx="449">
                  <c:v>80.776360585646316</c:v>
                </c:pt>
                <c:pt idx="450">
                  <c:v>79.968596979789851</c:v>
                </c:pt>
                <c:pt idx="451">
                  <c:v>79.168911009991945</c:v>
                </c:pt>
                <c:pt idx="452">
                  <c:v>78.377221899892021</c:v>
                </c:pt>
                <c:pt idx="453">
                  <c:v>77.593449680893102</c:v>
                </c:pt>
                <c:pt idx="454">
                  <c:v>76.817515184084172</c:v>
                </c:pt>
                <c:pt idx="455">
                  <c:v>76.049340032243336</c:v>
                </c:pt>
                <c:pt idx="456">
                  <c:v>75.288846631920904</c:v>
                </c:pt>
                <c:pt idx="457">
                  <c:v>74.535958165601699</c:v>
                </c:pt>
                <c:pt idx="458">
                  <c:v>73.79059858394568</c:v>
                </c:pt>
                <c:pt idx="459">
                  <c:v>73.052692598106219</c:v>
                </c:pt>
                <c:pt idx="460">
                  <c:v>72.322165672125152</c:v>
                </c:pt>
                <c:pt idx="461">
                  <c:v>71.598944015403902</c:v>
                </c:pt>
                <c:pt idx="462">
                  <c:v>70.882954575249869</c:v>
                </c:pt>
                <c:pt idx="463">
                  <c:v>70.174125029497375</c:v>
                </c:pt>
                <c:pt idx="464">
                  <c:v>69.472383779202403</c:v>
                </c:pt>
                <c:pt idx="465">
                  <c:v>68.777659941410377</c:v>
                </c:pt>
                <c:pt idx="466">
                  <c:v>68.08988334199627</c:v>
                </c:pt>
                <c:pt idx="467">
                  <c:v>67.40898450857631</c:v>
                </c:pt>
                <c:pt idx="468">
                  <c:v>66.73489466349055</c:v>
                </c:pt>
                <c:pt idx="469">
                  <c:v>66.067545716855648</c:v>
                </c:pt>
                <c:pt idx="470">
                  <c:v>65.406870259687096</c:v>
                </c:pt>
                <c:pt idx="471">
                  <c:v>64.752801557090223</c:v>
                </c:pt>
                <c:pt idx="472">
                  <c:v>64.105273541519324</c:v>
                </c:pt>
                <c:pt idx="473">
                  <c:v>63.46422080610413</c:v>
                </c:pt>
                <c:pt idx="474">
                  <c:v>62.829578598043085</c:v>
                </c:pt>
                <c:pt idx="475">
                  <c:v>62.201282812062651</c:v>
                </c:pt>
                <c:pt idx="476">
                  <c:v>61.579269983942027</c:v>
                </c:pt>
                <c:pt idx="477">
                  <c:v>60.963477284102609</c:v>
                </c:pt>
                <c:pt idx="478">
                  <c:v>60.353842511261583</c:v>
                </c:pt>
                <c:pt idx="479">
                  <c:v>59.750304086148965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90-45FF-823D-857AD61FB73F}"/>
            </c:ext>
          </c:extLst>
        </c:ser>
        <c:ser>
          <c:idx val="13"/>
          <c:order val="13"/>
          <c:tx>
            <c:strRef>
              <c:f>'FPSO1 Otim'!$P$5</c:f>
              <c:strCache>
                <c:ptCount val="1"/>
                <c:pt idx="0">
                  <c:v>P14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Otim'!$P$6:$P$733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284.25</c:v>
                </c:pt>
                <c:pt idx="3">
                  <c:v>333.58050000000003</c:v>
                </c:pt>
                <c:pt idx="4">
                  <c:v>366.1995</c:v>
                </c:pt>
                <c:pt idx="5">
                  <c:v>374.709</c:v>
                </c:pt>
                <c:pt idx="6">
                  <c:v>392.84999999999997</c:v>
                </c:pt>
                <c:pt idx="7">
                  <c:v>406.20899999999995</c:v>
                </c:pt>
                <c:pt idx="8">
                  <c:v>415.089</c:v>
                </c:pt>
                <c:pt idx="9">
                  <c:v>420.42450000000002</c:v>
                </c:pt>
                <c:pt idx="10">
                  <c:v>423</c:v>
                </c:pt>
                <c:pt idx="11">
                  <c:v>424.32449999999994</c:v>
                </c:pt>
                <c:pt idx="12">
                  <c:v>421.11300000000006</c:v>
                </c:pt>
                <c:pt idx="13">
                  <c:v>420.822</c:v>
                </c:pt>
                <c:pt idx="14">
                  <c:v>420.99149999999997</c:v>
                </c:pt>
                <c:pt idx="15">
                  <c:v>421.11300000000006</c:v>
                </c:pt>
                <c:pt idx="16">
                  <c:v>421.15049999999997</c:v>
                </c:pt>
                <c:pt idx="17">
                  <c:v>421.20899999999995</c:v>
                </c:pt>
                <c:pt idx="18">
                  <c:v>421.20000000000005</c:v>
                </c:pt>
                <c:pt idx="19">
                  <c:v>421.428</c:v>
                </c:pt>
                <c:pt idx="20">
                  <c:v>421.548</c:v>
                </c:pt>
                <c:pt idx="21">
                  <c:v>421.62450000000001</c:v>
                </c:pt>
                <c:pt idx="22">
                  <c:v>421.548</c:v>
                </c:pt>
                <c:pt idx="23">
                  <c:v>421.34999999999997</c:v>
                </c:pt>
                <c:pt idx="24">
                  <c:v>421.452</c:v>
                </c:pt>
                <c:pt idx="25">
                  <c:v>421.13699999999994</c:v>
                </c:pt>
                <c:pt idx="26">
                  <c:v>420.50850000000003</c:v>
                </c:pt>
                <c:pt idx="27">
                  <c:v>419.928</c:v>
                </c:pt>
                <c:pt idx="28">
                  <c:v>419.12549999999999</c:v>
                </c:pt>
                <c:pt idx="29">
                  <c:v>418.161</c:v>
                </c:pt>
                <c:pt idx="30">
                  <c:v>417.07500000000005</c:v>
                </c:pt>
                <c:pt idx="31">
                  <c:v>415.98449999999997</c:v>
                </c:pt>
                <c:pt idx="32">
                  <c:v>414.75</c:v>
                </c:pt>
                <c:pt idx="33">
                  <c:v>413.40000000000003</c:v>
                </c:pt>
                <c:pt idx="34">
                  <c:v>412.64549999999997</c:v>
                </c:pt>
                <c:pt idx="35">
                  <c:v>411.02549999999997</c:v>
                </c:pt>
                <c:pt idx="36">
                  <c:v>409.69350000000003</c:v>
                </c:pt>
                <c:pt idx="37">
                  <c:v>407.90250000000003</c:v>
                </c:pt>
                <c:pt idx="38">
                  <c:v>405.64349999999996</c:v>
                </c:pt>
                <c:pt idx="39">
                  <c:v>403.88699999999994</c:v>
                </c:pt>
                <c:pt idx="40">
                  <c:v>401.74950000000001</c:v>
                </c:pt>
                <c:pt idx="41">
                  <c:v>399.84749999999997</c:v>
                </c:pt>
                <c:pt idx="42">
                  <c:v>397.72499999999997</c:v>
                </c:pt>
                <c:pt idx="43">
                  <c:v>395.68500000000006</c:v>
                </c:pt>
                <c:pt idx="44">
                  <c:v>393.702</c:v>
                </c:pt>
                <c:pt idx="45">
                  <c:v>391.5</c:v>
                </c:pt>
                <c:pt idx="46">
                  <c:v>389.51550000000003</c:v>
                </c:pt>
                <c:pt idx="47">
                  <c:v>387.32549999999998</c:v>
                </c:pt>
                <c:pt idx="48">
                  <c:v>383.51549999999997</c:v>
                </c:pt>
                <c:pt idx="49">
                  <c:v>381.48450000000003</c:v>
                </c:pt>
                <c:pt idx="50">
                  <c:v>379.42200000000003</c:v>
                </c:pt>
                <c:pt idx="51">
                  <c:v>377.685</c:v>
                </c:pt>
                <c:pt idx="52">
                  <c:v>375.75</c:v>
                </c:pt>
                <c:pt idx="53">
                  <c:v>373.428</c:v>
                </c:pt>
                <c:pt idx="54">
                  <c:v>370.3245</c:v>
                </c:pt>
                <c:pt idx="55">
                  <c:v>367.33050000000003</c:v>
                </c:pt>
                <c:pt idx="56">
                  <c:v>364.37850000000003</c:v>
                </c:pt>
                <c:pt idx="57">
                  <c:v>361.35</c:v>
                </c:pt>
                <c:pt idx="58">
                  <c:v>358.572</c:v>
                </c:pt>
                <c:pt idx="59">
                  <c:v>355.57500000000005</c:v>
                </c:pt>
                <c:pt idx="60">
                  <c:v>349.37850000000003</c:v>
                </c:pt>
                <c:pt idx="61">
                  <c:v>346.35449999999997</c:v>
                </c:pt>
                <c:pt idx="62">
                  <c:v>343.71449999999999</c:v>
                </c:pt>
                <c:pt idx="63">
                  <c:v>341.51549999999997</c:v>
                </c:pt>
                <c:pt idx="64">
                  <c:v>339.02549999999997</c:v>
                </c:pt>
                <c:pt idx="65">
                  <c:v>336.726</c:v>
                </c:pt>
                <c:pt idx="66">
                  <c:v>334.27499999999998</c:v>
                </c:pt>
                <c:pt idx="67">
                  <c:v>331.959</c:v>
                </c:pt>
                <c:pt idx="68">
                  <c:v>329.637</c:v>
                </c:pt>
                <c:pt idx="69">
                  <c:v>327.25049999999999</c:v>
                </c:pt>
                <c:pt idx="70">
                  <c:v>325.089</c:v>
                </c:pt>
                <c:pt idx="71">
                  <c:v>322.84950000000003</c:v>
                </c:pt>
                <c:pt idx="72">
                  <c:v>320.73450000000003</c:v>
                </c:pt>
                <c:pt idx="73">
                  <c:v>318.702</c:v>
                </c:pt>
                <c:pt idx="74">
                  <c:v>316.47300000000001</c:v>
                </c:pt>
                <c:pt idx="75">
                  <c:v>314.565</c:v>
                </c:pt>
                <c:pt idx="76">
                  <c:v>312.34950000000003</c:v>
                </c:pt>
                <c:pt idx="77">
                  <c:v>310.30650000000003</c:v>
                </c:pt>
                <c:pt idx="78">
                  <c:v>308.0745</c:v>
                </c:pt>
                <c:pt idx="79">
                  <c:v>305.976</c:v>
                </c:pt>
                <c:pt idx="80">
                  <c:v>303.87149999999997</c:v>
                </c:pt>
                <c:pt idx="81">
                  <c:v>301.75049999999999</c:v>
                </c:pt>
                <c:pt idx="82">
                  <c:v>299.709</c:v>
                </c:pt>
                <c:pt idx="83">
                  <c:v>297.60000000000002</c:v>
                </c:pt>
                <c:pt idx="84">
                  <c:v>295.59749999999997</c:v>
                </c:pt>
                <c:pt idx="85">
                  <c:v>293.661</c:v>
                </c:pt>
                <c:pt idx="86">
                  <c:v>291.50850000000003</c:v>
                </c:pt>
                <c:pt idx="87">
                  <c:v>289.71750000000003</c:v>
                </c:pt>
                <c:pt idx="88">
                  <c:v>287.70000000000005</c:v>
                </c:pt>
                <c:pt idx="89">
                  <c:v>285.774</c:v>
                </c:pt>
                <c:pt idx="90">
                  <c:v>283.84950000000003</c:v>
                </c:pt>
                <c:pt idx="91">
                  <c:v>281.976</c:v>
                </c:pt>
                <c:pt idx="92">
                  <c:v>280.113</c:v>
                </c:pt>
                <c:pt idx="93">
                  <c:v>278.22450000000003</c:v>
                </c:pt>
                <c:pt idx="94">
                  <c:v>276.435</c:v>
                </c:pt>
                <c:pt idx="95">
                  <c:v>274.57500000000005</c:v>
                </c:pt>
                <c:pt idx="96">
                  <c:v>272.85449999999997</c:v>
                </c:pt>
                <c:pt idx="97">
                  <c:v>271.137</c:v>
                </c:pt>
                <c:pt idx="98">
                  <c:v>269.3535</c:v>
                </c:pt>
                <c:pt idx="99">
                  <c:v>296.80650000000003</c:v>
                </c:pt>
                <c:pt idx="100">
                  <c:v>302.35050000000001</c:v>
                </c:pt>
                <c:pt idx="101">
                  <c:v>303.12149999999997</c:v>
                </c:pt>
                <c:pt idx="102">
                  <c:v>303.12450000000001</c:v>
                </c:pt>
                <c:pt idx="103">
                  <c:v>302.661</c:v>
                </c:pt>
                <c:pt idx="104">
                  <c:v>301.959</c:v>
                </c:pt>
                <c:pt idx="105">
                  <c:v>301.125</c:v>
                </c:pt>
                <c:pt idx="106">
                  <c:v>300.19349999999997</c:v>
                </c:pt>
                <c:pt idx="107">
                  <c:v>299.14949999999999</c:v>
                </c:pt>
                <c:pt idx="108">
                  <c:v>295.30650000000003</c:v>
                </c:pt>
                <c:pt idx="109">
                  <c:v>293.85449999999997</c:v>
                </c:pt>
                <c:pt idx="110">
                  <c:v>292.82100000000003</c:v>
                </c:pt>
                <c:pt idx="111">
                  <c:v>291.87149999999997</c:v>
                </c:pt>
                <c:pt idx="112">
                  <c:v>290.85000000000002</c:v>
                </c:pt>
                <c:pt idx="113">
                  <c:v>289.791</c:v>
                </c:pt>
                <c:pt idx="114">
                  <c:v>288.70050000000003</c:v>
                </c:pt>
                <c:pt idx="115">
                  <c:v>287.589</c:v>
                </c:pt>
                <c:pt idx="116">
                  <c:v>286.452</c:v>
                </c:pt>
                <c:pt idx="117">
                  <c:v>285.27449999999999</c:v>
                </c:pt>
                <c:pt idx="118">
                  <c:v>285.024</c:v>
                </c:pt>
                <c:pt idx="119">
                  <c:v>284.8245</c:v>
                </c:pt>
                <c:pt idx="120">
                  <c:v>285.14550000000003</c:v>
                </c:pt>
                <c:pt idx="121">
                  <c:v>285.048</c:v>
                </c:pt>
                <c:pt idx="122">
                  <c:v>284.8125</c:v>
                </c:pt>
                <c:pt idx="123">
                  <c:v>284.46750000000003</c:v>
                </c:pt>
                <c:pt idx="124">
                  <c:v>283.97550000000001</c:v>
                </c:pt>
                <c:pt idx="125">
                  <c:v>283.524</c:v>
                </c:pt>
                <c:pt idx="126">
                  <c:v>282.9495</c:v>
                </c:pt>
                <c:pt idx="127">
                  <c:v>282.387</c:v>
                </c:pt>
                <c:pt idx="128">
                  <c:v>281.73450000000003</c:v>
                </c:pt>
                <c:pt idx="129">
                  <c:v>281.02499999999998</c:v>
                </c:pt>
                <c:pt idx="130">
                  <c:v>280.35449999999997</c:v>
                </c:pt>
                <c:pt idx="131">
                  <c:v>279.52499999999998</c:v>
                </c:pt>
                <c:pt idx="132">
                  <c:v>278.75850000000003</c:v>
                </c:pt>
                <c:pt idx="133">
                  <c:v>277.98450000000003</c:v>
                </c:pt>
                <c:pt idx="134">
                  <c:v>277.07100000000003</c:v>
                </c:pt>
                <c:pt idx="135">
                  <c:v>276.26549999999997</c:v>
                </c:pt>
                <c:pt idx="136">
                  <c:v>275.37450000000001</c:v>
                </c:pt>
                <c:pt idx="137">
                  <c:v>274.452</c:v>
                </c:pt>
                <c:pt idx="138">
                  <c:v>273.49950000000001</c:v>
                </c:pt>
                <c:pt idx="139">
                  <c:v>272.565</c:v>
                </c:pt>
                <c:pt idx="140">
                  <c:v>271.59749999999997</c:v>
                </c:pt>
                <c:pt idx="141">
                  <c:v>270.5745</c:v>
                </c:pt>
                <c:pt idx="142">
                  <c:v>269.589</c:v>
                </c:pt>
                <c:pt idx="143">
                  <c:v>268.54949999999997</c:v>
                </c:pt>
                <c:pt idx="144">
                  <c:v>258.26549999999997</c:v>
                </c:pt>
                <c:pt idx="145">
                  <c:v>256.089</c:v>
                </c:pt>
                <c:pt idx="146">
                  <c:v>255.43950000000001</c:v>
                </c:pt>
                <c:pt idx="147">
                  <c:v>254.952</c:v>
                </c:pt>
                <c:pt idx="148">
                  <c:v>254.4255</c:v>
                </c:pt>
                <c:pt idx="149">
                  <c:v>253.791</c:v>
                </c:pt>
                <c:pt idx="150">
                  <c:v>253.17449999999997</c:v>
                </c:pt>
                <c:pt idx="151">
                  <c:v>252.459</c:v>
                </c:pt>
                <c:pt idx="152">
                  <c:v>251.7585</c:v>
                </c:pt>
                <c:pt idx="153">
                  <c:v>250.97550000000001</c:v>
                </c:pt>
                <c:pt idx="154">
                  <c:v>250.209</c:v>
                </c:pt>
                <c:pt idx="155">
                  <c:v>249.34950000000001</c:v>
                </c:pt>
                <c:pt idx="156">
                  <c:v>248.4915</c:v>
                </c:pt>
                <c:pt idx="157">
                  <c:v>247.64550000000003</c:v>
                </c:pt>
                <c:pt idx="158">
                  <c:v>246.66899999999998</c:v>
                </c:pt>
                <c:pt idx="159">
                  <c:v>245.87850000000003</c:v>
                </c:pt>
                <c:pt idx="160">
                  <c:v>244.84950000000001</c:v>
                </c:pt>
                <c:pt idx="161">
                  <c:v>243.96750000000003</c:v>
                </c:pt>
                <c:pt idx="162">
                  <c:v>242.92499999999998</c:v>
                </c:pt>
                <c:pt idx="163">
                  <c:v>241.98450000000003</c:v>
                </c:pt>
                <c:pt idx="164">
                  <c:v>241.01549999999997</c:v>
                </c:pt>
                <c:pt idx="165">
                  <c:v>239.95050000000003</c:v>
                </c:pt>
                <c:pt idx="166">
                  <c:v>239.0085</c:v>
                </c:pt>
                <c:pt idx="167">
                  <c:v>237.9495</c:v>
                </c:pt>
                <c:pt idx="168">
                  <c:v>236.9025</c:v>
                </c:pt>
                <c:pt idx="169">
                  <c:v>235.911</c:v>
                </c:pt>
                <c:pt idx="170">
                  <c:v>234.804</c:v>
                </c:pt>
                <c:pt idx="171">
                  <c:v>233.85449999999997</c:v>
                </c:pt>
                <c:pt idx="172">
                  <c:v>232.77449999999999</c:v>
                </c:pt>
                <c:pt idx="173">
                  <c:v>231.75</c:v>
                </c:pt>
                <c:pt idx="174">
                  <c:v>230.67449999999997</c:v>
                </c:pt>
                <c:pt idx="175">
                  <c:v>229.5975</c:v>
                </c:pt>
                <c:pt idx="176">
                  <c:v>228.5805</c:v>
                </c:pt>
                <c:pt idx="177">
                  <c:v>227.4495</c:v>
                </c:pt>
                <c:pt idx="178">
                  <c:v>226.428</c:v>
                </c:pt>
                <c:pt idx="179">
                  <c:v>225.40049999999999</c:v>
                </c:pt>
                <c:pt idx="180">
                  <c:v>224.322</c:v>
                </c:pt>
                <c:pt idx="181">
                  <c:v>223.35449999999997</c:v>
                </c:pt>
                <c:pt idx="182">
                  <c:v>222.2415</c:v>
                </c:pt>
                <c:pt idx="183">
                  <c:v>221.298</c:v>
                </c:pt>
                <c:pt idx="184">
                  <c:v>220.22550000000001</c:v>
                </c:pt>
                <c:pt idx="185">
                  <c:v>219.2415</c:v>
                </c:pt>
                <c:pt idx="186">
                  <c:v>218.17499999999998</c:v>
                </c:pt>
                <c:pt idx="187">
                  <c:v>217.161</c:v>
                </c:pt>
                <c:pt idx="188">
                  <c:v>216.1695</c:v>
                </c:pt>
                <c:pt idx="189">
                  <c:v>215.12549999999999</c:v>
                </c:pt>
                <c:pt idx="190">
                  <c:v>214.137</c:v>
                </c:pt>
                <c:pt idx="191">
                  <c:v>213.10050000000001</c:v>
                </c:pt>
                <c:pt idx="192">
                  <c:v>212.12850000000003</c:v>
                </c:pt>
                <c:pt idx="193">
                  <c:v>211.185</c:v>
                </c:pt>
                <c:pt idx="194">
                  <c:v>210.1035</c:v>
                </c:pt>
                <c:pt idx="195">
                  <c:v>209.178</c:v>
                </c:pt>
                <c:pt idx="196">
                  <c:v>208.20000000000002</c:v>
                </c:pt>
                <c:pt idx="197">
                  <c:v>207.26549999999997</c:v>
                </c:pt>
                <c:pt idx="198">
                  <c:v>206.27549999999999</c:v>
                </c:pt>
                <c:pt idx="199">
                  <c:v>205.37850000000003</c:v>
                </c:pt>
                <c:pt idx="200">
                  <c:v>204.459</c:v>
                </c:pt>
                <c:pt idx="201">
                  <c:v>203.50049999999999</c:v>
                </c:pt>
                <c:pt idx="202">
                  <c:v>202.62149999999997</c:v>
                </c:pt>
                <c:pt idx="203">
                  <c:v>201.67499999999998</c:v>
                </c:pt>
                <c:pt idx="204">
                  <c:v>200.8305</c:v>
                </c:pt>
                <c:pt idx="205">
                  <c:v>199.935</c:v>
                </c:pt>
                <c:pt idx="206">
                  <c:v>198.96449999999999</c:v>
                </c:pt>
                <c:pt idx="207">
                  <c:v>198.1695</c:v>
                </c:pt>
                <c:pt idx="208">
                  <c:v>197.20050000000003</c:v>
                </c:pt>
                <c:pt idx="209">
                  <c:v>196.35449999999997</c:v>
                </c:pt>
                <c:pt idx="210">
                  <c:v>195.42449999999997</c:v>
                </c:pt>
                <c:pt idx="211">
                  <c:v>194.541</c:v>
                </c:pt>
                <c:pt idx="212">
                  <c:v>193.64550000000003</c:v>
                </c:pt>
                <c:pt idx="213">
                  <c:v>192.70050000000003</c:v>
                </c:pt>
                <c:pt idx="214">
                  <c:v>191.9025</c:v>
                </c:pt>
                <c:pt idx="215">
                  <c:v>190.92449999999999</c:v>
                </c:pt>
                <c:pt idx="216">
                  <c:v>190.137</c:v>
                </c:pt>
                <c:pt idx="217">
                  <c:v>189.291</c:v>
                </c:pt>
                <c:pt idx="218">
                  <c:v>188.3835</c:v>
                </c:pt>
                <c:pt idx="219">
                  <c:v>187.572</c:v>
                </c:pt>
                <c:pt idx="220">
                  <c:v>186.70050000000001</c:v>
                </c:pt>
                <c:pt idx="221">
                  <c:v>185.9025</c:v>
                </c:pt>
                <c:pt idx="222">
                  <c:v>184.97549999999998</c:v>
                </c:pt>
                <c:pt idx="223">
                  <c:v>184.185</c:v>
                </c:pt>
                <c:pt idx="224">
                  <c:v>183.291</c:v>
                </c:pt>
                <c:pt idx="225">
                  <c:v>182.4495</c:v>
                </c:pt>
                <c:pt idx="226">
                  <c:v>181.6215</c:v>
                </c:pt>
                <c:pt idx="227">
                  <c:v>180.70050000000001</c:v>
                </c:pt>
                <c:pt idx="228">
                  <c:v>179.9025</c:v>
                </c:pt>
                <c:pt idx="229">
                  <c:v>179.0565</c:v>
                </c:pt>
                <c:pt idx="230">
                  <c:v>178.125</c:v>
                </c:pt>
                <c:pt idx="231">
                  <c:v>177.363</c:v>
                </c:pt>
                <c:pt idx="232">
                  <c:v>176.47500000000002</c:v>
                </c:pt>
                <c:pt idx="233">
                  <c:v>175.6455</c:v>
                </c:pt>
                <c:pt idx="234">
                  <c:v>174.72450000000001</c:v>
                </c:pt>
                <c:pt idx="235">
                  <c:v>173.928</c:v>
                </c:pt>
                <c:pt idx="236">
                  <c:v>173.0565</c:v>
                </c:pt>
                <c:pt idx="237">
                  <c:v>172.17449999999999</c:v>
                </c:pt>
                <c:pt idx="238">
                  <c:v>171.5085</c:v>
                </c:pt>
                <c:pt idx="239">
                  <c:v>170.67449999999999</c:v>
                </c:pt>
                <c:pt idx="240">
                  <c:v>169.6935</c:v>
                </c:pt>
                <c:pt idx="241">
                  <c:v>168.8475</c:v>
                </c:pt>
                <c:pt idx="242">
                  <c:v>168</c:v>
                </c:pt>
                <c:pt idx="243">
                  <c:v>167.202</c:v>
                </c:pt>
                <c:pt idx="244">
                  <c:v>166.35000000000002</c:v>
                </c:pt>
                <c:pt idx="245">
                  <c:v>165.5565</c:v>
                </c:pt>
                <c:pt idx="246">
                  <c:v>164.67449999999999</c:v>
                </c:pt>
                <c:pt idx="247">
                  <c:v>163.02775499999998</c:v>
                </c:pt>
                <c:pt idx="248">
                  <c:v>161.39747745</c:v>
                </c:pt>
                <c:pt idx="249">
                  <c:v>159.78350267549999</c:v>
                </c:pt>
                <c:pt idx="250">
                  <c:v>158.18566764874498</c:v>
                </c:pt>
                <c:pt idx="251">
                  <c:v>156.60381097225752</c:v>
                </c:pt>
                <c:pt idx="252">
                  <c:v>155.03777286253495</c:v>
                </c:pt>
                <c:pt idx="253">
                  <c:v>153.48739513390959</c:v>
                </c:pt>
                <c:pt idx="254">
                  <c:v>151.95252118257048</c:v>
                </c:pt>
                <c:pt idx="255">
                  <c:v>150.43299597074477</c:v>
                </c:pt>
                <c:pt idx="256">
                  <c:v>148.92866601103731</c:v>
                </c:pt>
                <c:pt idx="257">
                  <c:v>147.43937935092694</c:v>
                </c:pt>
                <c:pt idx="258">
                  <c:v>145.96498555741766</c:v>
                </c:pt>
                <c:pt idx="259">
                  <c:v>144.50533570184348</c:v>
                </c:pt>
                <c:pt idx="260">
                  <c:v>143.06028234482505</c:v>
                </c:pt>
                <c:pt idx="261">
                  <c:v>141.6296795213768</c:v>
                </c:pt>
                <c:pt idx="262">
                  <c:v>140.21338272616302</c:v>
                </c:pt>
                <c:pt idx="263">
                  <c:v>138.8112488989014</c:v>
                </c:pt>
                <c:pt idx="264">
                  <c:v>137.42313640991239</c:v>
                </c:pt>
                <c:pt idx="265">
                  <c:v>136.04890504581326</c:v>
                </c:pt>
                <c:pt idx="266">
                  <c:v>134.68841599535511</c:v>
                </c:pt>
                <c:pt idx="267">
                  <c:v>133.34153183540155</c:v>
                </c:pt>
                <c:pt idx="268">
                  <c:v>132.00811651704754</c:v>
                </c:pt>
                <c:pt idx="269">
                  <c:v>130.68803535187706</c:v>
                </c:pt>
                <c:pt idx="270">
                  <c:v>129.38115499835828</c:v>
                </c:pt>
                <c:pt idx="271">
                  <c:v>128.0873434483747</c:v>
                </c:pt>
                <c:pt idx="272">
                  <c:v>126.80647001389094</c:v>
                </c:pt>
                <c:pt idx="273">
                  <c:v>125.53840531375204</c:v>
                </c:pt>
                <c:pt idx="274">
                  <c:v>124.28302126061452</c:v>
                </c:pt>
                <c:pt idx="275">
                  <c:v>123.04019104800837</c:v>
                </c:pt>
                <c:pt idx="276">
                  <c:v>121.80978913752828</c:v>
                </c:pt>
                <c:pt idx="277">
                  <c:v>120.591691246153</c:v>
                </c:pt>
                <c:pt idx="278">
                  <c:v>119.38577433369147</c:v>
                </c:pt>
                <c:pt idx="279">
                  <c:v>118.19191659035455</c:v>
                </c:pt>
                <c:pt idx="280">
                  <c:v>117.009997424451</c:v>
                </c:pt>
                <c:pt idx="281">
                  <c:v>115.83989745020649</c:v>
                </c:pt>
                <c:pt idx="282">
                  <c:v>114.68149847570443</c:v>
                </c:pt>
                <c:pt idx="283">
                  <c:v>113.53468349094739</c:v>
                </c:pt>
                <c:pt idx="284">
                  <c:v>112.39933665603792</c:v>
                </c:pt>
                <c:pt idx="285">
                  <c:v>111.27534328947753</c:v>
                </c:pt>
                <c:pt idx="286">
                  <c:v>110.16258985658276</c:v>
                </c:pt>
                <c:pt idx="287">
                  <c:v>109.06096395801693</c:v>
                </c:pt>
                <c:pt idx="288">
                  <c:v>107.97035431843676</c:v>
                </c:pt>
                <c:pt idx="289">
                  <c:v>106.8906507752524</c:v>
                </c:pt>
                <c:pt idx="290">
                  <c:v>105.82174426749987</c:v>
                </c:pt>
                <c:pt idx="291">
                  <c:v>104.76352682482487</c:v>
                </c:pt>
                <c:pt idx="292">
                  <c:v>103.71589155657662</c:v>
                </c:pt>
                <c:pt idx="293">
                  <c:v>102.67873264101085</c:v>
                </c:pt>
                <c:pt idx="294">
                  <c:v>101.65194531460074</c:v>
                </c:pt>
                <c:pt idx="295">
                  <c:v>100.63542586145473</c:v>
                </c:pt>
                <c:pt idx="296">
                  <c:v>99.629071602840185</c:v>
                </c:pt>
                <c:pt idx="297">
                  <c:v>98.632780886811787</c:v>
                </c:pt>
                <c:pt idx="298">
                  <c:v>97.646453077943661</c:v>
                </c:pt>
                <c:pt idx="299">
                  <c:v>96.669988547164223</c:v>
                </c:pt>
                <c:pt idx="300">
                  <c:v>95.703288661692582</c:v>
                </c:pt>
                <c:pt idx="301">
                  <c:v>94.746255775075653</c:v>
                </c:pt>
                <c:pt idx="302">
                  <c:v>93.798793217324899</c:v>
                </c:pt>
                <c:pt idx="303">
                  <c:v>92.860805285151656</c:v>
                </c:pt>
                <c:pt idx="304">
                  <c:v>91.93219723230014</c:v>
                </c:pt>
                <c:pt idx="305">
                  <c:v>91.012875259977136</c:v>
                </c:pt>
                <c:pt idx="306">
                  <c:v>90.102746507377361</c:v>
                </c:pt>
                <c:pt idx="307">
                  <c:v>89.20171904230358</c:v>
                </c:pt>
                <c:pt idx="308">
                  <c:v>88.309701851880547</c:v>
                </c:pt>
                <c:pt idx="309">
                  <c:v>87.426604833361736</c:v>
                </c:pt>
                <c:pt idx="310">
                  <c:v>86.552338785028113</c:v>
                </c:pt>
                <c:pt idx="311">
                  <c:v>85.686815397177824</c:v>
                </c:pt>
                <c:pt idx="312">
                  <c:v>84.82994724320605</c:v>
                </c:pt>
                <c:pt idx="313">
                  <c:v>83.981647770773989</c:v>
                </c:pt>
                <c:pt idx="314">
                  <c:v>83.141831293066247</c:v>
                </c:pt>
                <c:pt idx="315">
                  <c:v>82.310412980135581</c:v>
                </c:pt>
                <c:pt idx="316">
                  <c:v>81.48730885033423</c:v>
                </c:pt>
                <c:pt idx="317">
                  <c:v>80.672435761830883</c:v>
                </c:pt>
                <c:pt idx="318">
                  <c:v>79.865711404212576</c:v>
                </c:pt>
                <c:pt idx="319">
                  <c:v>79.067054290170447</c:v>
                </c:pt>
                <c:pt idx="320">
                  <c:v>78.276383747268738</c:v>
                </c:pt>
                <c:pt idx="321">
                  <c:v>77.493619909796053</c:v>
                </c:pt>
                <c:pt idx="322">
                  <c:v>76.718683710698087</c:v>
                </c:pt>
                <c:pt idx="323">
                  <c:v>75.951496873591111</c:v>
                </c:pt>
                <c:pt idx="324">
                  <c:v>75.191981904855197</c:v>
                </c:pt>
                <c:pt idx="325">
                  <c:v>74.440062085806645</c:v>
                </c:pt>
                <c:pt idx="326">
                  <c:v>73.695661464948572</c:v>
                </c:pt>
                <c:pt idx="327">
                  <c:v>72.958704850299085</c:v>
                </c:pt>
                <c:pt idx="328">
                  <c:v>72.229117801796093</c:v>
                </c:pt>
                <c:pt idx="329">
                  <c:v>71.506826623778124</c:v>
                </c:pt>
                <c:pt idx="330">
                  <c:v>70.791758357540346</c:v>
                </c:pt>
                <c:pt idx="331">
                  <c:v>70.083840773964937</c:v>
                </c:pt>
                <c:pt idx="332">
                  <c:v>69.383002366225284</c:v>
                </c:pt>
                <c:pt idx="333">
                  <c:v>68.689172342563026</c:v>
                </c:pt>
                <c:pt idx="334">
                  <c:v>68.002280619137395</c:v>
                </c:pt>
                <c:pt idx="335">
                  <c:v>67.32225781294602</c:v>
                </c:pt>
                <c:pt idx="336">
                  <c:v>66.649035234816566</c:v>
                </c:pt>
                <c:pt idx="337">
                  <c:v>65.982544882468403</c:v>
                </c:pt>
                <c:pt idx="338">
                  <c:v>65.322719433643712</c:v>
                </c:pt>
                <c:pt idx="339">
                  <c:v>64.669492239307274</c:v>
                </c:pt>
                <c:pt idx="340">
                  <c:v>64.022797316914207</c:v>
                </c:pt>
                <c:pt idx="341">
                  <c:v>63.382569343745068</c:v>
                </c:pt>
                <c:pt idx="342">
                  <c:v>62.748743650307617</c:v>
                </c:pt>
                <c:pt idx="343">
                  <c:v>62.121256213804543</c:v>
                </c:pt>
                <c:pt idx="344">
                  <c:v>61.500043651666495</c:v>
                </c:pt>
                <c:pt idx="345">
                  <c:v>60.885043215149828</c:v>
                </c:pt>
                <c:pt idx="346">
                  <c:v>60.276192782998329</c:v>
                </c:pt>
                <c:pt idx="347">
                  <c:v>59.673430855168348</c:v>
                </c:pt>
                <c:pt idx="348">
                  <c:v>59.076696546616667</c:v>
                </c:pt>
                <c:pt idx="349">
                  <c:v>58.485929581150501</c:v>
                </c:pt>
                <c:pt idx="350">
                  <c:v>57.901070285338996</c:v>
                </c:pt>
                <c:pt idx="351">
                  <c:v>57.322059582485608</c:v>
                </c:pt>
                <c:pt idx="352">
                  <c:v>56.748838986660751</c:v>
                </c:pt>
                <c:pt idx="353">
                  <c:v>56.18135059679414</c:v>
                </c:pt>
                <c:pt idx="354">
                  <c:v>55.619537090826199</c:v>
                </c:pt>
                <c:pt idx="355">
                  <c:v>55.063341719917936</c:v>
                </c:pt>
                <c:pt idx="356">
                  <c:v>54.512708302718757</c:v>
                </c:pt>
                <c:pt idx="357">
                  <c:v>53.967581219691567</c:v>
                </c:pt>
                <c:pt idx="358">
                  <c:v>53.427905407494649</c:v>
                </c:pt>
                <c:pt idx="359">
                  <c:v>52.893626353419698</c:v>
                </c:pt>
                <c:pt idx="360">
                  <c:v>52.364690089885499</c:v>
                </c:pt>
                <c:pt idx="361">
                  <c:v>51.841043188986646</c:v>
                </c:pt>
                <c:pt idx="362">
                  <c:v>51.322632757096777</c:v>
                </c:pt>
                <c:pt idx="363">
                  <c:v>50.809406429525808</c:v>
                </c:pt>
                <c:pt idx="364">
                  <c:v>50.301312365230551</c:v>
                </c:pt>
                <c:pt idx="365">
                  <c:v>49.798299241578242</c:v>
                </c:pt>
                <c:pt idx="366">
                  <c:v>49.300316249162456</c:v>
                </c:pt>
                <c:pt idx="367">
                  <c:v>48.807313086670831</c:v>
                </c:pt>
                <c:pt idx="368">
                  <c:v>48.319239955804122</c:v>
                </c:pt>
                <c:pt idx="369">
                  <c:v>47.836047556246079</c:v>
                </c:pt>
                <c:pt idx="370">
                  <c:v>47.357687080683618</c:v>
                </c:pt>
                <c:pt idx="371">
                  <c:v>46.884110209876781</c:v>
                </c:pt>
                <c:pt idx="372">
                  <c:v>46.415269107778009</c:v>
                </c:pt>
                <c:pt idx="373">
                  <c:v>45.951116416700231</c:v>
                </c:pt>
                <c:pt idx="374">
                  <c:v>45.491605252533226</c:v>
                </c:pt>
                <c:pt idx="375">
                  <c:v>45.036689200007892</c:v>
                </c:pt>
                <c:pt idx="376">
                  <c:v>44.586322308007816</c:v>
                </c:pt>
                <c:pt idx="377">
                  <c:v>44.140459084927734</c:v>
                </c:pt>
                <c:pt idx="378">
                  <c:v>43.699054494078453</c:v>
                </c:pt>
                <c:pt idx="379">
                  <c:v>43.262063949137669</c:v>
                </c:pt>
                <c:pt idx="380">
                  <c:v>42.829443309646294</c:v>
                </c:pt>
                <c:pt idx="381">
                  <c:v>42.401148876549833</c:v>
                </c:pt>
                <c:pt idx="382">
                  <c:v>41.977137387784332</c:v>
                </c:pt>
                <c:pt idx="383">
                  <c:v>41.557366013906488</c:v>
                </c:pt>
                <c:pt idx="384">
                  <c:v>41.141792353767421</c:v>
                </c:pt>
                <c:pt idx="385">
                  <c:v>40.730374430229745</c:v>
                </c:pt>
                <c:pt idx="386">
                  <c:v>40.323070685927448</c:v>
                </c:pt>
                <c:pt idx="387">
                  <c:v>39.919839979068172</c:v>
                </c:pt>
                <c:pt idx="388">
                  <c:v>39.520641579277488</c:v>
                </c:pt>
                <c:pt idx="389">
                  <c:v>39.12543516348471</c:v>
                </c:pt>
                <c:pt idx="390">
                  <c:v>38.734180811849861</c:v>
                </c:pt>
                <c:pt idx="391">
                  <c:v>38.346839003731361</c:v>
                </c:pt>
                <c:pt idx="392">
                  <c:v>37.963370613694046</c:v>
                </c:pt>
                <c:pt idx="393">
                  <c:v>37.583736907557103</c:v>
                </c:pt>
                <c:pt idx="394">
                  <c:v>37.207899538481534</c:v>
                </c:pt>
                <c:pt idx="395">
                  <c:v>36.835820543096716</c:v>
                </c:pt>
                <c:pt idx="396">
                  <c:v>36.467462337665751</c:v>
                </c:pt>
                <c:pt idx="397">
                  <c:v>36.102787714289093</c:v>
                </c:pt>
                <c:pt idx="398">
                  <c:v>35.741759837146205</c:v>
                </c:pt>
                <c:pt idx="399">
                  <c:v>35.384342238774742</c:v>
                </c:pt>
                <c:pt idx="400">
                  <c:v>35.030498816386995</c:v>
                </c:pt>
                <c:pt idx="401">
                  <c:v>34.680193828223125</c:v>
                </c:pt>
                <c:pt idx="402">
                  <c:v>34.333391889940891</c:v>
                </c:pt>
                <c:pt idx="403">
                  <c:v>33.99005797104148</c:v>
                </c:pt>
                <c:pt idx="404">
                  <c:v>33.650157391331064</c:v>
                </c:pt>
                <c:pt idx="405">
                  <c:v>33.313655817417754</c:v>
                </c:pt>
                <c:pt idx="406">
                  <c:v>32.980519259243579</c:v>
                </c:pt>
                <c:pt idx="407">
                  <c:v>32.65071406665114</c:v>
                </c:pt>
                <c:pt idx="408">
                  <c:v>32.324206925984626</c:v>
                </c:pt>
                <c:pt idx="409">
                  <c:v>32.000964856724778</c:v>
                </c:pt>
                <c:pt idx="410">
                  <c:v>31.680955208157531</c:v>
                </c:pt>
                <c:pt idx="411">
                  <c:v>31.364145656075955</c:v>
                </c:pt>
                <c:pt idx="412">
                  <c:v>31.050504199515196</c:v>
                </c:pt>
                <c:pt idx="413">
                  <c:v>30.739999157520042</c:v>
                </c:pt>
                <c:pt idx="414">
                  <c:v>30.432599165944843</c:v>
                </c:pt>
                <c:pt idx="415">
                  <c:v>30.128273174285393</c:v>
                </c:pt>
                <c:pt idx="416">
                  <c:v>29.826990442542538</c:v>
                </c:pt>
                <c:pt idx="417">
                  <c:v>29.528720538117113</c:v>
                </c:pt>
                <c:pt idx="418">
                  <c:v>29.233433332735942</c:v>
                </c:pt>
                <c:pt idx="419">
                  <c:v>28.941098999408581</c:v>
                </c:pt>
                <c:pt idx="420">
                  <c:v>28.651688009414496</c:v>
                </c:pt>
                <c:pt idx="421">
                  <c:v>28.365171129320352</c:v>
                </c:pt>
                <c:pt idx="422">
                  <c:v>28.081519418027149</c:v>
                </c:pt>
                <c:pt idx="423">
                  <c:v>27.800704223846878</c:v>
                </c:pt>
                <c:pt idx="424">
                  <c:v>27.522697181608411</c:v>
                </c:pt>
                <c:pt idx="425">
                  <c:v>27.247470209792326</c:v>
                </c:pt>
                <c:pt idx="426">
                  <c:v>26.974995507694402</c:v>
                </c:pt>
                <c:pt idx="427">
                  <c:v>26.705245552617459</c:v>
                </c:pt>
                <c:pt idx="428">
                  <c:v>26.438193097091283</c:v>
                </c:pt>
                <c:pt idx="429">
                  <c:v>26.17381116612037</c:v>
                </c:pt>
                <c:pt idx="430">
                  <c:v>25.912073054459167</c:v>
                </c:pt>
                <c:pt idx="431">
                  <c:v>25.652952323914576</c:v>
                </c:pt>
                <c:pt idx="432">
                  <c:v>25.396422800675431</c:v>
                </c:pt>
                <c:pt idx="433">
                  <c:v>25.142458572668676</c:v>
                </c:pt>
                <c:pt idx="434">
                  <c:v>24.891033986941988</c:v>
                </c:pt>
                <c:pt idx="435">
                  <c:v>24.64212364707257</c:v>
                </c:pt>
                <c:pt idx="436">
                  <c:v>24.395702410601842</c:v>
                </c:pt>
                <c:pt idx="437">
                  <c:v>24.151745386495822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290-45FF-823D-857AD61FB73F}"/>
            </c:ext>
          </c:extLst>
        </c:ser>
        <c:ser>
          <c:idx val="14"/>
          <c:order val="14"/>
          <c:tx>
            <c:strRef>
              <c:f>'FPSO1 Otim'!$Q$5</c:f>
              <c:strCache>
                <c:ptCount val="1"/>
                <c:pt idx="0">
                  <c:v>P15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Otim'!$Q$6:$Q$733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308.25599999999997</c:v>
                </c:pt>
                <c:pt idx="10">
                  <c:v>829.20900000000006</c:v>
                </c:pt>
                <c:pt idx="11">
                  <c:v>761.98050000000001</c:v>
                </c:pt>
                <c:pt idx="12">
                  <c:v>703.80899999999997</c:v>
                </c:pt>
                <c:pt idx="13">
                  <c:v>672.10050000000001</c:v>
                </c:pt>
                <c:pt idx="14">
                  <c:v>654.87749999999994</c:v>
                </c:pt>
                <c:pt idx="15">
                  <c:v>641.90250000000003</c:v>
                </c:pt>
                <c:pt idx="16">
                  <c:v>633.87450000000001</c:v>
                </c:pt>
                <c:pt idx="17">
                  <c:v>628.04100000000005</c:v>
                </c:pt>
                <c:pt idx="18">
                  <c:v>621.75600000000009</c:v>
                </c:pt>
                <c:pt idx="19">
                  <c:v>610.06499999999994</c:v>
                </c:pt>
                <c:pt idx="20">
                  <c:v>603.1635</c:v>
                </c:pt>
                <c:pt idx="21">
                  <c:v>596.59199999999998</c:v>
                </c:pt>
                <c:pt idx="22">
                  <c:v>591.16949999999997</c:v>
                </c:pt>
                <c:pt idx="23">
                  <c:v>585.11249999999995</c:v>
                </c:pt>
                <c:pt idx="24">
                  <c:v>580.62749999999994</c:v>
                </c:pt>
                <c:pt idx="25">
                  <c:v>575.93100000000004</c:v>
                </c:pt>
                <c:pt idx="26">
                  <c:v>571.3365</c:v>
                </c:pt>
                <c:pt idx="27">
                  <c:v>566.7405</c:v>
                </c:pt>
                <c:pt idx="28">
                  <c:v>562.11899999999991</c:v>
                </c:pt>
                <c:pt idx="29">
                  <c:v>558.08399999999995</c:v>
                </c:pt>
                <c:pt idx="30">
                  <c:v>553.93799999999999</c:v>
                </c:pt>
                <c:pt idx="31">
                  <c:v>550.923</c:v>
                </c:pt>
                <c:pt idx="32">
                  <c:v>548.322</c:v>
                </c:pt>
                <c:pt idx="33">
                  <c:v>545.23649999999998</c:v>
                </c:pt>
                <c:pt idx="34">
                  <c:v>542.47950000000003</c:v>
                </c:pt>
                <c:pt idx="35">
                  <c:v>539.33699999999999</c:v>
                </c:pt>
                <c:pt idx="36">
                  <c:v>536.50350000000003</c:v>
                </c:pt>
                <c:pt idx="37">
                  <c:v>533.625</c:v>
                </c:pt>
                <c:pt idx="38">
                  <c:v>531.01199999999994</c:v>
                </c:pt>
                <c:pt idx="39">
                  <c:v>528.423</c:v>
                </c:pt>
                <c:pt idx="40">
                  <c:v>525.75</c:v>
                </c:pt>
                <c:pt idx="41">
                  <c:v>523.923</c:v>
                </c:pt>
                <c:pt idx="42">
                  <c:v>521.02500000000009</c:v>
                </c:pt>
                <c:pt idx="43">
                  <c:v>519.423</c:v>
                </c:pt>
                <c:pt idx="44">
                  <c:v>517.125</c:v>
                </c:pt>
                <c:pt idx="45">
                  <c:v>514.3934999999999</c:v>
                </c:pt>
                <c:pt idx="46">
                  <c:v>512.38350000000003</c:v>
                </c:pt>
                <c:pt idx="47">
                  <c:v>510.03749999999997</c:v>
                </c:pt>
                <c:pt idx="48">
                  <c:v>507.94350000000003</c:v>
                </c:pt>
                <c:pt idx="49">
                  <c:v>505.6875</c:v>
                </c:pt>
                <c:pt idx="50">
                  <c:v>503.577</c:v>
                </c:pt>
                <c:pt idx="51">
                  <c:v>501.53250000000003</c:v>
                </c:pt>
                <c:pt idx="52">
                  <c:v>499.43700000000001</c:v>
                </c:pt>
                <c:pt idx="53">
                  <c:v>497.577</c:v>
                </c:pt>
                <c:pt idx="54">
                  <c:v>495.61200000000002</c:v>
                </c:pt>
                <c:pt idx="55">
                  <c:v>491.661</c:v>
                </c:pt>
                <c:pt idx="56">
                  <c:v>489.702</c:v>
                </c:pt>
                <c:pt idx="57">
                  <c:v>487.91399999999999</c:v>
                </c:pt>
                <c:pt idx="58">
                  <c:v>486.43500000000006</c:v>
                </c:pt>
                <c:pt idx="59">
                  <c:v>484.73700000000002</c:v>
                </c:pt>
                <c:pt idx="60">
                  <c:v>483.22950000000003</c:v>
                </c:pt>
                <c:pt idx="61">
                  <c:v>481.58699999999999</c:v>
                </c:pt>
                <c:pt idx="62">
                  <c:v>480.08399999999995</c:v>
                </c:pt>
                <c:pt idx="63">
                  <c:v>478.60949999999997</c:v>
                </c:pt>
                <c:pt idx="64">
                  <c:v>477.08699999999999</c:v>
                </c:pt>
                <c:pt idx="65">
                  <c:v>475.72950000000003</c:v>
                </c:pt>
                <c:pt idx="66">
                  <c:v>474.26250000000005</c:v>
                </c:pt>
                <c:pt idx="67">
                  <c:v>468.798</c:v>
                </c:pt>
                <c:pt idx="68">
                  <c:v>467.15250000000003</c:v>
                </c:pt>
                <c:pt idx="69">
                  <c:v>466.005</c:v>
                </c:pt>
                <c:pt idx="70">
                  <c:v>465.10949999999997</c:v>
                </c:pt>
                <c:pt idx="71">
                  <c:v>464.02500000000003</c:v>
                </c:pt>
                <c:pt idx="72">
                  <c:v>463.089</c:v>
                </c:pt>
                <c:pt idx="73">
                  <c:v>462.02549999999997</c:v>
                </c:pt>
                <c:pt idx="74">
                  <c:v>461.10450000000003</c:v>
                </c:pt>
                <c:pt idx="75">
                  <c:v>460.197</c:v>
                </c:pt>
                <c:pt idx="76">
                  <c:v>459.25049999999999</c:v>
                </c:pt>
                <c:pt idx="77">
                  <c:v>458.41949999999997</c:v>
                </c:pt>
                <c:pt idx="78">
                  <c:v>457.57500000000005</c:v>
                </c:pt>
                <c:pt idx="79">
                  <c:v>456.786</c:v>
                </c:pt>
                <c:pt idx="80">
                  <c:v>456.10949999999997</c:v>
                </c:pt>
                <c:pt idx="81">
                  <c:v>455.3175</c:v>
                </c:pt>
                <c:pt idx="82">
                  <c:v>454.72950000000003</c:v>
                </c:pt>
                <c:pt idx="83">
                  <c:v>454.01250000000005</c:v>
                </c:pt>
                <c:pt idx="84">
                  <c:v>453.38699999999994</c:v>
                </c:pt>
                <c:pt idx="85">
                  <c:v>452.73749999999995</c:v>
                </c:pt>
                <c:pt idx="86">
                  <c:v>452.16600000000005</c:v>
                </c:pt>
                <c:pt idx="87">
                  <c:v>451.62150000000003</c:v>
                </c:pt>
                <c:pt idx="88">
                  <c:v>450.98700000000002</c:v>
                </c:pt>
                <c:pt idx="89">
                  <c:v>450.49650000000003</c:v>
                </c:pt>
                <c:pt idx="90">
                  <c:v>449.97450000000003</c:v>
                </c:pt>
                <c:pt idx="91">
                  <c:v>449.553</c:v>
                </c:pt>
                <c:pt idx="92">
                  <c:v>449.16600000000005</c:v>
                </c:pt>
                <c:pt idx="93">
                  <c:v>448.72799999999995</c:v>
                </c:pt>
                <c:pt idx="94">
                  <c:v>448.40250000000003</c:v>
                </c:pt>
                <c:pt idx="95">
                  <c:v>447.98700000000002</c:v>
                </c:pt>
                <c:pt idx="96">
                  <c:v>447.66600000000005</c:v>
                </c:pt>
                <c:pt idx="97">
                  <c:v>447.23700000000002</c:v>
                </c:pt>
                <c:pt idx="98">
                  <c:v>446.86649999999997</c:v>
                </c:pt>
                <c:pt idx="99">
                  <c:v>446.49149999999997</c:v>
                </c:pt>
                <c:pt idx="100">
                  <c:v>446.08799999999997</c:v>
                </c:pt>
                <c:pt idx="101">
                  <c:v>445.74149999999997</c:v>
                </c:pt>
                <c:pt idx="102">
                  <c:v>445.36200000000002</c:v>
                </c:pt>
                <c:pt idx="103">
                  <c:v>445.00349999999997</c:v>
                </c:pt>
                <c:pt idx="104">
                  <c:v>444.702</c:v>
                </c:pt>
                <c:pt idx="105">
                  <c:v>444.33600000000001</c:v>
                </c:pt>
                <c:pt idx="106">
                  <c:v>444.24149999999997</c:v>
                </c:pt>
                <c:pt idx="107">
                  <c:v>444.28800000000001</c:v>
                </c:pt>
                <c:pt idx="108">
                  <c:v>444.43500000000006</c:v>
                </c:pt>
                <c:pt idx="109">
                  <c:v>444.61200000000002</c:v>
                </c:pt>
                <c:pt idx="110">
                  <c:v>444.83399999999995</c:v>
                </c:pt>
                <c:pt idx="111">
                  <c:v>445.089</c:v>
                </c:pt>
                <c:pt idx="112">
                  <c:v>445.34999999999997</c:v>
                </c:pt>
                <c:pt idx="113">
                  <c:v>445.572</c:v>
                </c:pt>
                <c:pt idx="114">
                  <c:v>445.79999999999995</c:v>
                </c:pt>
                <c:pt idx="115">
                  <c:v>442.428</c:v>
                </c:pt>
                <c:pt idx="116">
                  <c:v>442.23449999999997</c:v>
                </c:pt>
                <c:pt idx="117">
                  <c:v>442.5675</c:v>
                </c:pt>
                <c:pt idx="118">
                  <c:v>442.77750000000003</c:v>
                </c:pt>
                <c:pt idx="119">
                  <c:v>442.98749999999995</c:v>
                </c:pt>
                <c:pt idx="120">
                  <c:v>443.14050000000003</c:v>
                </c:pt>
                <c:pt idx="121">
                  <c:v>443.28749999999997</c:v>
                </c:pt>
                <c:pt idx="122">
                  <c:v>443.37150000000003</c:v>
                </c:pt>
                <c:pt idx="123">
                  <c:v>443.44350000000003</c:v>
                </c:pt>
                <c:pt idx="124">
                  <c:v>443.50049999999999</c:v>
                </c:pt>
                <c:pt idx="125">
                  <c:v>443.553</c:v>
                </c:pt>
                <c:pt idx="126">
                  <c:v>443.68799999999999</c:v>
                </c:pt>
                <c:pt idx="127">
                  <c:v>443.89050000000003</c:v>
                </c:pt>
                <c:pt idx="128">
                  <c:v>444.12150000000003</c:v>
                </c:pt>
                <c:pt idx="129">
                  <c:v>444.41549999999995</c:v>
                </c:pt>
                <c:pt idx="130">
                  <c:v>444.62849999999997</c:v>
                </c:pt>
                <c:pt idx="131">
                  <c:v>444.92550000000006</c:v>
                </c:pt>
                <c:pt idx="132">
                  <c:v>445.173</c:v>
                </c:pt>
                <c:pt idx="133">
                  <c:v>445.41300000000001</c:v>
                </c:pt>
                <c:pt idx="134">
                  <c:v>445.64549999999997</c:v>
                </c:pt>
                <c:pt idx="135">
                  <c:v>445.88699999999994</c:v>
                </c:pt>
                <c:pt idx="136">
                  <c:v>446.07449999999994</c:v>
                </c:pt>
                <c:pt idx="137">
                  <c:v>446.23800000000006</c:v>
                </c:pt>
                <c:pt idx="138">
                  <c:v>446.38799999999998</c:v>
                </c:pt>
                <c:pt idx="139">
                  <c:v>446.46749999999997</c:v>
                </c:pt>
                <c:pt idx="140">
                  <c:v>446.553</c:v>
                </c:pt>
                <c:pt idx="141">
                  <c:v>446.59800000000007</c:v>
                </c:pt>
                <c:pt idx="142">
                  <c:v>446.63699999999994</c:v>
                </c:pt>
                <c:pt idx="143">
                  <c:v>446.59950000000003</c:v>
                </c:pt>
                <c:pt idx="144">
                  <c:v>446.47950000000003</c:v>
                </c:pt>
                <c:pt idx="145">
                  <c:v>446.31299999999999</c:v>
                </c:pt>
                <c:pt idx="146">
                  <c:v>446.14050000000003</c:v>
                </c:pt>
                <c:pt idx="147">
                  <c:v>445.97249999999997</c:v>
                </c:pt>
                <c:pt idx="148">
                  <c:v>445.71299999999997</c:v>
                </c:pt>
                <c:pt idx="149">
                  <c:v>445.5</c:v>
                </c:pt>
                <c:pt idx="150">
                  <c:v>445.21199999999999</c:v>
                </c:pt>
                <c:pt idx="151">
                  <c:v>431.601</c:v>
                </c:pt>
                <c:pt idx="152">
                  <c:v>429.95550000000003</c:v>
                </c:pt>
                <c:pt idx="153">
                  <c:v>430.39649999999995</c:v>
                </c:pt>
                <c:pt idx="154">
                  <c:v>430.572</c:v>
                </c:pt>
                <c:pt idx="155">
                  <c:v>430.6875</c:v>
                </c:pt>
                <c:pt idx="156">
                  <c:v>430.65750000000003</c:v>
                </c:pt>
                <c:pt idx="157">
                  <c:v>430.57500000000005</c:v>
                </c:pt>
                <c:pt idx="158">
                  <c:v>430.43999999999994</c:v>
                </c:pt>
                <c:pt idx="159">
                  <c:v>430.24650000000003</c:v>
                </c:pt>
                <c:pt idx="160">
                  <c:v>430.03800000000001</c:v>
                </c:pt>
                <c:pt idx="161">
                  <c:v>429.798</c:v>
                </c:pt>
                <c:pt idx="162">
                  <c:v>429.51299999999998</c:v>
                </c:pt>
                <c:pt idx="163">
                  <c:v>429.21749999999997</c:v>
                </c:pt>
                <c:pt idx="164">
                  <c:v>428.93999999999994</c:v>
                </c:pt>
                <c:pt idx="165">
                  <c:v>428.51849999999996</c:v>
                </c:pt>
                <c:pt idx="166">
                  <c:v>428.14050000000003</c:v>
                </c:pt>
                <c:pt idx="167">
                  <c:v>427.66200000000003</c:v>
                </c:pt>
                <c:pt idx="168">
                  <c:v>427.23449999999997</c:v>
                </c:pt>
                <c:pt idx="169">
                  <c:v>426.72450000000003</c:v>
                </c:pt>
                <c:pt idx="170">
                  <c:v>426.25349999999997</c:v>
                </c:pt>
                <c:pt idx="171">
                  <c:v>425.77049999999997</c:v>
                </c:pt>
                <c:pt idx="172">
                  <c:v>425.20049999999998</c:v>
                </c:pt>
                <c:pt idx="173">
                  <c:v>424.69350000000003</c:v>
                </c:pt>
                <c:pt idx="174">
                  <c:v>424.125</c:v>
                </c:pt>
                <c:pt idx="175">
                  <c:v>423.55649999999997</c:v>
                </c:pt>
                <c:pt idx="176">
                  <c:v>423.048</c:v>
                </c:pt>
                <c:pt idx="177">
                  <c:v>422.35650000000004</c:v>
                </c:pt>
                <c:pt idx="178">
                  <c:v>421.839</c:v>
                </c:pt>
                <c:pt idx="179">
                  <c:v>421.15049999999997</c:v>
                </c:pt>
                <c:pt idx="180">
                  <c:v>420.53250000000003</c:v>
                </c:pt>
                <c:pt idx="181">
                  <c:v>419.82449999999994</c:v>
                </c:pt>
                <c:pt idx="182">
                  <c:v>419.178</c:v>
                </c:pt>
                <c:pt idx="183">
                  <c:v>418.51199999999994</c:v>
                </c:pt>
                <c:pt idx="184">
                  <c:v>417.81299999999999</c:v>
                </c:pt>
                <c:pt idx="185">
                  <c:v>417.12150000000003</c:v>
                </c:pt>
                <c:pt idx="186">
                  <c:v>416.36249999999995</c:v>
                </c:pt>
                <c:pt idx="187">
                  <c:v>415.68149999999997</c:v>
                </c:pt>
                <c:pt idx="188">
                  <c:v>415.04100000000005</c:v>
                </c:pt>
                <c:pt idx="189">
                  <c:v>414.255</c:v>
                </c:pt>
                <c:pt idx="190">
                  <c:v>413.649</c:v>
                </c:pt>
                <c:pt idx="191">
                  <c:v>412.91249999999997</c:v>
                </c:pt>
                <c:pt idx="192">
                  <c:v>412.27049999999997</c:v>
                </c:pt>
                <c:pt idx="193">
                  <c:v>411.53700000000003</c:v>
                </c:pt>
                <c:pt idx="194">
                  <c:v>410.85450000000003</c:v>
                </c:pt>
                <c:pt idx="195">
                  <c:v>410.18999999999994</c:v>
                </c:pt>
                <c:pt idx="196">
                  <c:v>409.46250000000003</c:v>
                </c:pt>
                <c:pt idx="197">
                  <c:v>408.81000000000006</c:v>
                </c:pt>
                <c:pt idx="198">
                  <c:v>408.07500000000005</c:v>
                </c:pt>
                <c:pt idx="199">
                  <c:v>407.39549999999997</c:v>
                </c:pt>
                <c:pt idx="200">
                  <c:v>406.75349999999997</c:v>
                </c:pt>
                <c:pt idx="201">
                  <c:v>406.04699999999997</c:v>
                </c:pt>
                <c:pt idx="202">
                  <c:v>405.43500000000006</c:v>
                </c:pt>
                <c:pt idx="203">
                  <c:v>404.76299999999998</c:v>
                </c:pt>
                <c:pt idx="204">
                  <c:v>404.15250000000003</c:v>
                </c:pt>
                <c:pt idx="205">
                  <c:v>403.48800000000006</c:v>
                </c:pt>
                <c:pt idx="206">
                  <c:v>402.88350000000003</c:v>
                </c:pt>
                <c:pt idx="207">
                  <c:v>402.303</c:v>
                </c:pt>
                <c:pt idx="208">
                  <c:v>401.65049999999997</c:v>
                </c:pt>
                <c:pt idx="209">
                  <c:v>401.09249999999997</c:v>
                </c:pt>
                <c:pt idx="210">
                  <c:v>400.45049999999998</c:v>
                </c:pt>
                <c:pt idx="211">
                  <c:v>399.87150000000003</c:v>
                </c:pt>
                <c:pt idx="212">
                  <c:v>399.327</c:v>
                </c:pt>
                <c:pt idx="213">
                  <c:v>398.65199999999993</c:v>
                </c:pt>
                <c:pt idx="214">
                  <c:v>398.12849999999997</c:v>
                </c:pt>
                <c:pt idx="215">
                  <c:v>397.51199999999994</c:v>
                </c:pt>
                <c:pt idx="216">
                  <c:v>396.99149999999997</c:v>
                </c:pt>
                <c:pt idx="217">
                  <c:v>396.375</c:v>
                </c:pt>
                <c:pt idx="218">
                  <c:v>395.84249999999997</c:v>
                </c:pt>
                <c:pt idx="219">
                  <c:v>395.274</c:v>
                </c:pt>
                <c:pt idx="220">
                  <c:v>394.69949999999994</c:v>
                </c:pt>
                <c:pt idx="221">
                  <c:v>394.161</c:v>
                </c:pt>
                <c:pt idx="222">
                  <c:v>393.58799999999997</c:v>
                </c:pt>
                <c:pt idx="223">
                  <c:v>393.048</c:v>
                </c:pt>
                <c:pt idx="224">
                  <c:v>392.577</c:v>
                </c:pt>
                <c:pt idx="225">
                  <c:v>391.9425</c:v>
                </c:pt>
                <c:pt idx="226">
                  <c:v>391.48800000000006</c:v>
                </c:pt>
                <c:pt idx="227">
                  <c:v>390.91200000000003</c:v>
                </c:pt>
                <c:pt idx="228">
                  <c:v>390.423</c:v>
                </c:pt>
                <c:pt idx="229">
                  <c:v>389.86200000000002</c:v>
                </c:pt>
                <c:pt idx="230">
                  <c:v>389.38350000000003</c:v>
                </c:pt>
                <c:pt idx="231">
                  <c:v>388.875</c:v>
                </c:pt>
                <c:pt idx="232">
                  <c:v>388.34999999999997</c:v>
                </c:pt>
                <c:pt idx="233">
                  <c:v>387.89549999999997</c:v>
                </c:pt>
                <c:pt idx="234">
                  <c:v>387.375</c:v>
                </c:pt>
                <c:pt idx="235">
                  <c:v>386.90250000000003</c:v>
                </c:pt>
                <c:pt idx="236">
                  <c:v>386.49149999999997</c:v>
                </c:pt>
                <c:pt idx="237">
                  <c:v>385.9425</c:v>
                </c:pt>
                <c:pt idx="238">
                  <c:v>385.524</c:v>
                </c:pt>
                <c:pt idx="239">
                  <c:v>385.02449999999999</c:v>
                </c:pt>
                <c:pt idx="240">
                  <c:v>384.58050000000003</c:v>
                </c:pt>
                <c:pt idx="241">
                  <c:v>384.10050000000001</c:v>
                </c:pt>
                <c:pt idx="242">
                  <c:v>383.625</c:v>
                </c:pt>
                <c:pt idx="243">
                  <c:v>383.19</c:v>
                </c:pt>
                <c:pt idx="244">
                  <c:v>382.6995</c:v>
                </c:pt>
                <c:pt idx="245">
                  <c:v>382.476</c:v>
                </c:pt>
                <c:pt idx="246">
                  <c:v>382.03800000000001</c:v>
                </c:pt>
                <c:pt idx="247">
                  <c:v>381.387</c:v>
                </c:pt>
                <c:pt idx="248">
                  <c:v>380.952</c:v>
                </c:pt>
                <c:pt idx="249">
                  <c:v>380.44349999999997</c:v>
                </c:pt>
                <c:pt idx="250">
                  <c:v>380.02050000000003</c:v>
                </c:pt>
                <c:pt idx="251">
                  <c:v>379.54949999999997</c:v>
                </c:pt>
                <c:pt idx="252">
                  <c:v>379.125</c:v>
                </c:pt>
                <c:pt idx="253">
                  <c:v>378.68700000000001</c:v>
                </c:pt>
                <c:pt idx="254">
                  <c:v>378.48450000000003</c:v>
                </c:pt>
                <c:pt idx="255">
                  <c:v>378.64049999999997</c:v>
                </c:pt>
                <c:pt idx="256">
                  <c:v>378.97500000000002</c:v>
                </c:pt>
                <c:pt idx="257">
                  <c:v>379.40250000000003</c:v>
                </c:pt>
                <c:pt idx="258">
                  <c:v>379.75049999999999</c:v>
                </c:pt>
                <c:pt idx="259">
                  <c:v>380.10449999999997</c:v>
                </c:pt>
                <c:pt idx="260">
                  <c:v>380.43150000000003</c:v>
                </c:pt>
                <c:pt idx="261">
                  <c:v>380.77200000000005</c:v>
                </c:pt>
                <c:pt idx="262">
                  <c:v>380.988</c:v>
                </c:pt>
                <c:pt idx="263">
                  <c:v>381.1995</c:v>
                </c:pt>
                <c:pt idx="264">
                  <c:v>381.351</c:v>
                </c:pt>
                <c:pt idx="265">
                  <c:v>381.42449999999997</c:v>
                </c:pt>
                <c:pt idx="266">
                  <c:v>381.459</c:v>
                </c:pt>
                <c:pt idx="267">
                  <c:v>381.459</c:v>
                </c:pt>
                <c:pt idx="268">
                  <c:v>381.375</c:v>
                </c:pt>
                <c:pt idx="269">
                  <c:v>382.35449999999997</c:v>
                </c:pt>
                <c:pt idx="270">
                  <c:v>383.35050000000001</c:v>
                </c:pt>
                <c:pt idx="271">
                  <c:v>384.678</c:v>
                </c:pt>
                <c:pt idx="272">
                  <c:v>386.05649999999997</c:v>
                </c:pt>
                <c:pt idx="273">
                  <c:v>386.94600000000003</c:v>
                </c:pt>
                <c:pt idx="274">
                  <c:v>387.53250000000003</c:v>
                </c:pt>
                <c:pt idx="275">
                  <c:v>388.15049999999997</c:v>
                </c:pt>
                <c:pt idx="276">
                  <c:v>388.64549999999997</c:v>
                </c:pt>
                <c:pt idx="277">
                  <c:v>389.07449999999994</c:v>
                </c:pt>
                <c:pt idx="278">
                  <c:v>389.322</c:v>
                </c:pt>
                <c:pt idx="279">
                  <c:v>389.589</c:v>
                </c:pt>
                <c:pt idx="280">
                  <c:v>389.84999999999997</c:v>
                </c:pt>
                <c:pt idx="281">
                  <c:v>390.048</c:v>
                </c:pt>
                <c:pt idx="282">
                  <c:v>390.25049999999999</c:v>
                </c:pt>
                <c:pt idx="283">
                  <c:v>390.36300000000006</c:v>
                </c:pt>
                <c:pt idx="284">
                  <c:v>390.411</c:v>
                </c:pt>
                <c:pt idx="285">
                  <c:v>390.42899999999997</c:v>
                </c:pt>
                <c:pt idx="286">
                  <c:v>390.45899999999995</c:v>
                </c:pt>
                <c:pt idx="287">
                  <c:v>390.42450000000002</c:v>
                </c:pt>
                <c:pt idx="288">
                  <c:v>390.411</c:v>
                </c:pt>
                <c:pt idx="289">
                  <c:v>390.45000000000005</c:v>
                </c:pt>
                <c:pt idx="290">
                  <c:v>390.36300000000006</c:v>
                </c:pt>
                <c:pt idx="291">
                  <c:v>390.24149999999997</c:v>
                </c:pt>
                <c:pt idx="292">
                  <c:v>390.17550000000006</c:v>
                </c:pt>
                <c:pt idx="293">
                  <c:v>390.12150000000003</c:v>
                </c:pt>
                <c:pt idx="294">
                  <c:v>389.97450000000003</c:v>
                </c:pt>
                <c:pt idx="295">
                  <c:v>389.87849999999997</c:v>
                </c:pt>
                <c:pt idx="296">
                  <c:v>389.73449999999997</c:v>
                </c:pt>
                <c:pt idx="297">
                  <c:v>389.58600000000001</c:v>
                </c:pt>
                <c:pt idx="298">
                  <c:v>389.37150000000003</c:v>
                </c:pt>
                <c:pt idx="299">
                  <c:v>389.14949999999999</c:v>
                </c:pt>
                <c:pt idx="300">
                  <c:v>388.95899999999995</c:v>
                </c:pt>
                <c:pt idx="301">
                  <c:v>388.65000000000003</c:v>
                </c:pt>
                <c:pt idx="302">
                  <c:v>388.33050000000003</c:v>
                </c:pt>
                <c:pt idx="303">
                  <c:v>388.04100000000005</c:v>
                </c:pt>
                <c:pt idx="304">
                  <c:v>387.75</c:v>
                </c:pt>
                <c:pt idx="305">
                  <c:v>387.43500000000006</c:v>
                </c:pt>
                <c:pt idx="306">
                  <c:v>387.07500000000005</c:v>
                </c:pt>
                <c:pt idx="307">
                  <c:v>386.73449999999997</c:v>
                </c:pt>
                <c:pt idx="308">
                  <c:v>386.44350000000003</c:v>
                </c:pt>
                <c:pt idx="309">
                  <c:v>386.00850000000003</c:v>
                </c:pt>
                <c:pt idx="310">
                  <c:v>385.69350000000003</c:v>
                </c:pt>
                <c:pt idx="311">
                  <c:v>385.30050000000006</c:v>
                </c:pt>
                <c:pt idx="312">
                  <c:v>384.96749999999997</c:v>
                </c:pt>
                <c:pt idx="313">
                  <c:v>384.52500000000003</c:v>
                </c:pt>
                <c:pt idx="314">
                  <c:v>384.16949999999997</c:v>
                </c:pt>
                <c:pt idx="315">
                  <c:v>383.78249999999997</c:v>
                </c:pt>
                <c:pt idx="316">
                  <c:v>383.4255</c:v>
                </c:pt>
                <c:pt idx="317">
                  <c:v>383.10449999999997</c:v>
                </c:pt>
                <c:pt idx="318">
                  <c:v>382.6995</c:v>
                </c:pt>
                <c:pt idx="319">
                  <c:v>382.33050000000003</c:v>
                </c:pt>
                <c:pt idx="320">
                  <c:v>381.99149999999997</c:v>
                </c:pt>
                <c:pt idx="321">
                  <c:v>381.53550000000001</c:v>
                </c:pt>
                <c:pt idx="322">
                  <c:v>381.19349999999997</c:v>
                </c:pt>
                <c:pt idx="323">
                  <c:v>380.70000000000005</c:v>
                </c:pt>
                <c:pt idx="324">
                  <c:v>380.34749999999997</c:v>
                </c:pt>
                <c:pt idx="325">
                  <c:v>379.84950000000003</c:v>
                </c:pt>
                <c:pt idx="326">
                  <c:v>379.40250000000003</c:v>
                </c:pt>
                <c:pt idx="327">
                  <c:v>378.99149999999997</c:v>
                </c:pt>
                <c:pt idx="328">
                  <c:v>378.45000000000005</c:v>
                </c:pt>
                <c:pt idx="329">
                  <c:v>378.024</c:v>
                </c:pt>
                <c:pt idx="330">
                  <c:v>377.50049999999999</c:v>
                </c:pt>
                <c:pt idx="331">
                  <c:v>377.03249999999997</c:v>
                </c:pt>
                <c:pt idx="332">
                  <c:v>376.572</c:v>
                </c:pt>
                <c:pt idx="333">
                  <c:v>375.99149999999997</c:v>
                </c:pt>
                <c:pt idx="334">
                  <c:v>375.53249999999997</c:v>
                </c:pt>
                <c:pt idx="335">
                  <c:v>374.97450000000003</c:v>
                </c:pt>
                <c:pt idx="336">
                  <c:v>374.49149999999997</c:v>
                </c:pt>
                <c:pt idx="337">
                  <c:v>373.875</c:v>
                </c:pt>
                <c:pt idx="338">
                  <c:v>373.33050000000003</c:v>
                </c:pt>
                <c:pt idx="339">
                  <c:v>372.798</c:v>
                </c:pt>
                <c:pt idx="340">
                  <c:v>372.1755</c:v>
                </c:pt>
                <c:pt idx="341">
                  <c:v>371.637</c:v>
                </c:pt>
                <c:pt idx="342">
                  <c:v>371.02499999999998</c:v>
                </c:pt>
                <c:pt idx="343">
                  <c:v>370.428</c:v>
                </c:pt>
                <c:pt idx="344">
                  <c:v>369.84749999999997</c:v>
                </c:pt>
                <c:pt idx="345">
                  <c:v>369.15449999999998</c:v>
                </c:pt>
                <c:pt idx="346">
                  <c:v>368.565</c:v>
                </c:pt>
                <c:pt idx="347">
                  <c:v>367.875</c:v>
                </c:pt>
                <c:pt idx="348">
                  <c:v>367.25850000000003</c:v>
                </c:pt>
                <c:pt idx="349">
                  <c:v>366.52499999999998</c:v>
                </c:pt>
                <c:pt idx="350">
                  <c:v>365.83050000000003</c:v>
                </c:pt>
                <c:pt idx="351">
                  <c:v>365.15250000000003</c:v>
                </c:pt>
                <c:pt idx="352">
                  <c:v>364.39949999999999</c:v>
                </c:pt>
                <c:pt idx="353">
                  <c:v>363.62850000000003</c:v>
                </c:pt>
                <c:pt idx="354">
                  <c:v>362.85</c:v>
                </c:pt>
                <c:pt idx="355">
                  <c:v>362.05650000000003</c:v>
                </c:pt>
                <c:pt idx="356">
                  <c:v>361.30650000000003</c:v>
                </c:pt>
                <c:pt idx="357">
                  <c:v>360.34800000000001</c:v>
                </c:pt>
                <c:pt idx="358">
                  <c:v>359.565</c:v>
                </c:pt>
                <c:pt idx="359">
                  <c:v>358.65</c:v>
                </c:pt>
                <c:pt idx="360">
                  <c:v>357.75</c:v>
                </c:pt>
                <c:pt idx="361">
                  <c:v>356.74950000000001</c:v>
                </c:pt>
                <c:pt idx="362">
                  <c:v>355.839</c:v>
                </c:pt>
                <c:pt idx="363">
                  <c:v>354.87149999999997</c:v>
                </c:pt>
                <c:pt idx="364">
                  <c:v>353.85</c:v>
                </c:pt>
                <c:pt idx="365">
                  <c:v>352.887</c:v>
                </c:pt>
                <c:pt idx="366">
                  <c:v>351.82500000000005</c:v>
                </c:pt>
                <c:pt idx="367">
                  <c:v>350.80650000000003</c:v>
                </c:pt>
                <c:pt idx="368">
                  <c:v>349.863</c:v>
                </c:pt>
                <c:pt idx="369">
                  <c:v>348.75</c:v>
                </c:pt>
                <c:pt idx="370">
                  <c:v>347.87850000000003</c:v>
                </c:pt>
                <c:pt idx="371">
                  <c:v>346.84950000000003</c:v>
                </c:pt>
                <c:pt idx="372">
                  <c:v>345.96750000000003</c:v>
                </c:pt>
                <c:pt idx="373">
                  <c:v>344.95050000000003</c:v>
                </c:pt>
                <c:pt idx="374">
                  <c:v>344.05650000000003</c:v>
                </c:pt>
                <c:pt idx="375">
                  <c:v>343.185</c:v>
                </c:pt>
                <c:pt idx="376">
                  <c:v>342.27449999999999</c:v>
                </c:pt>
                <c:pt idx="377">
                  <c:v>341.44349999999997</c:v>
                </c:pt>
                <c:pt idx="378">
                  <c:v>340.54949999999997</c:v>
                </c:pt>
                <c:pt idx="379">
                  <c:v>339.774</c:v>
                </c:pt>
                <c:pt idx="380">
                  <c:v>339.09749999999997</c:v>
                </c:pt>
                <c:pt idx="381">
                  <c:v>338.19600000000003</c:v>
                </c:pt>
                <c:pt idx="382">
                  <c:v>337.548</c:v>
                </c:pt>
                <c:pt idx="383">
                  <c:v>336.75</c:v>
                </c:pt>
                <c:pt idx="384">
                  <c:v>336.09749999999997</c:v>
                </c:pt>
                <c:pt idx="385">
                  <c:v>335.35050000000001</c:v>
                </c:pt>
                <c:pt idx="386">
                  <c:v>334.69349999999997</c:v>
                </c:pt>
                <c:pt idx="387">
                  <c:v>334.089</c:v>
                </c:pt>
                <c:pt idx="388">
                  <c:v>333.47550000000001</c:v>
                </c:pt>
                <c:pt idx="389">
                  <c:v>332.952</c:v>
                </c:pt>
                <c:pt idx="390">
                  <c:v>332.37450000000001</c:v>
                </c:pt>
                <c:pt idx="391">
                  <c:v>331.887</c:v>
                </c:pt>
                <c:pt idx="392">
                  <c:v>331.40250000000003</c:v>
                </c:pt>
                <c:pt idx="393">
                  <c:v>330.90449999999998</c:v>
                </c:pt>
                <c:pt idx="394">
                  <c:v>330.726</c:v>
                </c:pt>
                <c:pt idx="395">
                  <c:v>330.07500000000005</c:v>
                </c:pt>
                <c:pt idx="396">
                  <c:v>329.685</c:v>
                </c:pt>
                <c:pt idx="397">
                  <c:v>329.27549999999997</c:v>
                </c:pt>
                <c:pt idx="398">
                  <c:v>328.911</c:v>
                </c:pt>
                <c:pt idx="399">
                  <c:v>328.572</c:v>
                </c:pt>
                <c:pt idx="400">
                  <c:v>328.20000000000005</c:v>
                </c:pt>
                <c:pt idx="401">
                  <c:v>327.94349999999997</c:v>
                </c:pt>
                <c:pt idx="402">
                  <c:v>327.62549999999999</c:v>
                </c:pt>
                <c:pt idx="403">
                  <c:v>327.339</c:v>
                </c:pt>
                <c:pt idx="404">
                  <c:v>327.12149999999997</c:v>
                </c:pt>
                <c:pt idx="405">
                  <c:v>326.8125</c:v>
                </c:pt>
                <c:pt idx="406">
                  <c:v>326.613</c:v>
                </c:pt>
                <c:pt idx="407">
                  <c:v>326.39999999999998</c:v>
                </c:pt>
                <c:pt idx="408">
                  <c:v>326.202</c:v>
                </c:pt>
                <c:pt idx="409">
                  <c:v>326.0505</c:v>
                </c:pt>
                <c:pt idx="410">
                  <c:v>325.887</c:v>
                </c:pt>
                <c:pt idx="411">
                  <c:v>325.74149999999997</c:v>
                </c:pt>
                <c:pt idx="412">
                  <c:v>325.64999999999998</c:v>
                </c:pt>
                <c:pt idx="413">
                  <c:v>325.524</c:v>
                </c:pt>
                <c:pt idx="414">
                  <c:v>325.42499999999995</c:v>
                </c:pt>
                <c:pt idx="415">
                  <c:v>325.33050000000003</c:v>
                </c:pt>
                <c:pt idx="416">
                  <c:v>325.28249999999997</c:v>
                </c:pt>
                <c:pt idx="417">
                  <c:v>325.20600000000002</c:v>
                </c:pt>
                <c:pt idx="418">
                  <c:v>325.161</c:v>
                </c:pt>
                <c:pt idx="419">
                  <c:v>325.07550000000003</c:v>
                </c:pt>
                <c:pt idx="420">
                  <c:v>324.99149999999997</c:v>
                </c:pt>
                <c:pt idx="421">
                  <c:v>324.9255</c:v>
                </c:pt>
                <c:pt idx="422">
                  <c:v>324.84749999999997</c:v>
                </c:pt>
                <c:pt idx="423">
                  <c:v>324.726</c:v>
                </c:pt>
                <c:pt idx="424">
                  <c:v>324.64949999999999</c:v>
                </c:pt>
                <c:pt idx="425">
                  <c:v>324.58050000000003</c:v>
                </c:pt>
                <c:pt idx="426">
                  <c:v>324.47550000000001</c:v>
                </c:pt>
                <c:pt idx="427">
                  <c:v>324.387</c:v>
                </c:pt>
                <c:pt idx="428">
                  <c:v>324.24149999999997</c:v>
                </c:pt>
                <c:pt idx="429">
                  <c:v>323.94600000000003</c:v>
                </c:pt>
                <c:pt idx="430">
                  <c:v>323.73450000000003</c:v>
                </c:pt>
                <c:pt idx="431">
                  <c:v>323.4255</c:v>
                </c:pt>
                <c:pt idx="432">
                  <c:v>323.202</c:v>
                </c:pt>
                <c:pt idx="433">
                  <c:v>322.97550000000001</c:v>
                </c:pt>
                <c:pt idx="434">
                  <c:v>322.74149999999997</c:v>
                </c:pt>
                <c:pt idx="435">
                  <c:v>322.524</c:v>
                </c:pt>
                <c:pt idx="436">
                  <c:v>322.3005</c:v>
                </c:pt>
                <c:pt idx="437">
                  <c:v>322.089</c:v>
                </c:pt>
                <c:pt idx="438">
                  <c:v>322.875</c:v>
                </c:pt>
                <c:pt idx="439">
                  <c:v>323.75850000000003</c:v>
                </c:pt>
                <c:pt idx="440">
                  <c:v>324.50850000000003</c:v>
                </c:pt>
                <c:pt idx="441">
                  <c:v>325.11150000000004</c:v>
                </c:pt>
                <c:pt idx="442">
                  <c:v>325.28249999999997</c:v>
                </c:pt>
                <c:pt idx="443">
                  <c:v>325.3005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90-45FF-823D-857AD61FB73F}"/>
            </c:ext>
          </c:extLst>
        </c:ser>
        <c:ser>
          <c:idx val="15"/>
          <c:order val="15"/>
          <c:tx>
            <c:strRef>
              <c:f>'FPSO1 Otim'!$R$5</c:f>
              <c:strCache>
                <c:ptCount val="1"/>
                <c:pt idx="0">
                  <c:v>P16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Otim'!$R$6:$R$733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342.25049999999999</c:v>
                </c:pt>
                <c:pt idx="48">
                  <c:v>1023.9435000000001</c:v>
                </c:pt>
                <c:pt idx="49">
                  <c:v>952.39949999999999</c:v>
                </c:pt>
                <c:pt idx="50">
                  <c:v>874.33049999999992</c:v>
                </c:pt>
                <c:pt idx="51">
                  <c:v>817.79099999999994</c:v>
                </c:pt>
                <c:pt idx="52">
                  <c:v>766.02449999999999</c:v>
                </c:pt>
                <c:pt idx="53">
                  <c:v>731.61300000000006</c:v>
                </c:pt>
                <c:pt idx="54">
                  <c:v>698.07449999999994</c:v>
                </c:pt>
                <c:pt idx="55">
                  <c:v>657.60450000000003</c:v>
                </c:pt>
                <c:pt idx="56">
                  <c:v>630.29100000000005</c:v>
                </c:pt>
                <c:pt idx="57">
                  <c:v>599.25</c:v>
                </c:pt>
                <c:pt idx="58">
                  <c:v>581.44350000000009</c:v>
                </c:pt>
                <c:pt idx="59">
                  <c:v>562.09950000000003</c:v>
                </c:pt>
                <c:pt idx="60">
                  <c:v>545.85450000000003</c:v>
                </c:pt>
                <c:pt idx="61">
                  <c:v>529.20000000000005</c:v>
                </c:pt>
                <c:pt idx="62">
                  <c:v>514.452</c:v>
                </c:pt>
                <c:pt idx="63">
                  <c:v>499.524</c:v>
                </c:pt>
                <c:pt idx="64">
                  <c:v>484.67550000000006</c:v>
                </c:pt>
                <c:pt idx="65">
                  <c:v>472.04100000000005</c:v>
                </c:pt>
                <c:pt idx="66">
                  <c:v>459.32549999999998</c:v>
                </c:pt>
                <c:pt idx="67">
                  <c:v>448.69350000000003</c:v>
                </c:pt>
                <c:pt idx="68">
                  <c:v>438.96749999999997</c:v>
                </c:pt>
                <c:pt idx="69">
                  <c:v>428.38350000000003</c:v>
                </c:pt>
                <c:pt idx="70">
                  <c:v>420.411</c:v>
                </c:pt>
                <c:pt idx="71">
                  <c:v>411.77549999999997</c:v>
                </c:pt>
                <c:pt idx="72">
                  <c:v>404.49149999999997</c:v>
                </c:pt>
                <c:pt idx="73">
                  <c:v>397.20000000000005</c:v>
                </c:pt>
                <c:pt idx="74">
                  <c:v>390.774</c:v>
                </c:pt>
                <c:pt idx="75">
                  <c:v>384.774</c:v>
                </c:pt>
                <c:pt idx="76">
                  <c:v>378.9255</c:v>
                </c:pt>
                <c:pt idx="77">
                  <c:v>281.298</c:v>
                </c:pt>
                <c:pt idx="78">
                  <c:v>258.40049999999997</c:v>
                </c:pt>
                <c:pt idx="79">
                  <c:v>258.315</c:v>
                </c:pt>
                <c:pt idx="80">
                  <c:v>257.322</c:v>
                </c:pt>
                <c:pt idx="81">
                  <c:v>254.83949999999999</c:v>
                </c:pt>
                <c:pt idx="82">
                  <c:v>252.363</c:v>
                </c:pt>
                <c:pt idx="83">
                  <c:v>249.62549999999999</c:v>
                </c:pt>
                <c:pt idx="84">
                  <c:v>248.298</c:v>
                </c:pt>
                <c:pt idx="85">
                  <c:v>246.9255</c:v>
                </c:pt>
                <c:pt idx="86">
                  <c:v>245.37149999999997</c:v>
                </c:pt>
                <c:pt idx="87">
                  <c:v>243.87149999999997</c:v>
                </c:pt>
                <c:pt idx="88">
                  <c:v>241.84950000000001</c:v>
                </c:pt>
                <c:pt idx="89">
                  <c:v>239.709</c:v>
                </c:pt>
                <c:pt idx="90">
                  <c:v>237.29999999999998</c:v>
                </c:pt>
                <c:pt idx="91">
                  <c:v>233.80650000000003</c:v>
                </c:pt>
                <c:pt idx="92">
                  <c:v>231.072</c:v>
                </c:pt>
                <c:pt idx="93">
                  <c:v>228.36150000000004</c:v>
                </c:pt>
                <c:pt idx="94">
                  <c:v>226.161</c:v>
                </c:pt>
                <c:pt idx="95">
                  <c:v>223.75049999999999</c:v>
                </c:pt>
                <c:pt idx="96">
                  <c:v>221.541</c:v>
                </c:pt>
                <c:pt idx="97">
                  <c:v>219.1995</c:v>
                </c:pt>
                <c:pt idx="98">
                  <c:v>217.065</c:v>
                </c:pt>
                <c:pt idx="99">
                  <c:v>214.887</c:v>
                </c:pt>
                <c:pt idx="100">
                  <c:v>212.59950000000001</c:v>
                </c:pt>
                <c:pt idx="101">
                  <c:v>210.435</c:v>
                </c:pt>
                <c:pt idx="102">
                  <c:v>208.09950000000001</c:v>
                </c:pt>
                <c:pt idx="103">
                  <c:v>203.976</c:v>
                </c:pt>
                <c:pt idx="104">
                  <c:v>201.339</c:v>
                </c:pt>
                <c:pt idx="105">
                  <c:v>198.8835</c:v>
                </c:pt>
                <c:pt idx="106">
                  <c:v>197.1525</c:v>
                </c:pt>
                <c:pt idx="107">
                  <c:v>195.12450000000001</c:v>
                </c:pt>
                <c:pt idx="108">
                  <c:v>193.2585</c:v>
                </c:pt>
                <c:pt idx="109">
                  <c:v>191.35049999999998</c:v>
                </c:pt>
                <c:pt idx="110">
                  <c:v>189.5565</c:v>
                </c:pt>
                <c:pt idx="111">
                  <c:v>187.7655</c:v>
                </c:pt>
                <c:pt idx="112">
                  <c:v>185.97450000000001</c:v>
                </c:pt>
                <c:pt idx="113">
                  <c:v>184.065</c:v>
                </c:pt>
                <c:pt idx="114">
                  <c:v>181.95</c:v>
                </c:pt>
                <c:pt idx="115">
                  <c:v>180.048</c:v>
                </c:pt>
                <c:pt idx="116">
                  <c:v>178.209</c:v>
                </c:pt>
                <c:pt idx="117">
                  <c:v>176.14350000000002</c:v>
                </c:pt>
                <c:pt idx="118">
                  <c:v>174.5565</c:v>
                </c:pt>
                <c:pt idx="119">
                  <c:v>172.6995</c:v>
                </c:pt>
                <c:pt idx="120">
                  <c:v>170.976</c:v>
                </c:pt>
                <c:pt idx="121">
                  <c:v>169.17449999999999</c:v>
                </c:pt>
                <c:pt idx="122">
                  <c:v>167.4915</c:v>
                </c:pt>
                <c:pt idx="123">
                  <c:v>165.822</c:v>
                </c:pt>
                <c:pt idx="124">
                  <c:v>164.14950000000002</c:v>
                </c:pt>
                <c:pt idx="125">
                  <c:v>162.5805</c:v>
                </c:pt>
                <c:pt idx="126">
                  <c:v>160.97549999999998</c:v>
                </c:pt>
                <c:pt idx="127">
                  <c:v>159.435</c:v>
                </c:pt>
                <c:pt idx="128">
                  <c:v>158.0085</c:v>
                </c:pt>
                <c:pt idx="129">
                  <c:v>156.375</c:v>
                </c:pt>
                <c:pt idx="130">
                  <c:v>155.0805</c:v>
                </c:pt>
                <c:pt idx="131">
                  <c:v>153.5745</c:v>
                </c:pt>
                <c:pt idx="132">
                  <c:v>152.202</c:v>
                </c:pt>
                <c:pt idx="133">
                  <c:v>150.77549999999999</c:v>
                </c:pt>
                <c:pt idx="134">
                  <c:v>149.46780000000001</c:v>
                </c:pt>
                <c:pt idx="135">
                  <c:v>148.08870000000002</c:v>
                </c:pt>
                <c:pt idx="136">
                  <c:v>146.74994999999998</c:v>
                </c:pt>
                <c:pt idx="137">
                  <c:v>145.5</c:v>
                </c:pt>
                <c:pt idx="138">
                  <c:v>144.19995</c:v>
                </c:pt>
                <c:pt idx="139">
                  <c:v>142.91129999999998</c:v>
                </c:pt>
                <c:pt idx="140">
                  <c:v>141.70155</c:v>
                </c:pt>
                <c:pt idx="141">
                  <c:v>140.3793</c:v>
                </c:pt>
                <c:pt idx="142">
                  <c:v>139.40325000000001</c:v>
                </c:pt>
                <c:pt idx="143">
                  <c:v>138.02504999999999</c:v>
                </c:pt>
                <c:pt idx="144">
                  <c:v>136.6935</c:v>
                </c:pt>
                <c:pt idx="145">
                  <c:v>135.32505</c:v>
                </c:pt>
                <c:pt idx="146">
                  <c:v>134.15325000000001</c:v>
                </c:pt>
                <c:pt idx="147">
                  <c:v>133.04040000000001</c:v>
                </c:pt>
                <c:pt idx="148">
                  <c:v>131.95005</c:v>
                </c:pt>
                <c:pt idx="149">
                  <c:v>131.08064999999999</c:v>
                </c:pt>
                <c:pt idx="150">
                  <c:v>130.125</c:v>
                </c:pt>
                <c:pt idx="151">
                  <c:v>128.10480000000001</c:v>
                </c:pt>
                <c:pt idx="152">
                  <c:v>127.08870000000002</c:v>
                </c:pt>
                <c:pt idx="153">
                  <c:v>126.21435</c:v>
                </c:pt>
                <c:pt idx="154">
                  <c:v>125.54040000000001</c:v>
                </c:pt>
                <c:pt idx="155">
                  <c:v>124.84995000000001</c:v>
                </c:pt>
                <c:pt idx="156">
                  <c:v>124.18545</c:v>
                </c:pt>
                <c:pt idx="157">
                  <c:v>123.49994999999998</c:v>
                </c:pt>
                <c:pt idx="158">
                  <c:v>122.87909999999999</c:v>
                </c:pt>
                <c:pt idx="159">
                  <c:v>122.25</c:v>
                </c:pt>
                <c:pt idx="160">
                  <c:v>121.67505</c:v>
                </c:pt>
                <c:pt idx="161">
                  <c:v>120.4582995</c:v>
                </c:pt>
                <c:pt idx="162">
                  <c:v>119.253716505</c:v>
                </c:pt>
                <c:pt idx="163">
                  <c:v>118.06117933995</c:v>
                </c:pt>
                <c:pt idx="164">
                  <c:v>116.88056754655049</c:v>
                </c:pt>
                <c:pt idx="165">
                  <c:v>115.71176187108499</c:v>
                </c:pt>
                <c:pt idx="166">
                  <c:v>114.55464425237413</c:v>
                </c:pt>
                <c:pt idx="167">
                  <c:v>113.40909780985039</c:v>
                </c:pt>
                <c:pt idx="168">
                  <c:v>112.2750068317519</c:v>
                </c:pt>
                <c:pt idx="169">
                  <c:v>111.15225676343438</c:v>
                </c:pt>
                <c:pt idx="170">
                  <c:v>110.04073419580004</c:v>
                </c:pt>
                <c:pt idx="171">
                  <c:v>108.94032685384204</c:v>
                </c:pt>
                <c:pt idx="172">
                  <c:v>107.85092358530362</c:v>
                </c:pt>
                <c:pt idx="173">
                  <c:v>106.77241434945059</c:v>
                </c:pt>
                <c:pt idx="174">
                  <c:v>105.70469020595608</c:v>
                </c:pt>
                <c:pt idx="175">
                  <c:v>104.64764330389652</c:v>
                </c:pt>
                <c:pt idx="176">
                  <c:v>103.60116687085755</c:v>
                </c:pt>
                <c:pt idx="177">
                  <c:v>102.56515520214897</c:v>
                </c:pt>
                <c:pt idx="178">
                  <c:v>101.53950365012749</c:v>
                </c:pt>
                <c:pt idx="179">
                  <c:v>100.52410861362621</c:v>
                </c:pt>
                <c:pt idx="180">
                  <c:v>99.518867527489945</c:v>
                </c:pt>
                <c:pt idx="181">
                  <c:v>98.523678852215042</c:v>
                </c:pt>
                <c:pt idx="182">
                  <c:v>97.538442063692884</c:v>
                </c:pt>
                <c:pt idx="183">
                  <c:v>96.563057643055956</c:v>
                </c:pt>
                <c:pt idx="184">
                  <c:v>95.5974270666254</c:v>
                </c:pt>
                <c:pt idx="185">
                  <c:v>94.64145279595914</c:v>
                </c:pt>
                <c:pt idx="186">
                  <c:v>93.69503826799955</c:v>
                </c:pt>
                <c:pt idx="187">
                  <c:v>92.758087885319554</c:v>
                </c:pt>
                <c:pt idx="188">
                  <c:v>91.830507006466362</c:v>
                </c:pt>
                <c:pt idx="189">
                  <c:v>90.912201936401701</c:v>
                </c:pt>
                <c:pt idx="190">
                  <c:v>90.003079917037681</c:v>
                </c:pt>
                <c:pt idx="191">
                  <c:v>89.1030491178673</c:v>
                </c:pt>
                <c:pt idx="192">
                  <c:v>88.212018626688632</c:v>
                </c:pt>
                <c:pt idx="193">
                  <c:v>87.329898440421744</c:v>
                </c:pt>
                <c:pt idx="194">
                  <c:v>86.456599456017528</c:v>
                </c:pt>
                <c:pt idx="195">
                  <c:v>85.592033461457348</c:v>
                </c:pt>
                <c:pt idx="196">
                  <c:v>84.736113126842767</c:v>
                </c:pt>
                <c:pt idx="197">
                  <c:v>83.888751995574339</c:v>
                </c:pt>
                <c:pt idx="198">
                  <c:v>83.049864475618591</c:v>
                </c:pt>
                <c:pt idx="199">
                  <c:v>82.219365830862401</c:v>
                </c:pt>
                <c:pt idx="200">
                  <c:v>81.39717217255378</c:v>
                </c:pt>
                <c:pt idx="201">
                  <c:v>80.583200450828244</c:v>
                </c:pt>
                <c:pt idx="202">
                  <c:v>79.777368446319954</c:v>
                </c:pt>
                <c:pt idx="203">
                  <c:v>78.97959476185676</c:v>
                </c:pt>
                <c:pt idx="204">
                  <c:v>78.189798814238188</c:v>
                </c:pt>
                <c:pt idx="205">
                  <c:v>77.407900826095812</c:v>
                </c:pt>
                <c:pt idx="206">
                  <c:v>76.633821817834857</c:v>
                </c:pt>
                <c:pt idx="207">
                  <c:v>75.867483599656509</c:v>
                </c:pt>
                <c:pt idx="208">
                  <c:v>75.108808763659937</c:v>
                </c:pt>
                <c:pt idx="209">
                  <c:v>74.357720676023334</c:v>
                </c:pt>
                <c:pt idx="210">
                  <c:v>73.614143469263098</c:v>
                </c:pt>
                <c:pt idx="211">
                  <c:v>72.878002034570471</c:v>
                </c:pt>
                <c:pt idx="212">
                  <c:v>72.149222014224762</c:v>
                </c:pt>
                <c:pt idx="213">
                  <c:v>71.427729794082509</c:v>
                </c:pt>
                <c:pt idx="214">
                  <c:v>70.713452496141684</c:v>
                </c:pt>
                <c:pt idx="215">
                  <c:v>70.006317971180266</c:v>
                </c:pt>
                <c:pt idx="216">
                  <c:v>69.306254791468461</c:v>
                </c:pt>
                <c:pt idx="217">
                  <c:v>68.613192243553783</c:v>
                </c:pt>
                <c:pt idx="218">
                  <c:v>67.927060321118248</c:v>
                </c:pt>
                <c:pt idx="219">
                  <c:v>67.247789717907068</c:v>
                </c:pt>
                <c:pt idx="220">
                  <c:v>66.57531182072799</c:v>
                </c:pt>
                <c:pt idx="221">
                  <c:v>65.909558702520712</c:v>
                </c:pt>
                <c:pt idx="222">
                  <c:v>65.250463115495506</c:v>
                </c:pt>
                <c:pt idx="223">
                  <c:v>64.597958484340552</c:v>
                </c:pt>
                <c:pt idx="224">
                  <c:v>63.951978899497149</c:v>
                </c:pt>
                <c:pt idx="225">
                  <c:v>63.312459110502175</c:v>
                </c:pt>
                <c:pt idx="226">
                  <c:v>62.679334519397152</c:v>
                </c:pt>
                <c:pt idx="227">
                  <c:v>62.052541174203178</c:v>
                </c:pt>
                <c:pt idx="228">
                  <c:v>61.432015762461148</c:v>
                </c:pt>
                <c:pt idx="229">
                  <c:v>60.817695604836537</c:v>
                </c:pt>
                <c:pt idx="230">
                  <c:v>60.209518648788169</c:v>
                </c:pt>
                <c:pt idx="231">
                  <c:v>59.607423462300289</c:v>
                </c:pt>
                <c:pt idx="232">
                  <c:v>59.011349227677286</c:v>
                </c:pt>
                <c:pt idx="233">
                  <c:v>58.421235735400515</c:v>
                </c:pt>
                <c:pt idx="234">
                  <c:v>57.83702337804651</c:v>
                </c:pt>
                <c:pt idx="235">
                  <c:v>57.258653144266042</c:v>
                </c:pt>
                <c:pt idx="236">
                  <c:v>56.686066612823382</c:v>
                </c:pt>
                <c:pt idx="237">
                  <c:v>56.119205946695146</c:v>
                </c:pt>
                <c:pt idx="238">
                  <c:v>55.558013887228192</c:v>
                </c:pt>
                <c:pt idx="239">
                  <c:v>55.002433748355912</c:v>
                </c:pt>
                <c:pt idx="240">
                  <c:v>54.452409410872356</c:v>
                </c:pt>
                <c:pt idx="241">
                  <c:v>53.907885316763632</c:v>
                </c:pt>
                <c:pt idx="242">
                  <c:v>53.368806463595995</c:v>
                </c:pt>
                <c:pt idx="243">
                  <c:v>52.835118398960034</c:v>
                </c:pt>
                <c:pt idx="244">
                  <c:v>52.306767214970435</c:v>
                </c:pt>
                <c:pt idx="245">
                  <c:v>51.783699542820727</c:v>
                </c:pt>
                <c:pt idx="246">
                  <c:v>51.265862547392523</c:v>
                </c:pt>
                <c:pt idx="247">
                  <c:v>50.753203921918598</c:v>
                </c:pt>
                <c:pt idx="248">
                  <c:v>50.245671882699412</c:v>
                </c:pt>
                <c:pt idx="249">
                  <c:v>49.743215163872421</c:v>
                </c:pt>
                <c:pt idx="250">
                  <c:v>49.245783012233694</c:v>
                </c:pt>
                <c:pt idx="251">
                  <c:v>48.753325182111354</c:v>
                </c:pt>
                <c:pt idx="252">
                  <c:v>48.265791930290241</c:v>
                </c:pt>
                <c:pt idx="253">
                  <c:v>47.783134010987339</c:v>
                </c:pt>
                <c:pt idx="254">
                  <c:v>47.305302670877467</c:v>
                </c:pt>
                <c:pt idx="255">
                  <c:v>46.832249644168691</c:v>
                </c:pt>
                <c:pt idx="256">
                  <c:v>46.363927147727004</c:v>
                </c:pt>
                <c:pt idx="257">
                  <c:v>45.900287876249735</c:v>
                </c:pt>
                <c:pt idx="258">
                  <c:v>45.441284997487237</c:v>
                </c:pt>
                <c:pt idx="259">
                  <c:v>44.986872147512365</c:v>
                </c:pt>
                <c:pt idx="260">
                  <c:v>44.537003426037238</c:v>
                </c:pt>
                <c:pt idx="261">
                  <c:v>44.091633391776867</c:v>
                </c:pt>
                <c:pt idx="262">
                  <c:v>43.650717057859097</c:v>
                </c:pt>
                <c:pt idx="263">
                  <c:v>43.214209887280504</c:v>
                </c:pt>
                <c:pt idx="264">
                  <c:v>42.782067788407701</c:v>
                </c:pt>
                <c:pt idx="265">
                  <c:v>42.354247110523623</c:v>
                </c:pt>
                <c:pt idx="266">
                  <c:v>41.930704639418387</c:v>
                </c:pt>
                <c:pt idx="267">
                  <c:v>41.511397593024206</c:v>
                </c:pt>
                <c:pt idx="268">
                  <c:v>41.096283617093967</c:v>
                </c:pt>
                <c:pt idx="269">
                  <c:v>40.685320780923028</c:v>
                </c:pt>
                <c:pt idx="270">
                  <c:v>40.278467573113801</c:v>
                </c:pt>
                <c:pt idx="271">
                  <c:v>39.87568289738266</c:v>
                </c:pt>
                <c:pt idx="272">
                  <c:v>39.476926068408837</c:v>
                </c:pt>
                <c:pt idx="273">
                  <c:v>39.082156807724751</c:v>
                </c:pt>
                <c:pt idx="274">
                  <c:v>38.691335239647501</c:v>
                </c:pt>
                <c:pt idx="275">
                  <c:v>38.304421887251024</c:v>
                </c:pt>
                <c:pt idx="276">
                  <c:v>37.921377668378511</c:v>
                </c:pt>
                <c:pt idx="277">
                  <c:v>37.542163891694727</c:v>
                </c:pt>
                <c:pt idx="278">
                  <c:v>37.16674225277778</c:v>
                </c:pt>
                <c:pt idx="279">
                  <c:v>36.795074830250002</c:v>
                </c:pt>
                <c:pt idx="280">
                  <c:v>36.427124081947504</c:v>
                </c:pt>
                <c:pt idx="281">
                  <c:v>36.062852841128027</c:v>
                </c:pt>
                <c:pt idx="282">
                  <c:v>35.702224312716744</c:v>
                </c:pt>
                <c:pt idx="283">
                  <c:v>35.345202069589575</c:v>
                </c:pt>
                <c:pt idx="284">
                  <c:v>34.991750048893678</c:v>
                </c:pt>
                <c:pt idx="285">
                  <c:v>34.641832548404743</c:v>
                </c:pt>
                <c:pt idx="286">
                  <c:v>34.295414222920698</c:v>
                </c:pt>
                <c:pt idx="287">
                  <c:v>33.952460080691488</c:v>
                </c:pt>
                <c:pt idx="288">
                  <c:v>33.61293547988457</c:v>
                </c:pt>
                <c:pt idx="289">
                  <c:v>33.27680612508572</c:v>
                </c:pt>
                <c:pt idx="290">
                  <c:v>32.94403806383486</c:v>
                </c:pt>
                <c:pt idx="291">
                  <c:v>32.614597683196514</c:v>
                </c:pt>
                <c:pt idx="292">
                  <c:v>32.288451706364548</c:v>
                </c:pt>
                <c:pt idx="293">
                  <c:v>31.965567189300902</c:v>
                </c:pt>
                <c:pt idx="294">
                  <c:v>31.645911517407892</c:v>
                </c:pt>
                <c:pt idx="295">
                  <c:v>31.329452402233812</c:v>
                </c:pt>
                <c:pt idx="296">
                  <c:v>31.016157878211473</c:v>
                </c:pt>
                <c:pt idx="297">
                  <c:v>30.705996299429358</c:v>
                </c:pt>
                <c:pt idx="298">
                  <c:v>30.398936336435064</c:v>
                </c:pt>
                <c:pt idx="299">
                  <c:v>30.094946973070712</c:v>
                </c:pt>
                <c:pt idx="300">
                  <c:v>29.793997503340005</c:v>
                </c:pt>
                <c:pt idx="301">
                  <c:v>29.496057528306604</c:v>
                </c:pt>
                <c:pt idx="302">
                  <c:v>29.201096953023537</c:v>
                </c:pt>
                <c:pt idx="303">
                  <c:v>28.909085983493302</c:v>
                </c:pt>
                <c:pt idx="304">
                  <c:v>28.61999512365837</c:v>
                </c:pt>
                <c:pt idx="305">
                  <c:v>28.333795172421787</c:v>
                </c:pt>
                <c:pt idx="306">
                  <c:v>28.05045722069757</c:v>
                </c:pt>
                <c:pt idx="307">
                  <c:v>27.769952648490595</c:v>
                </c:pt>
                <c:pt idx="308">
                  <c:v>27.492253122005689</c:v>
                </c:pt>
                <c:pt idx="309">
                  <c:v>27.217330590785632</c:v>
                </c:pt>
                <c:pt idx="310">
                  <c:v>26.945157284877777</c:v>
                </c:pt>
                <c:pt idx="311">
                  <c:v>26.675705712029</c:v>
                </c:pt>
                <c:pt idx="312">
                  <c:v>26.408948654908709</c:v>
                </c:pt>
                <c:pt idx="313">
                  <c:v>26.144859168359623</c:v>
                </c:pt>
                <c:pt idx="314">
                  <c:v>25.883410576676027</c:v>
                </c:pt>
                <c:pt idx="315">
                  <c:v>25.624576470909268</c:v>
                </c:pt>
                <c:pt idx="316">
                  <c:v>25.368330706200176</c:v>
                </c:pt>
                <c:pt idx="317">
                  <c:v>25.114647399138175</c:v>
                </c:pt>
                <c:pt idx="318">
                  <c:v>24.863500925146791</c:v>
                </c:pt>
                <c:pt idx="319">
                  <c:v>24.614865915895322</c:v>
                </c:pt>
                <c:pt idx="320">
                  <c:v>24.368717256736367</c:v>
                </c:pt>
                <c:pt idx="321">
                  <c:v>24.125030084169005</c:v>
                </c:pt>
                <c:pt idx="322">
                  <c:v>23.883779783327313</c:v>
                </c:pt>
                <c:pt idx="323">
                  <c:v>23.644941985494039</c:v>
                </c:pt>
                <c:pt idx="324">
                  <c:v>23.408492565639097</c:v>
                </c:pt>
                <c:pt idx="325">
                  <c:v>23.174407639982707</c:v>
                </c:pt>
                <c:pt idx="326">
                  <c:v>22.94266356358288</c:v>
                </c:pt>
                <c:pt idx="327">
                  <c:v>22.713236927947051</c:v>
                </c:pt>
                <c:pt idx="328">
                  <c:v>22.486104558667581</c:v>
                </c:pt>
                <c:pt idx="329">
                  <c:v>22.261243513080906</c:v>
                </c:pt>
                <c:pt idx="330">
                  <c:v>22.038631077950097</c:v>
                </c:pt>
                <c:pt idx="331">
                  <c:v>21.818244767170597</c:v>
                </c:pt>
                <c:pt idx="332">
                  <c:v>21.600062319498893</c:v>
                </c:pt>
                <c:pt idx="333">
                  <c:v>21.384061696303903</c:v>
                </c:pt>
                <c:pt idx="334">
                  <c:v>21.170221079340863</c:v>
                </c:pt>
                <c:pt idx="335">
                  <c:v>20.958518868547454</c:v>
                </c:pt>
                <c:pt idx="336">
                  <c:v>20.748933679861981</c:v>
                </c:pt>
                <c:pt idx="337">
                  <c:v>20.541444343063361</c:v>
                </c:pt>
                <c:pt idx="338">
                  <c:v>20.336029899632727</c:v>
                </c:pt>
                <c:pt idx="339">
                  <c:v>20.132669600636401</c:v>
                </c:pt>
                <c:pt idx="340">
                  <c:v>19.931342904630036</c:v>
                </c:pt>
                <c:pt idx="341">
                  <c:v>19.732029475583737</c:v>
                </c:pt>
                <c:pt idx="342">
                  <c:v>19.5347091808279</c:v>
                </c:pt>
                <c:pt idx="343">
                  <c:v>19.33936208901962</c:v>
                </c:pt>
                <c:pt idx="344">
                  <c:v>19.145968468129425</c:v>
                </c:pt>
                <c:pt idx="345">
                  <c:v>18.95450878344813</c:v>
                </c:pt>
                <c:pt idx="346">
                  <c:v>18.764963695613648</c:v>
                </c:pt>
                <c:pt idx="347">
                  <c:v>18.57731405865751</c:v>
                </c:pt>
                <c:pt idx="348">
                  <c:v>18.391540918070934</c:v>
                </c:pt>
                <c:pt idx="349">
                  <c:v>18.207625508890224</c:v>
                </c:pt>
                <c:pt idx="350">
                  <c:v>18.025549253801323</c:v>
                </c:pt>
                <c:pt idx="351">
                  <c:v>17.84529376126331</c:v>
                </c:pt>
                <c:pt idx="352">
                  <c:v>17.666840823650677</c:v>
                </c:pt>
                <c:pt idx="353">
                  <c:v>17.490172415414172</c:v>
                </c:pt>
                <c:pt idx="354">
                  <c:v>17.315270691260029</c:v>
                </c:pt>
                <c:pt idx="355">
                  <c:v>17.142117984347429</c:v>
                </c:pt>
                <c:pt idx="356">
                  <c:v>16.970696804503955</c:v>
                </c:pt>
                <c:pt idx="357">
                  <c:v>16.800989836458914</c:v>
                </c:pt>
                <c:pt idx="358">
                  <c:v>16.632979938094326</c:v>
                </c:pt>
                <c:pt idx="359">
                  <c:v>16.466650138713383</c:v>
                </c:pt>
                <c:pt idx="360">
                  <c:v>16.301983637326249</c:v>
                </c:pt>
                <c:pt idx="361">
                  <c:v>16.138963800952986</c:v>
                </c:pt>
                <c:pt idx="362">
                  <c:v>15.977574162943457</c:v>
                </c:pt>
                <c:pt idx="363">
                  <c:v>15.817798421314022</c:v>
                </c:pt>
                <c:pt idx="364">
                  <c:v>15.659620437100882</c:v>
                </c:pt>
                <c:pt idx="365">
                  <c:v>15.503024232729873</c:v>
                </c:pt>
                <c:pt idx="366">
                  <c:v>15.347993990402573</c:v>
                </c:pt>
                <c:pt idx="367">
                  <c:v>15.194514050498547</c:v>
                </c:pt>
                <c:pt idx="368">
                  <c:v>15.042568909993562</c:v>
                </c:pt>
                <c:pt idx="369">
                  <c:v>14.892143220893626</c:v>
                </c:pt>
                <c:pt idx="370">
                  <c:v>14.743221788684689</c:v>
                </c:pt>
                <c:pt idx="371">
                  <c:v>14.595789570797843</c:v>
                </c:pt>
                <c:pt idx="372">
                  <c:v>14.449831675089865</c:v>
                </c:pt>
                <c:pt idx="373">
                  <c:v>14.305333358338967</c:v>
                </c:pt>
                <c:pt idx="374">
                  <c:v>14.162280024755576</c:v>
                </c:pt>
                <c:pt idx="375">
                  <c:v>14.020657224508021</c:v>
                </c:pt>
                <c:pt idx="376">
                  <c:v>13.88045065226294</c:v>
                </c:pt>
                <c:pt idx="377">
                  <c:v>13.741646145740312</c:v>
                </c:pt>
                <c:pt idx="378">
                  <c:v>13.604229684282908</c:v>
                </c:pt>
                <c:pt idx="379">
                  <c:v>13.468187387440079</c:v>
                </c:pt>
                <c:pt idx="380">
                  <c:v>13.333505513565678</c:v>
                </c:pt>
                <c:pt idx="381">
                  <c:v>13.200170458430021</c:v>
                </c:pt>
                <c:pt idx="382">
                  <c:v>13.06816875384572</c:v>
                </c:pt>
                <c:pt idx="383">
                  <c:v>12.937487066307263</c:v>
                </c:pt>
                <c:pt idx="384">
                  <c:v>12.80811219564419</c:v>
                </c:pt>
                <c:pt idx="385">
                  <c:v>12.680031073687749</c:v>
                </c:pt>
                <c:pt idx="386">
                  <c:v>12.553230762950871</c:v>
                </c:pt>
                <c:pt idx="387">
                  <c:v>12.427698455321362</c:v>
                </c:pt>
                <c:pt idx="388">
                  <c:v>12.303421470768148</c:v>
                </c:pt>
                <c:pt idx="389">
                  <c:v>12.180387256060467</c:v>
                </c:pt>
                <c:pt idx="390">
                  <c:v>12.058583383499862</c:v>
                </c:pt>
                <c:pt idx="391">
                  <c:v>11.937997549664862</c:v>
                </c:pt>
                <c:pt idx="392">
                  <c:v>11.818617574168213</c:v>
                </c:pt>
                <c:pt idx="393">
                  <c:v>11.700431398426531</c:v>
                </c:pt>
                <c:pt idx="394">
                  <c:v>11.583427084442265</c:v>
                </c:pt>
                <c:pt idx="395">
                  <c:v>11.467592813597843</c:v>
                </c:pt>
                <c:pt idx="396">
                  <c:v>11.352916885461864</c:v>
                </c:pt>
                <c:pt idx="397">
                  <c:v>11.239387716607245</c:v>
                </c:pt>
                <c:pt idx="398">
                  <c:v>11.126993839441173</c:v>
                </c:pt>
                <c:pt idx="399">
                  <c:v>11.015723901046762</c:v>
                </c:pt>
                <c:pt idx="400">
                  <c:v>10.905566662036295</c:v>
                </c:pt>
                <c:pt idx="401">
                  <c:v>10.796510995415931</c:v>
                </c:pt>
                <c:pt idx="402">
                  <c:v>10.688545885461771</c:v>
                </c:pt>
                <c:pt idx="403">
                  <c:v>10.581660426607153</c:v>
                </c:pt>
                <c:pt idx="404">
                  <c:v>10.475843822341082</c:v>
                </c:pt>
                <c:pt idx="405">
                  <c:v>10.37108538411767</c:v>
                </c:pt>
                <c:pt idx="406">
                  <c:v>10.267374530276493</c:v>
                </c:pt>
                <c:pt idx="407">
                  <c:v>10.164700784973729</c:v>
                </c:pt>
                <c:pt idx="408">
                  <c:v>10.063053777123992</c:v>
                </c:pt>
                <c:pt idx="409">
                  <c:v>9.9624232393527521</c:v>
                </c:pt>
                <c:pt idx="410">
                  <c:v>9.8627990069592251</c:v>
                </c:pt>
                <c:pt idx="411">
                  <c:v>9.7641710168896321</c:v>
                </c:pt>
                <c:pt idx="412">
                  <c:v>9.6665293067207365</c:v>
                </c:pt>
                <c:pt idx="413">
                  <c:v>9.5698640136535289</c:v>
                </c:pt>
                <c:pt idx="414">
                  <c:v>9.4741653735169944</c:v>
                </c:pt>
                <c:pt idx="415">
                  <c:v>9.3794237197818244</c:v>
                </c:pt>
                <c:pt idx="416">
                  <c:v>9.2856294825840067</c:v>
                </c:pt>
                <c:pt idx="417">
                  <c:v>9.1927731877581671</c:v>
                </c:pt>
                <c:pt idx="418">
                  <c:v>9.1008454558805845</c:v>
                </c:pt>
                <c:pt idx="419">
                  <c:v>9.0098370013217792</c:v>
                </c:pt>
                <c:pt idx="420">
                  <c:v>8.9197386313085616</c:v>
                </c:pt>
                <c:pt idx="421">
                  <c:v>8.8305412449954765</c:v>
                </c:pt>
                <c:pt idx="422">
                  <c:v>8.7422358325455214</c:v>
                </c:pt>
                <c:pt idx="423">
                  <c:v>8.6548134742200666</c:v>
                </c:pt>
                <c:pt idx="424">
                  <c:v>8.5682653394778665</c:v>
                </c:pt>
                <c:pt idx="425">
                  <c:v>8.482582686083088</c:v>
                </c:pt>
                <c:pt idx="426">
                  <c:v>8.3977568592222571</c:v>
                </c:pt>
                <c:pt idx="427">
                  <c:v>8.3137792906300341</c:v>
                </c:pt>
                <c:pt idx="428">
                  <c:v>8.2306414977237328</c:v>
                </c:pt>
                <c:pt idx="429">
                  <c:v>8.1483350827464953</c:v>
                </c:pt>
                <c:pt idx="430">
                  <c:v>8.06685173191903</c:v>
                </c:pt>
                <c:pt idx="431">
                  <c:v>7.9861832145998397</c:v>
                </c:pt>
                <c:pt idx="432">
                  <c:v>7.9063213824538412</c:v>
                </c:pt>
                <c:pt idx="433">
                  <c:v>7.827258168629303</c:v>
                </c:pt>
                <c:pt idx="434">
                  <c:v>7.74898558694301</c:v>
                </c:pt>
                <c:pt idx="435">
                  <c:v>7.6714957310735796</c:v>
                </c:pt>
                <c:pt idx="436">
                  <c:v>7.5947807737628441</c:v>
                </c:pt>
                <c:pt idx="437">
                  <c:v>7.518832966025216</c:v>
                </c:pt>
                <c:pt idx="438">
                  <c:v>7.4436446363649642</c:v>
                </c:pt>
                <c:pt idx="439">
                  <c:v>7.3692081900013147</c:v>
                </c:pt>
                <c:pt idx="440">
                  <c:v>7.2955161081013014</c:v>
                </c:pt>
                <c:pt idx="441">
                  <c:v>7.2225609470202885</c:v>
                </c:pt>
                <c:pt idx="442">
                  <c:v>7.1503353375500858</c:v>
                </c:pt>
                <c:pt idx="443">
                  <c:v>7.0788319841745846</c:v>
                </c:pt>
                <c:pt idx="444">
                  <c:v>7.0080436643328383</c:v>
                </c:pt>
                <c:pt idx="445">
                  <c:v>6.9379632276895098</c:v>
                </c:pt>
                <c:pt idx="446">
                  <c:v>6.8685835954126144</c:v>
                </c:pt>
                <c:pt idx="447">
                  <c:v>6.7998977594584886</c:v>
                </c:pt>
                <c:pt idx="448">
                  <c:v>6.7318987818639036</c:v>
                </c:pt>
                <c:pt idx="449">
                  <c:v>6.6645797940452649</c:v>
                </c:pt>
                <c:pt idx="450">
                  <c:v>6.5979339961048122</c:v>
                </c:pt>
                <c:pt idx="451">
                  <c:v>6.531954656143764</c:v>
                </c:pt>
                <c:pt idx="452">
                  <c:v>6.4666351095823265</c:v>
                </c:pt>
                <c:pt idx="453">
                  <c:v>6.401968758486503</c:v>
                </c:pt>
                <c:pt idx="454">
                  <c:v>6.3379490709016384</c:v>
                </c:pt>
                <c:pt idx="455">
                  <c:v>6.2745695801926216</c:v>
                </c:pt>
                <c:pt idx="456">
                  <c:v>6.2118238843906957</c:v>
                </c:pt>
                <c:pt idx="457">
                  <c:v>6.1497056455467884</c:v>
                </c:pt>
                <c:pt idx="458">
                  <c:v>6.0882085890913205</c:v>
                </c:pt>
                <c:pt idx="459">
                  <c:v>6.0273265032004071</c:v>
                </c:pt>
                <c:pt idx="460">
                  <c:v>5.9670532381684032</c:v>
                </c:pt>
                <c:pt idx="461">
                  <c:v>5.907382705786719</c:v>
                </c:pt>
                <c:pt idx="462">
                  <c:v>5.8483088787288517</c:v>
                </c:pt>
                <c:pt idx="463">
                  <c:v>5.7898257899415633</c:v>
                </c:pt>
                <c:pt idx="464">
                  <c:v>5.7319275320421479</c:v>
                </c:pt>
                <c:pt idx="465">
                  <c:v>5.6746082567217266</c:v>
                </c:pt>
                <c:pt idx="466">
                  <c:v>5.6178621741545092</c:v>
                </c:pt>
                <c:pt idx="467">
                  <c:v>5.5616835524129637</c:v>
                </c:pt>
                <c:pt idx="468">
                  <c:v>5.5060667168888342</c:v>
                </c:pt>
                <c:pt idx="469">
                  <c:v>5.451006049719946</c:v>
                </c:pt>
                <c:pt idx="470">
                  <c:v>5.3964959892227462</c:v>
                </c:pt>
                <c:pt idx="471">
                  <c:v>5.3425310293305186</c:v>
                </c:pt>
                <c:pt idx="472">
                  <c:v>5.289105719037213</c:v>
                </c:pt>
                <c:pt idx="473">
                  <c:v>5.2362146618468408</c:v>
                </c:pt>
                <c:pt idx="474">
                  <c:v>5.1838525152283728</c:v>
                </c:pt>
                <c:pt idx="475">
                  <c:v>5.1320139900760893</c:v>
                </c:pt>
                <c:pt idx="476">
                  <c:v>5.0806938501753285</c:v>
                </c:pt>
                <c:pt idx="477">
                  <c:v>5.0298869116735752</c:v>
                </c:pt>
                <c:pt idx="478">
                  <c:v>4.9795880425568395</c:v>
                </c:pt>
                <c:pt idx="479">
                  <c:v>4.929792162131271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90-45FF-823D-857AD61FB73F}"/>
            </c:ext>
          </c:extLst>
        </c:ser>
        <c:ser>
          <c:idx val="16"/>
          <c:order val="16"/>
          <c:tx>
            <c:strRef>
              <c:f>'FPSO1 Otim'!$S$5</c:f>
              <c:strCache>
                <c:ptCount val="1"/>
                <c:pt idx="0">
                  <c:v>P17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Otim'!$S$6:$S$733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569.40000000000009</c:v>
                </c:pt>
                <c:pt idx="96">
                  <c:v>1710.09</c:v>
                </c:pt>
                <c:pt idx="97">
                  <c:v>1159.1624999999999</c:v>
                </c:pt>
                <c:pt idx="98">
                  <c:v>1029.8220000000001</c:v>
                </c:pt>
                <c:pt idx="99">
                  <c:v>947.91599999999994</c:v>
                </c:pt>
                <c:pt idx="100">
                  <c:v>884.1869999999999</c:v>
                </c:pt>
                <c:pt idx="101">
                  <c:v>848.02049999999997</c:v>
                </c:pt>
                <c:pt idx="102">
                  <c:v>816</c:v>
                </c:pt>
                <c:pt idx="103">
                  <c:v>780.43499999999995</c:v>
                </c:pt>
                <c:pt idx="104">
                  <c:v>758.673</c:v>
                </c:pt>
                <c:pt idx="105">
                  <c:v>736.5809999999999</c:v>
                </c:pt>
                <c:pt idx="106">
                  <c:v>726.03600000000006</c:v>
                </c:pt>
                <c:pt idx="107">
                  <c:v>715.27500000000009</c:v>
                </c:pt>
                <c:pt idx="108">
                  <c:v>707.02049999999997</c:v>
                </c:pt>
                <c:pt idx="109">
                  <c:v>699.51299999999992</c:v>
                </c:pt>
                <c:pt idx="110">
                  <c:v>693.52049999999997</c:v>
                </c:pt>
                <c:pt idx="111">
                  <c:v>687.54449999999997</c:v>
                </c:pt>
                <c:pt idx="112">
                  <c:v>681.92550000000006</c:v>
                </c:pt>
                <c:pt idx="113">
                  <c:v>677.40750000000003</c:v>
                </c:pt>
                <c:pt idx="114">
                  <c:v>673.06200000000001</c:v>
                </c:pt>
                <c:pt idx="115">
                  <c:v>669.81000000000006</c:v>
                </c:pt>
                <c:pt idx="116">
                  <c:v>666.43500000000006</c:v>
                </c:pt>
                <c:pt idx="117">
                  <c:v>662.49149999999997</c:v>
                </c:pt>
                <c:pt idx="118">
                  <c:v>659.35950000000003</c:v>
                </c:pt>
                <c:pt idx="119">
                  <c:v>655.78800000000001</c:v>
                </c:pt>
                <c:pt idx="120">
                  <c:v>652.53600000000006</c:v>
                </c:pt>
                <c:pt idx="121">
                  <c:v>648.94949999999994</c:v>
                </c:pt>
                <c:pt idx="122">
                  <c:v>645.43500000000006</c:v>
                </c:pt>
                <c:pt idx="123">
                  <c:v>641.86649999999997</c:v>
                </c:pt>
                <c:pt idx="124">
                  <c:v>638.05050000000006</c:v>
                </c:pt>
                <c:pt idx="125">
                  <c:v>558.85950000000003</c:v>
                </c:pt>
                <c:pt idx="126">
                  <c:v>547.57500000000005</c:v>
                </c:pt>
                <c:pt idx="127">
                  <c:v>545.83050000000003</c:v>
                </c:pt>
                <c:pt idx="128">
                  <c:v>542.90250000000003</c:v>
                </c:pt>
                <c:pt idx="129">
                  <c:v>538.6875</c:v>
                </c:pt>
                <c:pt idx="130">
                  <c:v>535.16100000000006</c:v>
                </c:pt>
                <c:pt idx="131">
                  <c:v>531.36300000000006</c:v>
                </c:pt>
                <c:pt idx="132">
                  <c:v>528.89549999999997</c:v>
                </c:pt>
                <c:pt idx="133">
                  <c:v>526.125</c:v>
                </c:pt>
                <c:pt idx="134">
                  <c:v>523.30649999999991</c:v>
                </c:pt>
                <c:pt idx="135">
                  <c:v>520.53600000000006</c:v>
                </c:pt>
                <c:pt idx="136">
                  <c:v>517.33799999999997</c:v>
                </c:pt>
                <c:pt idx="137">
                  <c:v>514.06499999999994</c:v>
                </c:pt>
                <c:pt idx="138">
                  <c:v>510.46199999999999</c:v>
                </c:pt>
                <c:pt idx="139">
                  <c:v>504.97950000000003</c:v>
                </c:pt>
                <c:pt idx="140">
                  <c:v>501.60450000000003</c:v>
                </c:pt>
                <c:pt idx="141">
                  <c:v>498.05099999999999</c:v>
                </c:pt>
                <c:pt idx="142">
                  <c:v>495</c:v>
                </c:pt>
                <c:pt idx="143">
                  <c:v>491.54999999999995</c:v>
                </c:pt>
                <c:pt idx="144">
                  <c:v>488.45550000000003</c:v>
                </c:pt>
                <c:pt idx="145">
                  <c:v>485.08799999999997</c:v>
                </c:pt>
                <c:pt idx="146">
                  <c:v>481.947</c:v>
                </c:pt>
                <c:pt idx="147">
                  <c:v>478.851</c:v>
                </c:pt>
                <c:pt idx="148">
                  <c:v>475.57500000000005</c:v>
                </c:pt>
                <c:pt idx="149">
                  <c:v>472.548</c:v>
                </c:pt>
                <c:pt idx="150">
                  <c:v>469.39949999999999</c:v>
                </c:pt>
                <c:pt idx="151">
                  <c:v>462.64050000000003</c:v>
                </c:pt>
                <c:pt idx="152">
                  <c:v>459.87150000000003</c:v>
                </c:pt>
                <c:pt idx="153">
                  <c:v>457.1925</c:v>
                </c:pt>
                <c:pt idx="154">
                  <c:v>455.08050000000003</c:v>
                </c:pt>
                <c:pt idx="155">
                  <c:v>452.67450000000002</c:v>
                </c:pt>
                <c:pt idx="156">
                  <c:v>450.53250000000003</c:v>
                </c:pt>
                <c:pt idx="157">
                  <c:v>448.32449999999994</c:v>
                </c:pt>
                <c:pt idx="158">
                  <c:v>446.298</c:v>
                </c:pt>
                <c:pt idx="159">
                  <c:v>444.375</c:v>
                </c:pt>
                <c:pt idx="160">
                  <c:v>442.43700000000001</c:v>
                </c:pt>
                <c:pt idx="161">
                  <c:v>440.45550000000003</c:v>
                </c:pt>
                <c:pt idx="162">
                  <c:v>438.375</c:v>
                </c:pt>
                <c:pt idx="163">
                  <c:v>436.51199999999994</c:v>
                </c:pt>
                <c:pt idx="164">
                  <c:v>434.85450000000003</c:v>
                </c:pt>
                <c:pt idx="165">
                  <c:v>433.07100000000003</c:v>
                </c:pt>
                <c:pt idx="166">
                  <c:v>431.77049999999997</c:v>
                </c:pt>
                <c:pt idx="167">
                  <c:v>430.34999999999997</c:v>
                </c:pt>
                <c:pt idx="168">
                  <c:v>429.19350000000003</c:v>
                </c:pt>
                <c:pt idx="169">
                  <c:v>428.05050000000006</c:v>
                </c:pt>
                <c:pt idx="170">
                  <c:v>427.125</c:v>
                </c:pt>
                <c:pt idx="171">
                  <c:v>426.26550000000003</c:v>
                </c:pt>
                <c:pt idx="172">
                  <c:v>425.53800000000001</c:v>
                </c:pt>
                <c:pt idx="173">
                  <c:v>424.947</c:v>
                </c:pt>
                <c:pt idx="174">
                  <c:v>424.42499999999995</c:v>
                </c:pt>
                <c:pt idx="175">
                  <c:v>423.96749999999997</c:v>
                </c:pt>
                <c:pt idx="176">
                  <c:v>423.59249999999997</c:v>
                </c:pt>
                <c:pt idx="177">
                  <c:v>423.28199999999998</c:v>
                </c:pt>
                <c:pt idx="178">
                  <c:v>423.048</c:v>
                </c:pt>
                <c:pt idx="179">
                  <c:v>422.83799999999997</c:v>
                </c:pt>
                <c:pt idx="180">
                  <c:v>422.697</c:v>
                </c:pt>
                <c:pt idx="181">
                  <c:v>422.53800000000001</c:v>
                </c:pt>
                <c:pt idx="182">
                  <c:v>422.39549999999997</c:v>
                </c:pt>
                <c:pt idx="183">
                  <c:v>422.25</c:v>
                </c:pt>
                <c:pt idx="184">
                  <c:v>422.07449999999994</c:v>
                </c:pt>
                <c:pt idx="185">
                  <c:v>421.875</c:v>
                </c:pt>
                <c:pt idx="186">
                  <c:v>421.60050000000001</c:v>
                </c:pt>
                <c:pt idx="187">
                  <c:v>421.28250000000003</c:v>
                </c:pt>
                <c:pt idx="188">
                  <c:v>420.89549999999997</c:v>
                </c:pt>
                <c:pt idx="189">
                  <c:v>420.38850000000002</c:v>
                </c:pt>
                <c:pt idx="190">
                  <c:v>421.63350000000003</c:v>
                </c:pt>
                <c:pt idx="191">
                  <c:v>422.72550000000001</c:v>
                </c:pt>
                <c:pt idx="192">
                  <c:v>423.22950000000003</c:v>
                </c:pt>
                <c:pt idx="193">
                  <c:v>423.47550000000001</c:v>
                </c:pt>
                <c:pt idx="194">
                  <c:v>423.411</c:v>
                </c:pt>
                <c:pt idx="195">
                  <c:v>423.09749999999997</c:v>
                </c:pt>
                <c:pt idx="196">
                  <c:v>422.625</c:v>
                </c:pt>
                <c:pt idx="197">
                  <c:v>422.02049999999997</c:v>
                </c:pt>
                <c:pt idx="198">
                  <c:v>421.20000000000005</c:v>
                </c:pt>
                <c:pt idx="199">
                  <c:v>417.16949999999997</c:v>
                </c:pt>
                <c:pt idx="200">
                  <c:v>415.98449999999997</c:v>
                </c:pt>
                <c:pt idx="201">
                  <c:v>415.03199999999998</c:v>
                </c:pt>
                <c:pt idx="202">
                  <c:v>414.06000000000006</c:v>
                </c:pt>
                <c:pt idx="203">
                  <c:v>412.83750000000003</c:v>
                </c:pt>
                <c:pt idx="204">
                  <c:v>411.59249999999997</c:v>
                </c:pt>
                <c:pt idx="205">
                  <c:v>410.17499999999995</c:v>
                </c:pt>
                <c:pt idx="206">
                  <c:v>408.726</c:v>
                </c:pt>
                <c:pt idx="207">
                  <c:v>407.202</c:v>
                </c:pt>
                <c:pt idx="208">
                  <c:v>405.51299999999998</c:v>
                </c:pt>
                <c:pt idx="209">
                  <c:v>443.976</c:v>
                </c:pt>
                <c:pt idx="210">
                  <c:v>437.59950000000003</c:v>
                </c:pt>
                <c:pt idx="211">
                  <c:v>430.41600000000005</c:v>
                </c:pt>
                <c:pt idx="212">
                  <c:v>426.47249999999997</c:v>
                </c:pt>
                <c:pt idx="213">
                  <c:v>422.98649999999998</c:v>
                </c:pt>
                <c:pt idx="214">
                  <c:v>420.339</c:v>
                </c:pt>
                <c:pt idx="215">
                  <c:v>417.17550000000006</c:v>
                </c:pt>
                <c:pt idx="216">
                  <c:v>413.85450000000003</c:v>
                </c:pt>
                <c:pt idx="217">
                  <c:v>410.23800000000006</c:v>
                </c:pt>
                <c:pt idx="218">
                  <c:v>406.899</c:v>
                </c:pt>
                <c:pt idx="219">
                  <c:v>403.572</c:v>
                </c:pt>
                <c:pt idx="220">
                  <c:v>400.11300000000006</c:v>
                </c:pt>
                <c:pt idx="221">
                  <c:v>396.99149999999997</c:v>
                </c:pt>
                <c:pt idx="222">
                  <c:v>393.70049999999998</c:v>
                </c:pt>
                <c:pt idx="223">
                  <c:v>390.64050000000003</c:v>
                </c:pt>
                <c:pt idx="224">
                  <c:v>387.798</c:v>
                </c:pt>
                <c:pt idx="225">
                  <c:v>384.46800000000002</c:v>
                </c:pt>
                <c:pt idx="226">
                  <c:v>381.85950000000003</c:v>
                </c:pt>
                <c:pt idx="227">
                  <c:v>378.87450000000001</c:v>
                </c:pt>
                <c:pt idx="228">
                  <c:v>376.209</c:v>
                </c:pt>
                <c:pt idx="229">
                  <c:v>373.38750000000005</c:v>
                </c:pt>
                <c:pt idx="230">
                  <c:v>370.77750000000003</c:v>
                </c:pt>
                <c:pt idx="231">
                  <c:v>368.238</c:v>
                </c:pt>
                <c:pt idx="232">
                  <c:v>365.613</c:v>
                </c:pt>
                <c:pt idx="233">
                  <c:v>363.26549999999997</c:v>
                </c:pt>
                <c:pt idx="234">
                  <c:v>360.738</c:v>
                </c:pt>
                <c:pt idx="235">
                  <c:v>347.10449999999997</c:v>
                </c:pt>
                <c:pt idx="236">
                  <c:v>344.286</c:v>
                </c:pt>
                <c:pt idx="237">
                  <c:v>342.46500000000003</c:v>
                </c:pt>
                <c:pt idx="238">
                  <c:v>340.839</c:v>
                </c:pt>
                <c:pt idx="239">
                  <c:v>338.96249999999998</c:v>
                </c:pt>
                <c:pt idx="240">
                  <c:v>337.23450000000003</c:v>
                </c:pt>
                <c:pt idx="241">
                  <c:v>335.33699999999999</c:v>
                </c:pt>
                <c:pt idx="242">
                  <c:v>333.54449999999997</c:v>
                </c:pt>
                <c:pt idx="243">
                  <c:v>331.76549999999997</c:v>
                </c:pt>
                <c:pt idx="244">
                  <c:v>329.88750000000005</c:v>
                </c:pt>
                <c:pt idx="245">
                  <c:v>328.197</c:v>
                </c:pt>
                <c:pt idx="246">
                  <c:v>326.36249999999995</c:v>
                </c:pt>
                <c:pt idx="247">
                  <c:v>324.65250000000003</c:v>
                </c:pt>
                <c:pt idx="248">
                  <c:v>323.06849999999997</c:v>
                </c:pt>
                <c:pt idx="249">
                  <c:v>321.17400000000004</c:v>
                </c:pt>
                <c:pt idx="250">
                  <c:v>319.68150000000003</c:v>
                </c:pt>
                <c:pt idx="251">
                  <c:v>317.93700000000001</c:v>
                </c:pt>
                <c:pt idx="252">
                  <c:v>316.37850000000003</c:v>
                </c:pt>
                <c:pt idx="253">
                  <c:v>314.66250000000002</c:v>
                </c:pt>
                <c:pt idx="254">
                  <c:v>313.089</c:v>
                </c:pt>
                <c:pt idx="255">
                  <c:v>311.51549999999997</c:v>
                </c:pt>
                <c:pt idx="256">
                  <c:v>309.89999999999998</c:v>
                </c:pt>
                <c:pt idx="257">
                  <c:v>308.41949999999997</c:v>
                </c:pt>
                <c:pt idx="258">
                  <c:v>306.81299999999999</c:v>
                </c:pt>
                <c:pt idx="259">
                  <c:v>305.334</c:v>
                </c:pt>
                <c:pt idx="260">
                  <c:v>303.94349999999997</c:v>
                </c:pt>
                <c:pt idx="261">
                  <c:v>302.30399999999997</c:v>
                </c:pt>
                <c:pt idx="262">
                  <c:v>301.00350000000003</c:v>
                </c:pt>
                <c:pt idx="263">
                  <c:v>299.51250000000005</c:v>
                </c:pt>
                <c:pt idx="264">
                  <c:v>298.149</c:v>
                </c:pt>
                <c:pt idx="265">
                  <c:v>296.66250000000002</c:v>
                </c:pt>
                <c:pt idx="266">
                  <c:v>295.28249999999997</c:v>
                </c:pt>
                <c:pt idx="267">
                  <c:v>293.90250000000003</c:v>
                </c:pt>
                <c:pt idx="268">
                  <c:v>292.45050000000003</c:v>
                </c:pt>
                <c:pt idx="269">
                  <c:v>291.13350000000003</c:v>
                </c:pt>
                <c:pt idx="270">
                  <c:v>289.71299999999997</c:v>
                </c:pt>
                <c:pt idx="271">
                  <c:v>288.375</c:v>
                </c:pt>
                <c:pt idx="272">
                  <c:v>287.12850000000003</c:v>
                </c:pt>
                <c:pt idx="273">
                  <c:v>285.66899999999998</c:v>
                </c:pt>
                <c:pt idx="274">
                  <c:v>284.50350000000003</c:v>
                </c:pt>
                <c:pt idx="275">
                  <c:v>283.15049999999997</c:v>
                </c:pt>
                <c:pt idx="276">
                  <c:v>281.952</c:v>
                </c:pt>
                <c:pt idx="277">
                  <c:v>280.61249999999995</c:v>
                </c:pt>
                <c:pt idx="278">
                  <c:v>279.375</c:v>
                </c:pt>
                <c:pt idx="279">
                  <c:v>278.15250000000003</c:v>
                </c:pt>
                <c:pt idx="280">
                  <c:v>276.87450000000001</c:v>
                </c:pt>
                <c:pt idx="281">
                  <c:v>275.685</c:v>
                </c:pt>
                <c:pt idx="282">
                  <c:v>274.43700000000001</c:v>
                </c:pt>
                <c:pt idx="283">
                  <c:v>273.24149999999997</c:v>
                </c:pt>
                <c:pt idx="284">
                  <c:v>272.15250000000003</c:v>
                </c:pt>
                <c:pt idx="285">
                  <c:v>270.90449999999998</c:v>
                </c:pt>
                <c:pt idx="286">
                  <c:v>269.78249999999997</c:v>
                </c:pt>
                <c:pt idx="287">
                  <c:v>268.57500000000005</c:v>
                </c:pt>
                <c:pt idx="288">
                  <c:v>267.48450000000003</c:v>
                </c:pt>
                <c:pt idx="289">
                  <c:v>266.29949999999997</c:v>
                </c:pt>
                <c:pt idx="290">
                  <c:v>265.185</c:v>
                </c:pt>
                <c:pt idx="291">
                  <c:v>264.072</c:v>
                </c:pt>
                <c:pt idx="292">
                  <c:v>262.95000000000005</c:v>
                </c:pt>
                <c:pt idx="293">
                  <c:v>261.89550000000003</c:v>
                </c:pt>
                <c:pt idx="294">
                  <c:v>260.74950000000001</c:v>
                </c:pt>
                <c:pt idx="295">
                  <c:v>259.71750000000003</c:v>
                </c:pt>
                <c:pt idx="296">
                  <c:v>258.702</c:v>
                </c:pt>
                <c:pt idx="297">
                  <c:v>257.57100000000003</c:v>
                </c:pt>
                <c:pt idx="298">
                  <c:v>256.64550000000003</c:v>
                </c:pt>
                <c:pt idx="299">
                  <c:v>255.5745</c:v>
                </c:pt>
                <c:pt idx="300">
                  <c:v>254.613</c:v>
                </c:pt>
                <c:pt idx="301">
                  <c:v>253.57500000000002</c:v>
                </c:pt>
                <c:pt idx="302">
                  <c:v>252.62850000000003</c:v>
                </c:pt>
                <c:pt idx="303">
                  <c:v>251.661</c:v>
                </c:pt>
                <c:pt idx="304">
                  <c:v>250.6995</c:v>
                </c:pt>
                <c:pt idx="305">
                  <c:v>249.75</c:v>
                </c:pt>
                <c:pt idx="306">
                  <c:v>248.8245</c:v>
                </c:pt>
                <c:pt idx="307">
                  <c:v>247.935</c:v>
                </c:pt>
                <c:pt idx="308">
                  <c:v>247.065</c:v>
                </c:pt>
                <c:pt idx="309">
                  <c:v>246.1335</c:v>
                </c:pt>
                <c:pt idx="310">
                  <c:v>245.298</c:v>
                </c:pt>
                <c:pt idx="311">
                  <c:v>244.42499999999998</c:v>
                </c:pt>
                <c:pt idx="312">
                  <c:v>243.62850000000003</c:v>
                </c:pt>
                <c:pt idx="313">
                  <c:v>242.72550000000001</c:v>
                </c:pt>
                <c:pt idx="314">
                  <c:v>241.959</c:v>
                </c:pt>
                <c:pt idx="315">
                  <c:v>241.113</c:v>
                </c:pt>
                <c:pt idx="316">
                  <c:v>240.32550000000003</c:v>
                </c:pt>
                <c:pt idx="317">
                  <c:v>239.541</c:v>
                </c:pt>
                <c:pt idx="318">
                  <c:v>238.77449999999999</c:v>
                </c:pt>
                <c:pt idx="319">
                  <c:v>238.01549999999997</c:v>
                </c:pt>
                <c:pt idx="320">
                  <c:v>237.339</c:v>
                </c:pt>
                <c:pt idx="321">
                  <c:v>236.54399999999998</c:v>
                </c:pt>
                <c:pt idx="322">
                  <c:v>235.911</c:v>
                </c:pt>
                <c:pt idx="323">
                  <c:v>235.17449999999997</c:v>
                </c:pt>
                <c:pt idx="324">
                  <c:v>234.5805</c:v>
                </c:pt>
                <c:pt idx="325">
                  <c:v>233.89949999999999</c:v>
                </c:pt>
                <c:pt idx="326">
                  <c:v>233.274</c:v>
                </c:pt>
                <c:pt idx="327">
                  <c:v>232.69349999999997</c:v>
                </c:pt>
                <c:pt idx="328">
                  <c:v>232.09950000000001</c:v>
                </c:pt>
                <c:pt idx="329">
                  <c:v>231.678</c:v>
                </c:pt>
                <c:pt idx="330">
                  <c:v>231.1755</c:v>
                </c:pt>
                <c:pt idx="331">
                  <c:v>230.541</c:v>
                </c:pt>
                <c:pt idx="332">
                  <c:v>230.0805</c:v>
                </c:pt>
                <c:pt idx="333">
                  <c:v>229.65450000000001</c:v>
                </c:pt>
                <c:pt idx="334">
                  <c:v>229.28249999999997</c:v>
                </c:pt>
                <c:pt idx="335">
                  <c:v>228.89999999999998</c:v>
                </c:pt>
                <c:pt idx="336">
                  <c:v>228.55650000000003</c:v>
                </c:pt>
                <c:pt idx="337">
                  <c:v>228.22500000000002</c:v>
                </c:pt>
                <c:pt idx="338">
                  <c:v>229.30650000000003</c:v>
                </c:pt>
                <c:pt idx="339">
                  <c:v>230.685</c:v>
                </c:pt>
                <c:pt idx="340">
                  <c:v>231.97500000000002</c:v>
                </c:pt>
                <c:pt idx="341">
                  <c:v>232.815</c:v>
                </c:pt>
                <c:pt idx="342">
                  <c:v>233.4495</c:v>
                </c:pt>
                <c:pt idx="343">
                  <c:v>233.928</c:v>
                </c:pt>
                <c:pt idx="344">
                  <c:v>234.411</c:v>
                </c:pt>
                <c:pt idx="345">
                  <c:v>234.8835</c:v>
                </c:pt>
                <c:pt idx="346">
                  <c:v>235.2585</c:v>
                </c:pt>
                <c:pt idx="347">
                  <c:v>235.62450000000001</c:v>
                </c:pt>
                <c:pt idx="348">
                  <c:v>236.0085</c:v>
                </c:pt>
                <c:pt idx="349">
                  <c:v>236.37450000000001</c:v>
                </c:pt>
                <c:pt idx="350">
                  <c:v>236.7585</c:v>
                </c:pt>
                <c:pt idx="351">
                  <c:v>237.14550000000003</c:v>
                </c:pt>
                <c:pt idx="352">
                  <c:v>237.52499999999998</c:v>
                </c:pt>
                <c:pt idx="353">
                  <c:v>238.62149999999997</c:v>
                </c:pt>
                <c:pt idx="354">
                  <c:v>239.85000000000002</c:v>
                </c:pt>
                <c:pt idx="355">
                  <c:v>241.3305</c:v>
                </c:pt>
                <c:pt idx="356">
                  <c:v>242.976</c:v>
                </c:pt>
                <c:pt idx="357">
                  <c:v>244.125</c:v>
                </c:pt>
                <c:pt idx="358">
                  <c:v>244.935</c:v>
                </c:pt>
                <c:pt idx="359">
                  <c:v>245.92499999999998</c:v>
                </c:pt>
                <c:pt idx="360">
                  <c:v>246.774</c:v>
                </c:pt>
                <c:pt idx="361">
                  <c:v>247.57500000000002</c:v>
                </c:pt>
                <c:pt idx="362">
                  <c:v>248.226</c:v>
                </c:pt>
                <c:pt idx="363">
                  <c:v>248.85449999999997</c:v>
                </c:pt>
                <c:pt idx="364">
                  <c:v>249.5745</c:v>
                </c:pt>
                <c:pt idx="365">
                  <c:v>250.185</c:v>
                </c:pt>
                <c:pt idx="366">
                  <c:v>250.79999999999998</c:v>
                </c:pt>
                <c:pt idx="367">
                  <c:v>251.322</c:v>
                </c:pt>
                <c:pt idx="368">
                  <c:v>251.709</c:v>
                </c:pt>
                <c:pt idx="369">
                  <c:v>252.21449999999999</c:v>
                </c:pt>
                <c:pt idx="370">
                  <c:v>252.60449999999997</c:v>
                </c:pt>
                <c:pt idx="371">
                  <c:v>253.02449999999999</c:v>
                </c:pt>
                <c:pt idx="372">
                  <c:v>253.4025</c:v>
                </c:pt>
                <c:pt idx="373">
                  <c:v>253.6995</c:v>
                </c:pt>
                <c:pt idx="374">
                  <c:v>254.10449999999997</c:v>
                </c:pt>
                <c:pt idx="375">
                  <c:v>254.4195</c:v>
                </c:pt>
                <c:pt idx="376">
                  <c:v>254.67449999999997</c:v>
                </c:pt>
                <c:pt idx="377">
                  <c:v>254.976</c:v>
                </c:pt>
                <c:pt idx="378">
                  <c:v>255.22500000000002</c:v>
                </c:pt>
                <c:pt idx="379">
                  <c:v>255.459</c:v>
                </c:pt>
                <c:pt idx="380">
                  <c:v>255.678</c:v>
                </c:pt>
                <c:pt idx="381">
                  <c:v>255.87900000000002</c:v>
                </c:pt>
                <c:pt idx="382">
                  <c:v>256.065</c:v>
                </c:pt>
                <c:pt idx="383">
                  <c:v>256.24950000000001</c:v>
                </c:pt>
                <c:pt idx="384">
                  <c:v>256.40250000000003</c:v>
                </c:pt>
                <c:pt idx="385">
                  <c:v>256.54949999999997</c:v>
                </c:pt>
                <c:pt idx="386">
                  <c:v>256.66949999999997</c:v>
                </c:pt>
                <c:pt idx="387">
                  <c:v>256.815</c:v>
                </c:pt>
                <c:pt idx="388">
                  <c:v>256.92449999999997</c:v>
                </c:pt>
                <c:pt idx="389">
                  <c:v>257.05650000000003</c:v>
                </c:pt>
                <c:pt idx="390">
                  <c:v>257.14949999999999</c:v>
                </c:pt>
                <c:pt idx="391">
                  <c:v>257.274</c:v>
                </c:pt>
                <c:pt idx="392">
                  <c:v>257.34749999999997</c:v>
                </c:pt>
                <c:pt idx="393">
                  <c:v>257.46449999999999</c:v>
                </c:pt>
                <c:pt idx="394">
                  <c:v>257.565</c:v>
                </c:pt>
                <c:pt idx="395">
                  <c:v>257.625</c:v>
                </c:pt>
                <c:pt idx="396">
                  <c:v>257.73450000000003</c:v>
                </c:pt>
                <c:pt idx="397">
                  <c:v>257.8245</c:v>
                </c:pt>
                <c:pt idx="398">
                  <c:v>257.85449999999997</c:v>
                </c:pt>
                <c:pt idx="399">
                  <c:v>257.90250000000003</c:v>
                </c:pt>
                <c:pt idx="400">
                  <c:v>258</c:v>
                </c:pt>
                <c:pt idx="401">
                  <c:v>258.024</c:v>
                </c:pt>
                <c:pt idx="402">
                  <c:v>258.04949999999997</c:v>
                </c:pt>
                <c:pt idx="403">
                  <c:v>258.09749999999997</c:v>
                </c:pt>
                <c:pt idx="404">
                  <c:v>258.12149999999997</c:v>
                </c:pt>
                <c:pt idx="405">
                  <c:v>258.13350000000003</c:v>
                </c:pt>
                <c:pt idx="406">
                  <c:v>258.19349999999997</c:v>
                </c:pt>
                <c:pt idx="407">
                  <c:v>258.1755</c:v>
                </c:pt>
                <c:pt idx="408">
                  <c:v>258.19349999999997</c:v>
                </c:pt>
                <c:pt idx="409">
                  <c:v>258.1755</c:v>
                </c:pt>
                <c:pt idx="410">
                  <c:v>258.19349999999997</c:v>
                </c:pt>
                <c:pt idx="411">
                  <c:v>258.19349999999997</c:v>
                </c:pt>
                <c:pt idx="412">
                  <c:v>258.1755</c:v>
                </c:pt>
                <c:pt idx="413">
                  <c:v>258.16949999999997</c:v>
                </c:pt>
                <c:pt idx="414">
                  <c:v>258.12450000000001</c:v>
                </c:pt>
                <c:pt idx="415">
                  <c:v>258.12149999999997</c:v>
                </c:pt>
                <c:pt idx="416">
                  <c:v>258.048</c:v>
                </c:pt>
                <c:pt idx="417">
                  <c:v>258.02699999999999</c:v>
                </c:pt>
                <c:pt idx="418">
                  <c:v>257.976</c:v>
                </c:pt>
                <c:pt idx="419">
                  <c:v>257.89949999999999</c:v>
                </c:pt>
                <c:pt idx="420">
                  <c:v>257.85449999999997</c:v>
                </c:pt>
                <c:pt idx="421">
                  <c:v>257.77499999999998</c:v>
                </c:pt>
                <c:pt idx="422">
                  <c:v>257.661</c:v>
                </c:pt>
                <c:pt idx="423">
                  <c:v>257.589</c:v>
                </c:pt>
                <c:pt idx="424">
                  <c:v>257.50049999999999</c:v>
                </c:pt>
                <c:pt idx="425">
                  <c:v>257.37149999999997</c:v>
                </c:pt>
                <c:pt idx="426">
                  <c:v>257.25</c:v>
                </c:pt>
                <c:pt idx="427">
                  <c:v>257.12850000000003</c:v>
                </c:pt>
                <c:pt idx="428">
                  <c:v>257.00850000000003</c:v>
                </c:pt>
                <c:pt idx="429">
                  <c:v>256.86150000000004</c:v>
                </c:pt>
                <c:pt idx="430">
                  <c:v>256.69349999999997</c:v>
                </c:pt>
                <c:pt idx="431">
                  <c:v>256.57500000000005</c:v>
                </c:pt>
                <c:pt idx="432">
                  <c:v>256.35449999999997</c:v>
                </c:pt>
                <c:pt idx="433">
                  <c:v>256.22550000000001</c:v>
                </c:pt>
                <c:pt idx="434">
                  <c:v>256.01549999999997</c:v>
                </c:pt>
                <c:pt idx="435">
                  <c:v>255.8475</c:v>
                </c:pt>
                <c:pt idx="436">
                  <c:v>255.62549999999999</c:v>
                </c:pt>
                <c:pt idx="437">
                  <c:v>255.435</c:v>
                </c:pt>
                <c:pt idx="438">
                  <c:v>255.22500000000002</c:v>
                </c:pt>
                <c:pt idx="439">
                  <c:v>255</c:v>
                </c:pt>
                <c:pt idx="440">
                  <c:v>254.80650000000003</c:v>
                </c:pt>
                <c:pt idx="441">
                  <c:v>254.54399999999998</c:v>
                </c:pt>
                <c:pt idx="442">
                  <c:v>254.3475</c:v>
                </c:pt>
                <c:pt idx="443">
                  <c:v>254.0745</c:v>
                </c:pt>
                <c:pt idx="444">
                  <c:v>253.839</c:v>
                </c:pt>
                <c:pt idx="445">
                  <c:v>253.57500000000002</c:v>
                </c:pt>
                <c:pt idx="446">
                  <c:v>253.30650000000003</c:v>
                </c:pt>
                <c:pt idx="447">
                  <c:v>253.041</c:v>
                </c:pt>
                <c:pt idx="448">
                  <c:v>252.75</c:v>
                </c:pt>
                <c:pt idx="449">
                  <c:v>252.5085</c:v>
                </c:pt>
                <c:pt idx="450">
                  <c:v>252.1755</c:v>
                </c:pt>
                <c:pt idx="451">
                  <c:v>251.9025</c:v>
                </c:pt>
                <c:pt idx="452">
                  <c:v>251.661</c:v>
                </c:pt>
                <c:pt idx="453">
                  <c:v>251.33100000000002</c:v>
                </c:pt>
                <c:pt idx="454">
                  <c:v>251.05650000000003</c:v>
                </c:pt>
                <c:pt idx="455">
                  <c:v>250.72500000000002</c:v>
                </c:pt>
                <c:pt idx="456">
                  <c:v>250.476</c:v>
                </c:pt>
                <c:pt idx="457">
                  <c:v>250.15049999999999</c:v>
                </c:pt>
                <c:pt idx="458">
                  <c:v>249.822</c:v>
                </c:pt>
                <c:pt idx="459">
                  <c:v>249.53249999999997</c:v>
                </c:pt>
                <c:pt idx="460">
                  <c:v>249.1755</c:v>
                </c:pt>
                <c:pt idx="461">
                  <c:v>248.87850000000003</c:v>
                </c:pt>
                <c:pt idx="462">
                  <c:v>248.54999999999998</c:v>
                </c:pt>
                <c:pt idx="463">
                  <c:v>248.178</c:v>
                </c:pt>
                <c:pt idx="464">
                  <c:v>247.911</c:v>
                </c:pt>
                <c:pt idx="465">
                  <c:v>247.5</c:v>
                </c:pt>
                <c:pt idx="466">
                  <c:v>247.209</c:v>
                </c:pt>
                <c:pt idx="467">
                  <c:v>246.85050000000001</c:v>
                </c:pt>
                <c:pt idx="468">
                  <c:v>246.5085</c:v>
                </c:pt>
                <c:pt idx="469">
                  <c:v>246.14999999999998</c:v>
                </c:pt>
                <c:pt idx="470">
                  <c:v>245.78249999999997</c:v>
                </c:pt>
                <c:pt idx="471">
                  <c:v>245.46750000000003</c:v>
                </c:pt>
                <c:pt idx="472">
                  <c:v>245.0745</c:v>
                </c:pt>
                <c:pt idx="473">
                  <c:v>244.71750000000003</c:v>
                </c:pt>
                <c:pt idx="474">
                  <c:v>244.37549999999999</c:v>
                </c:pt>
                <c:pt idx="475">
                  <c:v>243.9915</c:v>
                </c:pt>
                <c:pt idx="476">
                  <c:v>243.678</c:v>
                </c:pt>
                <c:pt idx="477">
                  <c:v>243.285</c:v>
                </c:pt>
                <c:pt idx="478">
                  <c:v>243.024</c:v>
                </c:pt>
                <c:pt idx="479">
                  <c:v>242.57550000000003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90-45FF-823D-857AD61FB73F}"/>
            </c:ext>
          </c:extLst>
        </c:ser>
        <c:ser>
          <c:idx val="17"/>
          <c:order val="17"/>
          <c:tx>
            <c:strRef>
              <c:f>'FPSO1 Otim'!$T$5</c:f>
              <c:strCache>
                <c:ptCount val="1"/>
                <c:pt idx="0">
                  <c:v>P18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Otim'!$T$6:$T$733</c:f>
              <c:numCache>
                <c:formatCode>General</c:formatCode>
                <c:ptCount val="728"/>
                <c:pt idx="0">
                  <c:v>1539.9750000000001</c:v>
                </c:pt>
                <c:pt idx="1">
                  <c:v>3167.5950000000003</c:v>
                </c:pt>
                <c:pt idx="2">
                  <c:v>3048.21</c:v>
                </c:pt>
                <c:pt idx="3">
                  <c:v>2914.335</c:v>
                </c:pt>
                <c:pt idx="4">
                  <c:v>2752.89</c:v>
                </c:pt>
                <c:pt idx="5">
                  <c:v>2612.2950000000001</c:v>
                </c:pt>
                <c:pt idx="6">
                  <c:v>2526.9299999999998</c:v>
                </c:pt>
                <c:pt idx="7">
                  <c:v>2440.0500000000002</c:v>
                </c:pt>
                <c:pt idx="8">
                  <c:v>2322.75</c:v>
                </c:pt>
                <c:pt idx="9">
                  <c:v>2219.5050000000001</c:v>
                </c:pt>
                <c:pt idx="10">
                  <c:v>2102.16</c:v>
                </c:pt>
                <c:pt idx="11">
                  <c:v>2034.405</c:v>
                </c:pt>
                <c:pt idx="12">
                  <c:v>1963.8150000000001</c:v>
                </c:pt>
                <c:pt idx="13">
                  <c:v>1905.96</c:v>
                </c:pt>
                <c:pt idx="14">
                  <c:v>1848.4499999999998</c:v>
                </c:pt>
                <c:pt idx="15">
                  <c:v>1797.4349999999999</c:v>
                </c:pt>
                <c:pt idx="16">
                  <c:v>1748.0249999999999</c:v>
                </c:pt>
                <c:pt idx="17">
                  <c:v>1698.165</c:v>
                </c:pt>
                <c:pt idx="18">
                  <c:v>1654.5749999999998</c:v>
                </c:pt>
                <c:pt idx="19">
                  <c:v>1610.88</c:v>
                </c:pt>
                <c:pt idx="20">
                  <c:v>1573.095</c:v>
                </c:pt>
                <c:pt idx="21">
                  <c:v>1537.6349999999998</c:v>
                </c:pt>
                <c:pt idx="22">
                  <c:v>1497.6990000000001</c:v>
                </c:pt>
                <c:pt idx="23">
                  <c:v>1466.0715</c:v>
                </c:pt>
                <c:pt idx="24">
                  <c:v>1429.4190000000001</c:v>
                </c:pt>
                <c:pt idx="25">
                  <c:v>1396.578</c:v>
                </c:pt>
                <c:pt idx="26">
                  <c:v>1362.6</c:v>
                </c:pt>
                <c:pt idx="27">
                  <c:v>1331.6669999999999</c:v>
                </c:pt>
                <c:pt idx="28">
                  <c:v>1301.7945</c:v>
                </c:pt>
                <c:pt idx="29">
                  <c:v>1272.2505000000001</c:v>
                </c:pt>
                <c:pt idx="30">
                  <c:v>1150.845</c:v>
                </c:pt>
                <c:pt idx="31">
                  <c:v>1117.4625000000001</c:v>
                </c:pt>
                <c:pt idx="32">
                  <c:v>1094.3955000000001</c:v>
                </c:pt>
                <c:pt idx="33">
                  <c:v>1074.3810000000001</c:v>
                </c:pt>
                <c:pt idx="34">
                  <c:v>1052.6054999999999</c:v>
                </c:pt>
                <c:pt idx="35">
                  <c:v>1035.75</c:v>
                </c:pt>
                <c:pt idx="36">
                  <c:v>1017.3119999999999</c:v>
                </c:pt>
                <c:pt idx="37">
                  <c:v>1002.4349999999999</c:v>
                </c:pt>
                <c:pt idx="38">
                  <c:v>987.15600000000006</c:v>
                </c:pt>
                <c:pt idx="39">
                  <c:v>973.34850000000006</c:v>
                </c:pt>
                <c:pt idx="40">
                  <c:v>960.25350000000003</c:v>
                </c:pt>
                <c:pt idx="41">
                  <c:v>946.74300000000005</c:v>
                </c:pt>
                <c:pt idx="42">
                  <c:v>934.44600000000014</c:v>
                </c:pt>
                <c:pt idx="43">
                  <c:v>921.53699999999992</c:v>
                </c:pt>
                <c:pt idx="44">
                  <c:v>906.32100000000014</c:v>
                </c:pt>
                <c:pt idx="45">
                  <c:v>895.41599999999994</c:v>
                </c:pt>
                <c:pt idx="46">
                  <c:v>884.08800000000008</c:v>
                </c:pt>
                <c:pt idx="47">
                  <c:v>874.66350000000011</c:v>
                </c:pt>
                <c:pt idx="48">
                  <c:v>864.33750000000009</c:v>
                </c:pt>
                <c:pt idx="49">
                  <c:v>855.27150000000006</c:v>
                </c:pt>
                <c:pt idx="50">
                  <c:v>845.76900000000001</c:v>
                </c:pt>
                <c:pt idx="51">
                  <c:v>837.1395</c:v>
                </c:pt>
                <c:pt idx="52">
                  <c:v>828.79200000000003</c:v>
                </c:pt>
                <c:pt idx="53">
                  <c:v>820.34999999999991</c:v>
                </c:pt>
                <c:pt idx="54">
                  <c:v>812.77049999999997</c:v>
                </c:pt>
                <c:pt idx="55">
                  <c:v>804.75600000000009</c:v>
                </c:pt>
                <c:pt idx="56">
                  <c:v>791.33999999999992</c:v>
                </c:pt>
                <c:pt idx="57">
                  <c:v>784.51200000000006</c:v>
                </c:pt>
                <c:pt idx="58">
                  <c:v>777.16049999999996</c:v>
                </c:pt>
                <c:pt idx="59">
                  <c:v>771.28500000000008</c:v>
                </c:pt>
                <c:pt idx="60">
                  <c:v>764.59349999999995</c:v>
                </c:pt>
                <c:pt idx="61">
                  <c:v>758.66100000000006</c:v>
                </c:pt>
                <c:pt idx="62">
                  <c:v>752.37450000000001</c:v>
                </c:pt>
                <c:pt idx="63">
                  <c:v>746.60699999999997</c:v>
                </c:pt>
                <c:pt idx="64">
                  <c:v>741.00600000000009</c:v>
                </c:pt>
                <c:pt idx="65">
                  <c:v>735.21900000000005</c:v>
                </c:pt>
                <c:pt idx="66">
                  <c:v>729.702</c:v>
                </c:pt>
                <c:pt idx="67">
                  <c:v>723.85050000000001</c:v>
                </c:pt>
                <c:pt idx="68">
                  <c:v>718.476</c:v>
                </c:pt>
                <c:pt idx="69">
                  <c:v>713.52149999999995</c:v>
                </c:pt>
                <c:pt idx="70">
                  <c:v>707.9190000000001</c:v>
                </c:pt>
                <c:pt idx="71">
                  <c:v>703.476</c:v>
                </c:pt>
                <c:pt idx="72">
                  <c:v>698.40599999999995</c:v>
                </c:pt>
                <c:pt idx="73">
                  <c:v>693.8655</c:v>
                </c:pt>
                <c:pt idx="74">
                  <c:v>689.05649999999991</c:v>
                </c:pt>
                <c:pt idx="75">
                  <c:v>684.6345</c:v>
                </c:pt>
                <c:pt idx="76">
                  <c:v>680.28600000000006</c:v>
                </c:pt>
                <c:pt idx="77">
                  <c:v>675.8565000000001</c:v>
                </c:pt>
                <c:pt idx="78">
                  <c:v>671.89049999999997</c:v>
                </c:pt>
                <c:pt idx="79">
                  <c:v>667.75049999999999</c:v>
                </c:pt>
                <c:pt idx="80">
                  <c:v>663.9615</c:v>
                </c:pt>
                <c:pt idx="81">
                  <c:v>660.45299999999997</c:v>
                </c:pt>
                <c:pt idx="82">
                  <c:v>656.46449999999993</c:v>
                </c:pt>
                <c:pt idx="83">
                  <c:v>653.31600000000003</c:v>
                </c:pt>
                <c:pt idx="84">
                  <c:v>649.73099999999999</c:v>
                </c:pt>
                <c:pt idx="85">
                  <c:v>646.548</c:v>
                </c:pt>
                <c:pt idx="86">
                  <c:v>643.20000000000005</c:v>
                </c:pt>
                <c:pt idx="87">
                  <c:v>640.101</c:v>
                </c:pt>
                <c:pt idx="88">
                  <c:v>637.101</c:v>
                </c:pt>
                <c:pt idx="89">
                  <c:v>634.01250000000005</c:v>
                </c:pt>
                <c:pt idx="90">
                  <c:v>631.28250000000003</c:v>
                </c:pt>
                <c:pt idx="91">
                  <c:v>628.36200000000008</c:v>
                </c:pt>
                <c:pt idx="92">
                  <c:v>625.69350000000009</c:v>
                </c:pt>
                <c:pt idx="93">
                  <c:v>623.202</c:v>
                </c:pt>
                <c:pt idx="94">
                  <c:v>620.47050000000002</c:v>
                </c:pt>
                <c:pt idx="95">
                  <c:v>618.71399999999994</c:v>
                </c:pt>
                <c:pt idx="96">
                  <c:v>616.71299999999997</c:v>
                </c:pt>
                <c:pt idx="97">
                  <c:v>614.976</c:v>
                </c:pt>
                <c:pt idx="98">
                  <c:v>613.3125</c:v>
                </c:pt>
                <c:pt idx="99">
                  <c:v>611.85450000000003</c:v>
                </c:pt>
                <c:pt idx="100">
                  <c:v>610.46399999999994</c:v>
                </c:pt>
                <c:pt idx="101">
                  <c:v>609.02549999999997</c:v>
                </c:pt>
                <c:pt idx="102">
                  <c:v>607.66949999999997</c:v>
                </c:pt>
                <c:pt idx="103">
                  <c:v>606.21299999999997</c:v>
                </c:pt>
                <c:pt idx="104">
                  <c:v>600.351</c:v>
                </c:pt>
                <c:pt idx="105">
                  <c:v>598.77750000000003</c:v>
                </c:pt>
                <c:pt idx="106">
                  <c:v>597.57600000000002</c:v>
                </c:pt>
                <c:pt idx="107">
                  <c:v>596.50350000000003</c:v>
                </c:pt>
                <c:pt idx="108">
                  <c:v>595.27500000000009</c:v>
                </c:pt>
                <c:pt idx="109">
                  <c:v>594.072</c:v>
                </c:pt>
                <c:pt idx="110">
                  <c:v>592.82549999999992</c:v>
                </c:pt>
                <c:pt idx="111">
                  <c:v>591.60450000000003</c:v>
                </c:pt>
                <c:pt idx="112">
                  <c:v>590.41949999999997</c:v>
                </c:pt>
                <c:pt idx="113">
                  <c:v>589.16249999999991</c:v>
                </c:pt>
                <c:pt idx="114">
                  <c:v>650.298</c:v>
                </c:pt>
                <c:pt idx="115">
                  <c:v>655.8</c:v>
                </c:pt>
                <c:pt idx="116">
                  <c:v>657.88350000000003</c:v>
                </c:pt>
                <c:pt idx="117">
                  <c:v>659.44350000000009</c:v>
                </c:pt>
                <c:pt idx="118">
                  <c:v>661.25850000000003</c:v>
                </c:pt>
                <c:pt idx="119">
                  <c:v>662.47950000000003</c:v>
                </c:pt>
                <c:pt idx="120">
                  <c:v>663.82500000000005</c:v>
                </c:pt>
                <c:pt idx="121">
                  <c:v>664.86300000000006</c:v>
                </c:pt>
                <c:pt idx="122">
                  <c:v>665.91300000000001</c:v>
                </c:pt>
                <c:pt idx="123">
                  <c:v>666.94350000000009</c:v>
                </c:pt>
                <c:pt idx="124">
                  <c:v>667.851</c:v>
                </c:pt>
                <c:pt idx="125">
                  <c:v>668.7</c:v>
                </c:pt>
                <c:pt idx="126">
                  <c:v>669.38699999999994</c:v>
                </c:pt>
                <c:pt idx="127">
                  <c:v>670.01250000000005</c:v>
                </c:pt>
                <c:pt idx="128">
                  <c:v>670.53600000000006</c:v>
                </c:pt>
                <c:pt idx="129">
                  <c:v>670.947</c:v>
                </c:pt>
                <c:pt idx="130">
                  <c:v>671.38350000000003</c:v>
                </c:pt>
                <c:pt idx="131">
                  <c:v>671.66100000000006</c:v>
                </c:pt>
                <c:pt idx="132">
                  <c:v>671.91300000000001</c:v>
                </c:pt>
                <c:pt idx="133">
                  <c:v>672.10950000000003</c:v>
                </c:pt>
                <c:pt idx="134">
                  <c:v>672.26250000000005</c:v>
                </c:pt>
                <c:pt idx="135">
                  <c:v>672.351</c:v>
                </c:pt>
                <c:pt idx="136">
                  <c:v>672.41100000000006</c:v>
                </c:pt>
                <c:pt idx="137">
                  <c:v>672.42450000000008</c:v>
                </c:pt>
                <c:pt idx="138">
                  <c:v>672.399</c:v>
                </c:pt>
                <c:pt idx="139">
                  <c:v>672.31200000000001</c:v>
                </c:pt>
                <c:pt idx="140">
                  <c:v>653.45550000000003</c:v>
                </c:pt>
                <c:pt idx="141">
                  <c:v>652.56000000000006</c:v>
                </c:pt>
                <c:pt idx="142">
                  <c:v>653.54700000000003</c:v>
                </c:pt>
                <c:pt idx="143">
                  <c:v>654.16949999999997</c:v>
                </c:pt>
                <c:pt idx="144">
                  <c:v>654.73800000000006</c:v>
                </c:pt>
                <c:pt idx="145">
                  <c:v>655.13699999999994</c:v>
                </c:pt>
                <c:pt idx="146">
                  <c:v>655.47450000000003</c:v>
                </c:pt>
                <c:pt idx="147">
                  <c:v>655.72950000000003</c:v>
                </c:pt>
                <c:pt idx="148">
                  <c:v>655.875</c:v>
                </c:pt>
                <c:pt idx="149">
                  <c:v>655.97550000000001</c:v>
                </c:pt>
                <c:pt idx="150">
                  <c:v>655.98450000000003</c:v>
                </c:pt>
                <c:pt idx="151">
                  <c:v>655.93799999999999</c:v>
                </c:pt>
                <c:pt idx="152">
                  <c:v>655.81499999999994</c:v>
                </c:pt>
                <c:pt idx="153">
                  <c:v>655.64549999999997</c:v>
                </c:pt>
                <c:pt idx="154">
                  <c:v>655.4190000000001</c:v>
                </c:pt>
                <c:pt idx="155">
                  <c:v>655.16100000000006</c:v>
                </c:pt>
                <c:pt idx="156">
                  <c:v>654.82500000000005</c:v>
                </c:pt>
                <c:pt idx="157">
                  <c:v>654.47249999999997</c:v>
                </c:pt>
                <c:pt idx="158">
                  <c:v>654.03749999999991</c:v>
                </c:pt>
                <c:pt idx="159">
                  <c:v>653.54100000000005</c:v>
                </c:pt>
                <c:pt idx="160">
                  <c:v>653.00850000000003</c:v>
                </c:pt>
                <c:pt idx="161">
                  <c:v>652.37549999999999</c:v>
                </c:pt>
                <c:pt idx="162">
                  <c:v>651.76199999999994</c:v>
                </c:pt>
                <c:pt idx="163">
                  <c:v>651.06299999999999</c:v>
                </c:pt>
                <c:pt idx="164">
                  <c:v>650.322</c:v>
                </c:pt>
                <c:pt idx="165">
                  <c:v>649.62149999999997</c:v>
                </c:pt>
                <c:pt idx="166">
                  <c:v>648.73649999999998</c:v>
                </c:pt>
                <c:pt idx="167">
                  <c:v>647.98800000000006</c:v>
                </c:pt>
                <c:pt idx="168">
                  <c:v>647.05050000000006</c:v>
                </c:pt>
                <c:pt idx="169">
                  <c:v>646.18500000000006</c:v>
                </c:pt>
                <c:pt idx="170">
                  <c:v>645.22499999999991</c:v>
                </c:pt>
                <c:pt idx="171">
                  <c:v>644.26199999999994</c:v>
                </c:pt>
                <c:pt idx="172">
                  <c:v>643.30649999999991</c:v>
                </c:pt>
                <c:pt idx="173">
                  <c:v>642.25049999999999</c:v>
                </c:pt>
                <c:pt idx="174">
                  <c:v>641.28600000000006</c:v>
                </c:pt>
                <c:pt idx="175">
                  <c:v>640.23749999999995</c:v>
                </c:pt>
                <c:pt idx="176">
                  <c:v>639.19350000000009</c:v>
                </c:pt>
                <c:pt idx="177">
                  <c:v>638.21399999999994</c:v>
                </c:pt>
                <c:pt idx="178">
                  <c:v>637.0440000000001</c:v>
                </c:pt>
                <c:pt idx="179">
                  <c:v>636.09749999999997</c:v>
                </c:pt>
                <c:pt idx="180">
                  <c:v>634.98749999999995</c:v>
                </c:pt>
                <c:pt idx="181">
                  <c:v>633.95550000000003</c:v>
                </c:pt>
                <c:pt idx="182">
                  <c:v>632.83799999999997</c:v>
                </c:pt>
                <c:pt idx="183">
                  <c:v>631.76549999999997</c:v>
                </c:pt>
                <c:pt idx="184">
                  <c:v>630.702</c:v>
                </c:pt>
                <c:pt idx="185">
                  <c:v>629.56200000000001</c:v>
                </c:pt>
                <c:pt idx="186">
                  <c:v>628.548</c:v>
                </c:pt>
                <c:pt idx="187">
                  <c:v>627.43799999999999</c:v>
                </c:pt>
                <c:pt idx="188">
                  <c:v>626.37149999999997</c:v>
                </c:pt>
                <c:pt idx="189">
                  <c:v>625.36649999999997</c:v>
                </c:pt>
                <c:pt idx="190">
                  <c:v>624.20699999999999</c:v>
                </c:pt>
                <c:pt idx="191">
                  <c:v>623.23800000000006</c:v>
                </c:pt>
                <c:pt idx="192">
                  <c:v>622.13699999999994</c:v>
                </c:pt>
                <c:pt idx="193">
                  <c:v>621.15750000000003</c:v>
                </c:pt>
                <c:pt idx="194">
                  <c:v>620.07449999999994</c:v>
                </c:pt>
                <c:pt idx="195">
                  <c:v>619.06499999999994</c:v>
                </c:pt>
                <c:pt idx="196">
                  <c:v>618.09749999999997</c:v>
                </c:pt>
                <c:pt idx="197">
                  <c:v>617.02500000000009</c:v>
                </c:pt>
                <c:pt idx="198">
                  <c:v>616.08899999999994</c:v>
                </c:pt>
                <c:pt idx="199">
                  <c:v>615.01199999999994</c:v>
                </c:pt>
                <c:pt idx="200">
                  <c:v>614.04449999999997</c:v>
                </c:pt>
                <c:pt idx="201">
                  <c:v>613.11300000000006</c:v>
                </c:pt>
                <c:pt idx="202">
                  <c:v>611.98649999999998</c:v>
                </c:pt>
                <c:pt idx="203">
                  <c:v>611.11649999999997</c:v>
                </c:pt>
                <c:pt idx="204">
                  <c:v>610.07549999999992</c:v>
                </c:pt>
                <c:pt idx="205">
                  <c:v>609.12149999999997</c:v>
                </c:pt>
                <c:pt idx="206">
                  <c:v>608.05050000000006</c:v>
                </c:pt>
                <c:pt idx="207">
                  <c:v>607.077</c:v>
                </c:pt>
                <c:pt idx="208">
                  <c:v>606.06000000000006</c:v>
                </c:pt>
                <c:pt idx="209">
                  <c:v>605.01299999999992</c:v>
                </c:pt>
                <c:pt idx="210">
                  <c:v>604.01549999999997</c:v>
                </c:pt>
                <c:pt idx="211">
                  <c:v>602.93700000000001</c:v>
                </c:pt>
                <c:pt idx="212">
                  <c:v>601.91100000000006</c:v>
                </c:pt>
                <c:pt idx="213">
                  <c:v>600.99149999999997</c:v>
                </c:pt>
                <c:pt idx="214">
                  <c:v>599.83949999999993</c:v>
                </c:pt>
                <c:pt idx="215">
                  <c:v>598.947</c:v>
                </c:pt>
                <c:pt idx="216">
                  <c:v>597.88799999999992</c:v>
                </c:pt>
                <c:pt idx="217">
                  <c:v>596.91600000000005</c:v>
                </c:pt>
                <c:pt idx="218">
                  <c:v>595.875</c:v>
                </c:pt>
                <c:pt idx="219">
                  <c:v>594.89549999999997</c:v>
                </c:pt>
                <c:pt idx="220">
                  <c:v>593.90250000000003</c:v>
                </c:pt>
                <c:pt idx="221">
                  <c:v>592.86300000000006</c:v>
                </c:pt>
                <c:pt idx="222">
                  <c:v>591.89549999999997</c:v>
                </c:pt>
                <c:pt idx="223">
                  <c:v>590.82449999999994</c:v>
                </c:pt>
                <c:pt idx="224">
                  <c:v>589.827</c:v>
                </c:pt>
                <c:pt idx="225">
                  <c:v>588.91949999999997</c:v>
                </c:pt>
                <c:pt idx="226">
                  <c:v>587.79899999999998</c:v>
                </c:pt>
                <c:pt idx="227">
                  <c:v>586.91100000000006</c:v>
                </c:pt>
                <c:pt idx="228">
                  <c:v>585.88799999999992</c:v>
                </c:pt>
                <c:pt idx="229">
                  <c:v>584.93999999999994</c:v>
                </c:pt>
                <c:pt idx="230">
                  <c:v>583.92450000000008</c:v>
                </c:pt>
                <c:pt idx="231">
                  <c:v>582.99149999999997</c:v>
                </c:pt>
                <c:pt idx="232">
                  <c:v>582.06000000000006</c:v>
                </c:pt>
                <c:pt idx="233">
                  <c:v>581.12549999999999</c:v>
                </c:pt>
                <c:pt idx="234">
                  <c:v>580.548</c:v>
                </c:pt>
                <c:pt idx="235">
                  <c:v>579.66300000000001</c:v>
                </c:pt>
                <c:pt idx="236">
                  <c:v>578.601</c:v>
                </c:pt>
                <c:pt idx="237">
                  <c:v>577.803</c:v>
                </c:pt>
                <c:pt idx="238">
                  <c:v>576.97050000000002</c:v>
                </c:pt>
                <c:pt idx="239">
                  <c:v>576.26549999999997</c:v>
                </c:pt>
                <c:pt idx="240">
                  <c:v>575.50049999999999</c:v>
                </c:pt>
                <c:pt idx="241">
                  <c:v>574.83899999999994</c:v>
                </c:pt>
                <c:pt idx="242">
                  <c:v>574.125</c:v>
                </c:pt>
                <c:pt idx="243">
                  <c:v>574.99649999999997</c:v>
                </c:pt>
                <c:pt idx="244">
                  <c:v>575.601</c:v>
                </c:pt>
                <c:pt idx="245">
                  <c:v>576.85050000000001</c:v>
                </c:pt>
                <c:pt idx="246">
                  <c:v>578.31000000000006</c:v>
                </c:pt>
                <c:pt idx="247">
                  <c:v>579.72450000000003</c:v>
                </c:pt>
                <c:pt idx="248">
                  <c:v>580.37850000000003</c:v>
                </c:pt>
                <c:pt idx="249">
                  <c:v>580.452</c:v>
                </c:pt>
                <c:pt idx="250">
                  <c:v>580.59300000000007</c:v>
                </c:pt>
                <c:pt idx="251">
                  <c:v>580.66949999999997</c:v>
                </c:pt>
                <c:pt idx="252">
                  <c:v>580.75049999999999</c:v>
                </c:pt>
                <c:pt idx="253">
                  <c:v>580.74149999999997</c:v>
                </c:pt>
                <c:pt idx="254">
                  <c:v>580.65000000000009</c:v>
                </c:pt>
                <c:pt idx="255">
                  <c:v>580.524</c:v>
                </c:pt>
                <c:pt idx="256">
                  <c:v>580.30649999999991</c:v>
                </c:pt>
                <c:pt idx="257">
                  <c:v>579.92550000000006</c:v>
                </c:pt>
                <c:pt idx="258">
                  <c:v>579.41100000000006</c:v>
                </c:pt>
                <c:pt idx="259">
                  <c:v>578.89949999999999</c:v>
                </c:pt>
                <c:pt idx="260">
                  <c:v>578.34749999999997</c:v>
                </c:pt>
                <c:pt idx="261">
                  <c:v>577.93500000000006</c:v>
                </c:pt>
                <c:pt idx="262">
                  <c:v>577.71449999999993</c:v>
                </c:pt>
                <c:pt idx="263">
                  <c:v>577.452</c:v>
                </c:pt>
                <c:pt idx="264">
                  <c:v>577.07549999999992</c:v>
                </c:pt>
                <c:pt idx="265">
                  <c:v>576.65250000000003</c:v>
                </c:pt>
                <c:pt idx="266">
                  <c:v>576.15000000000009</c:v>
                </c:pt>
                <c:pt idx="267">
                  <c:v>575.54100000000005</c:v>
                </c:pt>
                <c:pt idx="268">
                  <c:v>574.83899999999994</c:v>
                </c:pt>
                <c:pt idx="269">
                  <c:v>574.00049999999999</c:v>
                </c:pt>
                <c:pt idx="270">
                  <c:v>573.16949999999997</c:v>
                </c:pt>
                <c:pt idx="271">
                  <c:v>572.12549999999999</c:v>
                </c:pt>
                <c:pt idx="272">
                  <c:v>571.11300000000006</c:v>
                </c:pt>
                <c:pt idx="273">
                  <c:v>570.09749999999997</c:v>
                </c:pt>
                <c:pt idx="274">
                  <c:v>568.74149999999997</c:v>
                </c:pt>
                <c:pt idx="275">
                  <c:v>567.60450000000003</c:v>
                </c:pt>
                <c:pt idx="276">
                  <c:v>566.17499999999995</c:v>
                </c:pt>
                <c:pt idx="277">
                  <c:v>564.798</c:v>
                </c:pt>
                <c:pt idx="278">
                  <c:v>563.625</c:v>
                </c:pt>
                <c:pt idx="279">
                  <c:v>561.726</c:v>
                </c:pt>
                <c:pt idx="280">
                  <c:v>560.08050000000003</c:v>
                </c:pt>
                <c:pt idx="281">
                  <c:v>558.25049999999999</c:v>
                </c:pt>
                <c:pt idx="282">
                  <c:v>556.524</c:v>
                </c:pt>
                <c:pt idx="283">
                  <c:v>554.625</c:v>
                </c:pt>
                <c:pt idx="284">
                  <c:v>552.774</c:v>
                </c:pt>
                <c:pt idx="285">
                  <c:v>550.86300000000006</c:v>
                </c:pt>
                <c:pt idx="286">
                  <c:v>548.74199999999996</c:v>
                </c:pt>
                <c:pt idx="287">
                  <c:v>546.84749999999997</c:v>
                </c:pt>
                <c:pt idx="288">
                  <c:v>544.69949999999994</c:v>
                </c:pt>
                <c:pt idx="289">
                  <c:v>542.63699999999994</c:v>
                </c:pt>
                <c:pt idx="290">
                  <c:v>540.42450000000008</c:v>
                </c:pt>
                <c:pt idx="291">
                  <c:v>538.20899999999995</c:v>
                </c:pt>
                <c:pt idx="292">
                  <c:v>536.00850000000003</c:v>
                </c:pt>
                <c:pt idx="293">
                  <c:v>533.65049999999997</c:v>
                </c:pt>
                <c:pt idx="294">
                  <c:v>531.43500000000006</c:v>
                </c:pt>
                <c:pt idx="295">
                  <c:v>529.04999999999995</c:v>
                </c:pt>
                <c:pt idx="296">
                  <c:v>526.71749999999997</c:v>
                </c:pt>
                <c:pt idx="297">
                  <c:v>524.56499999999994</c:v>
                </c:pt>
                <c:pt idx="298">
                  <c:v>522</c:v>
                </c:pt>
                <c:pt idx="299">
                  <c:v>519.91949999999997</c:v>
                </c:pt>
                <c:pt idx="300">
                  <c:v>517.5</c:v>
                </c:pt>
                <c:pt idx="301">
                  <c:v>515.274</c:v>
                </c:pt>
                <c:pt idx="302">
                  <c:v>512.87549999999999</c:v>
                </c:pt>
                <c:pt idx="303">
                  <c:v>510.62849999999997</c:v>
                </c:pt>
                <c:pt idx="304">
                  <c:v>508.40250000000003</c:v>
                </c:pt>
                <c:pt idx="305">
                  <c:v>505.99950000000001</c:v>
                </c:pt>
                <c:pt idx="306">
                  <c:v>503.75850000000003</c:v>
                </c:pt>
                <c:pt idx="307">
                  <c:v>501.42450000000002</c:v>
                </c:pt>
                <c:pt idx="308">
                  <c:v>499.20899999999995</c:v>
                </c:pt>
                <c:pt idx="309">
                  <c:v>497.15250000000003</c:v>
                </c:pt>
                <c:pt idx="310">
                  <c:v>494.73150000000004</c:v>
                </c:pt>
                <c:pt idx="311">
                  <c:v>492.822</c:v>
                </c:pt>
                <c:pt idx="312">
                  <c:v>490.62450000000001</c:v>
                </c:pt>
                <c:pt idx="313">
                  <c:v>488.63699999999994</c:v>
                </c:pt>
                <c:pt idx="314">
                  <c:v>486.47550000000001</c:v>
                </c:pt>
                <c:pt idx="315">
                  <c:v>484.452</c:v>
                </c:pt>
                <c:pt idx="316">
                  <c:v>482.51550000000003</c:v>
                </c:pt>
                <c:pt idx="317">
                  <c:v>480.45000000000005</c:v>
                </c:pt>
                <c:pt idx="318">
                  <c:v>478.59749999999997</c:v>
                </c:pt>
                <c:pt idx="319">
                  <c:v>476.57549999999998</c:v>
                </c:pt>
                <c:pt idx="320">
                  <c:v>474.702</c:v>
                </c:pt>
                <c:pt idx="321">
                  <c:v>472.93500000000006</c:v>
                </c:pt>
                <c:pt idx="322">
                  <c:v>470.86649999999997</c:v>
                </c:pt>
                <c:pt idx="323">
                  <c:v>469.18500000000006</c:v>
                </c:pt>
                <c:pt idx="324">
                  <c:v>467.25</c:v>
                </c:pt>
                <c:pt idx="325">
                  <c:v>465.45899999999995</c:v>
                </c:pt>
                <c:pt idx="326">
                  <c:v>463.52549999999997</c:v>
                </c:pt>
                <c:pt idx="327">
                  <c:v>461.68500000000006</c:v>
                </c:pt>
                <c:pt idx="328">
                  <c:v>459.822</c:v>
                </c:pt>
                <c:pt idx="329">
                  <c:v>457.84950000000003</c:v>
                </c:pt>
                <c:pt idx="330">
                  <c:v>456.048</c:v>
                </c:pt>
                <c:pt idx="331">
                  <c:v>454.07549999999998</c:v>
                </c:pt>
                <c:pt idx="332">
                  <c:v>452.15250000000003</c:v>
                </c:pt>
                <c:pt idx="333">
                  <c:v>450.31499999999994</c:v>
                </c:pt>
                <c:pt idx="334">
                  <c:v>448.18950000000001</c:v>
                </c:pt>
                <c:pt idx="335">
                  <c:v>446.322</c:v>
                </c:pt>
                <c:pt idx="336">
                  <c:v>444.27449999999999</c:v>
                </c:pt>
                <c:pt idx="337">
                  <c:v>442.35450000000003</c:v>
                </c:pt>
                <c:pt idx="338">
                  <c:v>440.20049999999998</c:v>
                </c:pt>
                <c:pt idx="339">
                  <c:v>438.16949999999997</c:v>
                </c:pt>
                <c:pt idx="340">
                  <c:v>436.13699999999994</c:v>
                </c:pt>
                <c:pt idx="341">
                  <c:v>433.99950000000001</c:v>
                </c:pt>
                <c:pt idx="342">
                  <c:v>431.976</c:v>
                </c:pt>
                <c:pt idx="343">
                  <c:v>429.77549999999997</c:v>
                </c:pt>
                <c:pt idx="344">
                  <c:v>427.71749999999997</c:v>
                </c:pt>
                <c:pt idx="345">
                  <c:v>425.78250000000003</c:v>
                </c:pt>
                <c:pt idx="346">
                  <c:v>423.50850000000003</c:v>
                </c:pt>
                <c:pt idx="347">
                  <c:v>421.64549999999997</c:v>
                </c:pt>
                <c:pt idx="348">
                  <c:v>419.50049999999999</c:v>
                </c:pt>
                <c:pt idx="349">
                  <c:v>417.48449999999997</c:v>
                </c:pt>
                <c:pt idx="350">
                  <c:v>415.37549999999999</c:v>
                </c:pt>
                <c:pt idx="351">
                  <c:v>413.37150000000003</c:v>
                </c:pt>
                <c:pt idx="352">
                  <c:v>411.411</c:v>
                </c:pt>
                <c:pt idx="353">
                  <c:v>409.32449999999994</c:v>
                </c:pt>
                <c:pt idx="354">
                  <c:v>407.46749999999997</c:v>
                </c:pt>
                <c:pt idx="355">
                  <c:v>405.40049999999997</c:v>
                </c:pt>
                <c:pt idx="356">
                  <c:v>403.524</c:v>
                </c:pt>
                <c:pt idx="357">
                  <c:v>401.75850000000003</c:v>
                </c:pt>
                <c:pt idx="358">
                  <c:v>399.66900000000004</c:v>
                </c:pt>
                <c:pt idx="359">
                  <c:v>398.08050000000003</c:v>
                </c:pt>
                <c:pt idx="360">
                  <c:v>396.17550000000006</c:v>
                </c:pt>
                <c:pt idx="361">
                  <c:v>394.428</c:v>
                </c:pt>
                <c:pt idx="362">
                  <c:v>392.57549999999998</c:v>
                </c:pt>
                <c:pt idx="363">
                  <c:v>390.87150000000003</c:v>
                </c:pt>
                <c:pt idx="364">
                  <c:v>389.178</c:v>
                </c:pt>
                <c:pt idx="365">
                  <c:v>387.34950000000003</c:v>
                </c:pt>
                <c:pt idx="366">
                  <c:v>385.76550000000003</c:v>
                </c:pt>
                <c:pt idx="367">
                  <c:v>384</c:v>
                </c:pt>
                <c:pt idx="368">
                  <c:v>382.37850000000003</c:v>
                </c:pt>
                <c:pt idx="369">
                  <c:v>380.87850000000003</c:v>
                </c:pt>
                <c:pt idx="370">
                  <c:v>379.09800000000001</c:v>
                </c:pt>
                <c:pt idx="371">
                  <c:v>377.637</c:v>
                </c:pt>
                <c:pt idx="372">
                  <c:v>376.00049999999999</c:v>
                </c:pt>
                <c:pt idx="373">
                  <c:v>374.49149999999997</c:v>
                </c:pt>
                <c:pt idx="374">
                  <c:v>372.82500000000005</c:v>
                </c:pt>
                <c:pt idx="375">
                  <c:v>371.274</c:v>
                </c:pt>
                <c:pt idx="376">
                  <c:v>369.726</c:v>
                </c:pt>
                <c:pt idx="377">
                  <c:v>368.14949999999999</c:v>
                </c:pt>
                <c:pt idx="378">
                  <c:v>366.702</c:v>
                </c:pt>
                <c:pt idx="379">
                  <c:v>365.12549999999999</c:v>
                </c:pt>
                <c:pt idx="380">
                  <c:v>363.65250000000003</c:v>
                </c:pt>
                <c:pt idx="381">
                  <c:v>362.25</c:v>
                </c:pt>
                <c:pt idx="382">
                  <c:v>360.69900000000001</c:v>
                </c:pt>
                <c:pt idx="383">
                  <c:v>359.709</c:v>
                </c:pt>
                <c:pt idx="384">
                  <c:v>357.9255</c:v>
                </c:pt>
                <c:pt idx="385">
                  <c:v>356.565</c:v>
                </c:pt>
                <c:pt idx="386">
                  <c:v>355.125</c:v>
                </c:pt>
                <c:pt idx="387">
                  <c:v>353.75850000000003</c:v>
                </c:pt>
                <c:pt idx="388">
                  <c:v>352.452</c:v>
                </c:pt>
                <c:pt idx="389">
                  <c:v>351.02549999999997</c:v>
                </c:pt>
                <c:pt idx="390">
                  <c:v>349.791</c:v>
                </c:pt>
                <c:pt idx="391">
                  <c:v>348.40049999999997</c:v>
                </c:pt>
                <c:pt idx="392">
                  <c:v>347.10449999999997</c:v>
                </c:pt>
                <c:pt idx="393">
                  <c:v>345.91949999999997</c:v>
                </c:pt>
                <c:pt idx="394">
                  <c:v>344.51850000000002</c:v>
                </c:pt>
                <c:pt idx="395">
                  <c:v>343.428</c:v>
                </c:pt>
                <c:pt idx="396">
                  <c:v>342.10050000000001</c:v>
                </c:pt>
                <c:pt idx="397">
                  <c:v>340.935</c:v>
                </c:pt>
                <c:pt idx="398">
                  <c:v>339.70050000000003</c:v>
                </c:pt>
                <c:pt idx="399">
                  <c:v>338.49149999999997</c:v>
                </c:pt>
                <c:pt idx="400">
                  <c:v>337.30650000000003</c:v>
                </c:pt>
                <c:pt idx="401">
                  <c:v>336.07500000000005</c:v>
                </c:pt>
                <c:pt idx="402">
                  <c:v>334.98450000000003</c:v>
                </c:pt>
                <c:pt idx="403">
                  <c:v>333.75</c:v>
                </c:pt>
                <c:pt idx="404">
                  <c:v>332.613</c:v>
                </c:pt>
                <c:pt idx="405">
                  <c:v>331.548</c:v>
                </c:pt>
                <c:pt idx="406">
                  <c:v>330.32100000000003</c:v>
                </c:pt>
                <c:pt idx="407">
                  <c:v>329.298</c:v>
                </c:pt>
                <c:pt idx="408">
                  <c:v>328.15049999999997</c:v>
                </c:pt>
                <c:pt idx="409">
                  <c:v>327.09749999999997</c:v>
                </c:pt>
                <c:pt idx="410">
                  <c:v>325.99950000000001</c:v>
                </c:pt>
                <c:pt idx="411">
                  <c:v>324.94349999999997</c:v>
                </c:pt>
                <c:pt idx="412">
                  <c:v>323.90250000000003</c:v>
                </c:pt>
                <c:pt idx="413">
                  <c:v>322.79999999999995</c:v>
                </c:pt>
                <c:pt idx="414">
                  <c:v>321.822</c:v>
                </c:pt>
                <c:pt idx="415">
                  <c:v>320.74950000000001</c:v>
                </c:pt>
                <c:pt idx="416">
                  <c:v>319.76549999999997</c:v>
                </c:pt>
                <c:pt idx="417">
                  <c:v>318.84749999999997</c:v>
                </c:pt>
                <c:pt idx="418">
                  <c:v>317.73149999999998</c:v>
                </c:pt>
                <c:pt idx="419">
                  <c:v>316.863</c:v>
                </c:pt>
                <c:pt idx="420">
                  <c:v>315.87450000000001</c:v>
                </c:pt>
                <c:pt idx="421">
                  <c:v>314.928</c:v>
                </c:pt>
                <c:pt idx="422">
                  <c:v>313.97550000000001</c:v>
                </c:pt>
                <c:pt idx="423">
                  <c:v>313.041</c:v>
                </c:pt>
                <c:pt idx="424">
                  <c:v>312.14550000000003</c:v>
                </c:pt>
                <c:pt idx="425">
                  <c:v>311.17499999999995</c:v>
                </c:pt>
                <c:pt idx="426">
                  <c:v>310.33050000000003</c:v>
                </c:pt>
                <c:pt idx="427">
                  <c:v>308.95050000000003</c:v>
                </c:pt>
                <c:pt idx="428">
                  <c:v>307.64550000000003</c:v>
                </c:pt>
                <c:pt idx="429">
                  <c:v>306.55650000000003</c:v>
                </c:pt>
                <c:pt idx="430">
                  <c:v>305.66399999999999</c:v>
                </c:pt>
                <c:pt idx="431">
                  <c:v>305.03249999999997</c:v>
                </c:pt>
                <c:pt idx="432">
                  <c:v>304.37549999999999</c:v>
                </c:pt>
                <c:pt idx="433">
                  <c:v>303.75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90-45FF-823D-857AD61FB73F}"/>
            </c:ext>
          </c:extLst>
        </c:ser>
        <c:ser>
          <c:idx val="18"/>
          <c:order val="18"/>
          <c:tx>
            <c:strRef>
              <c:f>'FPSO1 Otim'!$U$5</c:f>
              <c:strCache>
                <c:ptCount val="1"/>
                <c:pt idx="0">
                  <c:v>P19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Otim'!$U$6:$U$733</c:f>
              <c:numCache>
                <c:formatCode>General</c:formatCode>
                <c:ptCount val="728"/>
                <c:pt idx="0">
                  <c:v>0</c:v>
                </c:pt>
                <c:pt idx="1">
                  <c:v>1133.913</c:v>
                </c:pt>
                <c:pt idx="2">
                  <c:v>1593.0149999999999</c:v>
                </c:pt>
                <c:pt idx="3">
                  <c:v>1489.923</c:v>
                </c:pt>
                <c:pt idx="4">
                  <c:v>1453.6379999999999</c:v>
                </c:pt>
                <c:pt idx="5">
                  <c:v>1450.7055</c:v>
                </c:pt>
                <c:pt idx="6">
                  <c:v>1452.3375000000001</c:v>
                </c:pt>
                <c:pt idx="7">
                  <c:v>1440.6405</c:v>
                </c:pt>
                <c:pt idx="8">
                  <c:v>1420.7294999999999</c:v>
                </c:pt>
                <c:pt idx="9">
                  <c:v>1393.1924999999999</c:v>
                </c:pt>
                <c:pt idx="10">
                  <c:v>1377.3029999999999</c:v>
                </c:pt>
                <c:pt idx="11">
                  <c:v>1360.8000000000002</c:v>
                </c:pt>
                <c:pt idx="12">
                  <c:v>1347.4349999999999</c:v>
                </c:pt>
                <c:pt idx="13">
                  <c:v>1334.2379999999998</c:v>
                </c:pt>
                <c:pt idx="14">
                  <c:v>1322.7465</c:v>
                </c:pt>
                <c:pt idx="15">
                  <c:v>1311.9435000000001</c:v>
                </c:pt>
                <c:pt idx="16">
                  <c:v>1301.1374999999998</c:v>
                </c:pt>
                <c:pt idx="17">
                  <c:v>1291.7774999999999</c:v>
                </c:pt>
                <c:pt idx="18">
                  <c:v>1281.9630000000002</c:v>
                </c:pt>
                <c:pt idx="19">
                  <c:v>1274.0325</c:v>
                </c:pt>
                <c:pt idx="20">
                  <c:v>1265.9760000000001</c:v>
                </c:pt>
                <c:pt idx="21">
                  <c:v>1256.652</c:v>
                </c:pt>
                <c:pt idx="22">
                  <c:v>1249.3425</c:v>
                </c:pt>
                <c:pt idx="23">
                  <c:v>1240.9005000000002</c:v>
                </c:pt>
                <c:pt idx="24">
                  <c:v>1233.1575</c:v>
                </c:pt>
                <c:pt idx="25">
                  <c:v>1224.7379999999998</c:v>
                </c:pt>
                <c:pt idx="26">
                  <c:v>1216.7535</c:v>
                </c:pt>
                <c:pt idx="27">
                  <c:v>1208.6610000000001</c:v>
                </c:pt>
                <c:pt idx="28">
                  <c:v>1200</c:v>
                </c:pt>
                <c:pt idx="29">
                  <c:v>1191.8955000000001</c:v>
                </c:pt>
                <c:pt idx="30">
                  <c:v>1145.538</c:v>
                </c:pt>
                <c:pt idx="31">
                  <c:v>1116.7739999999999</c:v>
                </c:pt>
                <c:pt idx="32">
                  <c:v>1097.3595</c:v>
                </c:pt>
                <c:pt idx="33">
                  <c:v>1079.2635</c:v>
                </c:pt>
                <c:pt idx="34">
                  <c:v>1067.0564999999999</c:v>
                </c:pt>
                <c:pt idx="35">
                  <c:v>1054.5374999999999</c:v>
                </c:pt>
                <c:pt idx="36">
                  <c:v>1044.2294999999999</c:v>
                </c:pt>
                <c:pt idx="37">
                  <c:v>1033.8494999999998</c:v>
                </c:pt>
                <c:pt idx="38">
                  <c:v>1024.56</c:v>
                </c:pt>
                <c:pt idx="39">
                  <c:v>1015.6455</c:v>
                </c:pt>
                <c:pt idx="40">
                  <c:v>1006.6005</c:v>
                </c:pt>
                <c:pt idx="41">
                  <c:v>998.45549999999992</c:v>
                </c:pt>
                <c:pt idx="42">
                  <c:v>989.6880000000001</c:v>
                </c:pt>
                <c:pt idx="43">
                  <c:v>977.89049999999997</c:v>
                </c:pt>
                <c:pt idx="44">
                  <c:v>969.73799999999994</c:v>
                </c:pt>
                <c:pt idx="45">
                  <c:v>961.07400000000007</c:v>
                </c:pt>
                <c:pt idx="46">
                  <c:v>953.54099999999994</c:v>
                </c:pt>
                <c:pt idx="47">
                  <c:v>945.11250000000007</c:v>
                </c:pt>
                <c:pt idx="48">
                  <c:v>937.452</c:v>
                </c:pt>
                <c:pt idx="49">
                  <c:v>929.23799999999994</c:v>
                </c:pt>
                <c:pt idx="50">
                  <c:v>921.59249999999997</c:v>
                </c:pt>
                <c:pt idx="51">
                  <c:v>914.04450000000008</c:v>
                </c:pt>
                <c:pt idx="52">
                  <c:v>906.27449999999999</c:v>
                </c:pt>
                <c:pt idx="53">
                  <c:v>899.23799999999994</c:v>
                </c:pt>
                <c:pt idx="54">
                  <c:v>891.75</c:v>
                </c:pt>
                <c:pt idx="55">
                  <c:v>878.38350000000014</c:v>
                </c:pt>
                <c:pt idx="56">
                  <c:v>871.86299999999994</c:v>
                </c:pt>
                <c:pt idx="57">
                  <c:v>865.07100000000014</c:v>
                </c:pt>
                <c:pt idx="58">
                  <c:v>859.572</c:v>
                </c:pt>
                <c:pt idx="59">
                  <c:v>853.30049999999994</c:v>
                </c:pt>
                <c:pt idx="60">
                  <c:v>847.62149999999997</c:v>
                </c:pt>
                <c:pt idx="61">
                  <c:v>841.54950000000008</c:v>
                </c:pt>
                <c:pt idx="62">
                  <c:v>835.93499999999995</c:v>
                </c:pt>
                <c:pt idx="63">
                  <c:v>830.37149999999997</c:v>
                </c:pt>
                <c:pt idx="64">
                  <c:v>824.625</c:v>
                </c:pt>
                <c:pt idx="65">
                  <c:v>819.45900000000006</c:v>
                </c:pt>
                <c:pt idx="66">
                  <c:v>813.97499999999991</c:v>
                </c:pt>
                <c:pt idx="67">
                  <c:v>808.88700000000006</c:v>
                </c:pt>
                <c:pt idx="68">
                  <c:v>804.24149999999986</c:v>
                </c:pt>
                <c:pt idx="69">
                  <c:v>798.88350000000014</c:v>
                </c:pt>
                <c:pt idx="70">
                  <c:v>794.66100000000006</c:v>
                </c:pt>
                <c:pt idx="71">
                  <c:v>789.77550000000008</c:v>
                </c:pt>
                <c:pt idx="72">
                  <c:v>785.41950000000008</c:v>
                </c:pt>
                <c:pt idx="73">
                  <c:v>780.67500000000007</c:v>
                </c:pt>
                <c:pt idx="74">
                  <c:v>776.34750000000008</c:v>
                </c:pt>
                <c:pt idx="75">
                  <c:v>772.04099999999994</c:v>
                </c:pt>
                <c:pt idx="76">
                  <c:v>767.59950000000003</c:v>
                </c:pt>
                <c:pt idx="77">
                  <c:v>763.548</c:v>
                </c:pt>
                <c:pt idx="78">
                  <c:v>759.25049999999999</c:v>
                </c:pt>
                <c:pt idx="79">
                  <c:v>755.25</c:v>
                </c:pt>
                <c:pt idx="80">
                  <c:v>751.524</c:v>
                </c:pt>
                <c:pt idx="81">
                  <c:v>747.21449999999993</c:v>
                </c:pt>
                <c:pt idx="82">
                  <c:v>743.80649999999991</c:v>
                </c:pt>
                <c:pt idx="83">
                  <c:v>739.90049999999997</c:v>
                </c:pt>
                <c:pt idx="84">
                  <c:v>736.30649999999991</c:v>
                </c:pt>
                <c:pt idx="85">
                  <c:v>732.57449999999994</c:v>
                </c:pt>
                <c:pt idx="86">
                  <c:v>729</c:v>
                </c:pt>
                <c:pt idx="87">
                  <c:v>725.39549999999997</c:v>
                </c:pt>
                <c:pt idx="88">
                  <c:v>721.60050000000001</c:v>
                </c:pt>
                <c:pt idx="89">
                  <c:v>718.28250000000003</c:v>
                </c:pt>
                <c:pt idx="90">
                  <c:v>714.64949999999999</c:v>
                </c:pt>
                <c:pt idx="91">
                  <c:v>711.41100000000006</c:v>
                </c:pt>
                <c:pt idx="92">
                  <c:v>708.26549999999997</c:v>
                </c:pt>
                <c:pt idx="93">
                  <c:v>704.89649999999995</c:v>
                </c:pt>
                <c:pt idx="94">
                  <c:v>701.976</c:v>
                </c:pt>
                <c:pt idx="95">
                  <c:v>698.77500000000009</c:v>
                </c:pt>
                <c:pt idx="96">
                  <c:v>695.87850000000003</c:v>
                </c:pt>
                <c:pt idx="97">
                  <c:v>692.77500000000009</c:v>
                </c:pt>
                <c:pt idx="98">
                  <c:v>689.90250000000003</c:v>
                </c:pt>
                <c:pt idx="99">
                  <c:v>687.09749999999997</c:v>
                </c:pt>
                <c:pt idx="100">
                  <c:v>684.12450000000001</c:v>
                </c:pt>
                <c:pt idx="101">
                  <c:v>681.53250000000003</c:v>
                </c:pt>
                <c:pt idx="102">
                  <c:v>678.72450000000003</c:v>
                </c:pt>
                <c:pt idx="103">
                  <c:v>671.56499999999994</c:v>
                </c:pt>
                <c:pt idx="104">
                  <c:v>669.024</c:v>
                </c:pt>
                <c:pt idx="105">
                  <c:v>666.61649999999997</c:v>
                </c:pt>
                <c:pt idx="106">
                  <c:v>664.62149999999997</c:v>
                </c:pt>
                <c:pt idx="107">
                  <c:v>662.35050000000001</c:v>
                </c:pt>
                <c:pt idx="108">
                  <c:v>660.29100000000005</c:v>
                </c:pt>
                <c:pt idx="109">
                  <c:v>658.05</c:v>
                </c:pt>
                <c:pt idx="110">
                  <c:v>656.05649999999991</c:v>
                </c:pt>
                <c:pt idx="111">
                  <c:v>654</c:v>
                </c:pt>
                <c:pt idx="112">
                  <c:v>651.92550000000006</c:v>
                </c:pt>
                <c:pt idx="113">
                  <c:v>650.00850000000003</c:v>
                </c:pt>
                <c:pt idx="114">
                  <c:v>648.375</c:v>
                </c:pt>
                <c:pt idx="115">
                  <c:v>646.13699999999994</c:v>
                </c:pt>
                <c:pt idx="116">
                  <c:v>644.34749999999997</c:v>
                </c:pt>
                <c:pt idx="117">
                  <c:v>642.32100000000003</c:v>
                </c:pt>
                <c:pt idx="118">
                  <c:v>640.74149999999997</c:v>
                </c:pt>
                <c:pt idx="119">
                  <c:v>638.84999999999991</c:v>
                </c:pt>
                <c:pt idx="120">
                  <c:v>637.20899999999995</c:v>
                </c:pt>
                <c:pt idx="121">
                  <c:v>635.40000000000009</c:v>
                </c:pt>
                <c:pt idx="122">
                  <c:v>633.726</c:v>
                </c:pt>
                <c:pt idx="123">
                  <c:v>632.05649999999991</c:v>
                </c:pt>
                <c:pt idx="124">
                  <c:v>630.25049999999999</c:v>
                </c:pt>
                <c:pt idx="125">
                  <c:v>628.69350000000009</c:v>
                </c:pt>
                <c:pt idx="126">
                  <c:v>626.95049999999992</c:v>
                </c:pt>
                <c:pt idx="127">
                  <c:v>769.30649999999991</c:v>
                </c:pt>
                <c:pt idx="128">
                  <c:v>783.84750000000008</c:v>
                </c:pt>
                <c:pt idx="129">
                  <c:v>780.88350000000014</c:v>
                </c:pt>
                <c:pt idx="130">
                  <c:v>778.25850000000014</c:v>
                </c:pt>
                <c:pt idx="131">
                  <c:v>774.57450000000006</c:v>
                </c:pt>
                <c:pt idx="132">
                  <c:v>770.80649999999991</c:v>
                </c:pt>
                <c:pt idx="133">
                  <c:v>766.45049999999992</c:v>
                </c:pt>
                <c:pt idx="134">
                  <c:v>762.26549999999997</c:v>
                </c:pt>
                <c:pt idx="135">
                  <c:v>758.12850000000003</c:v>
                </c:pt>
                <c:pt idx="136">
                  <c:v>753.94949999999994</c:v>
                </c:pt>
                <c:pt idx="137">
                  <c:v>750.21749999999997</c:v>
                </c:pt>
                <c:pt idx="138">
                  <c:v>746.42550000000006</c:v>
                </c:pt>
                <c:pt idx="139">
                  <c:v>720.89549999999997</c:v>
                </c:pt>
                <c:pt idx="140">
                  <c:v>716.12850000000003</c:v>
                </c:pt>
                <c:pt idx="141">
                  <c:v>713.25</c:v>
                </c:pt>
                <c:pt idx="142">
                  <c:v>709.37850000000003</c:v>
                </c:pt>
                <c:pt idx="143">
                  <c:v>702.49950000000001</c:v>
                </c:pt>
                <c:pt idx="144">
                  <c:v>696.36300000000006</c:v>
                </c:pt>
                <c:pt idx="145">
                  <c:v>690.02549999999997</c:v>
                </c:pt>
                <c:pt idx="146">
                  <c:v>684.38699999999994</c:v>
                </c:pt>
                <c:pt idx="147">
                  <c:v>678.99149999999997</c:v>
                </c:pt>
                <c:pt idx="148">
                  <c:v>673.47450000000003</c:v>
                </c:pt>
                <c:pt idx="149">
                  <c:v>668.73450000000003</c:v>
                </c:pt>
                <c:pt idx="150">
                  <c:v>664.22550000000001</c:v>
                </c:pt>
                <c:pt idx="151">
                  <c:v>660.50850000000003</c:v>
                </c:pt>
                <c:pt idx="152">
                  <c:v>657.12149999999997</c:v>
                </c:pt>
                <c:pt idx="153">
                  <c:v>653.25</c:v>
                </c:pt>
                <c:pt idx="154">
                  <c:v>650.178</c:v>
                </c:pt>
                <c:pt idx="155">
                  <c:v>646.67550000000006</c:v>
                </c:pt>
                <c:pt idx="156">
                  <c:v>643.548</c:v>
                </c:pt>
                <c:pt idx="157">
                  <c:v>640.54950000000008</c:v>
                </c:pt>
                <c:pt idx="158">
                  <c:v>637.98450000000003</c:v>
                </c:pt>
                <c:pt idx="159">
                  <c:v>635.54100000000005</c:v>
                </c:pt>
                <c:pt idx="160">
                  <c:v>632.95049999999992</c:v>
                </c:pt>
                <c:pt idx="161">
                  <c:v>630.65250000000003</c:v>
                </c:pt>
                <c:pt idx="162">
                  <c:v>628.15049999999997</c:v>
                </c:pt>
                <c:pt idx="163">
                  <c:v>625.81499999999994</c:v>
                </c:pt>
                <c:pt idx="164">
                  <c:v>623.61300000000006</c:v>
                </c:pt>
                <c:pt idx="165">
                  <c:v>621.0809999999999</c:v>
                </c:pt>
                <c:pt idx="166">
                  <c:v>618.96749999999997</c:v>
                </c:pt>
                <c:pt idx="167">
                  <c:v>616.60050000000001</c:v>
                </c:pt>
                <c:pt idx="168">
                  <c:v>614.39549999999997</c:v>
                </c:pt>
                <c:pt idx="169">
                  <c:v>612</c:v>
                </c:pt>
                <c:pt idx="170">
                  <c:v>609.75</c:v>
                </c:pt>
                <c:pt idx="171">
                  <c:v>607.524</c:v>
                </c:pt>
                <c:pt idx="172">
                  <c:v>605.14949999999999</c:v>
                </c:pt>
                <c:pt idx="173">
                  <c:v>603.072</c:v>
                </c:pt>
                <c:pt idx="174">
                  <c:v>600.77549999999997</c:v>
                </c:pt>
                <c:pt idx="175">
                  <c:v>598.59749999999997</c:v>
                </c:pt>
                <c:pt idx="176">
                  <c:v>596.56499999999994</c:v>
                </c:pt>
                <c:pt idx="177">
                  <c:v>594.1875</c:v>
                </c:pt>
                <c:pt idx="178">
                  <c:v>592.30649999999991</c:v>
                </c:pt>
                <c:pt idx="179">
                  <c:v>590.12549999999999</c:v>
                </c:pt>
                <c:pt idx="180">
                  <c:v>588.072</c:v>
                </c:pt>
                <c:pt idx="181">
                  <c:v>585.92550000000006</c:v>
                </c:pt>
                <c:pt idx="182">
                  <c:v>583.91100000000006</c:v>
                </c:pt>
                <c:pt idx="183">
                  <c:v>581.952</c:v>
                </c:pt>
                <c:pt idx="184">
                  <c:v>579.87450000000001</c:v>
                </c:pt>
                <c:pt idx="185">
                  <c:v>578.00850000000003</c:v>
                </c:pt>
                <c:pt idx="186">
                  <c:v>576</c:v>
                </c:pt>
                <c:pt idx="187">
                  <c:v>574.11300000000006</c:v>
                </c:pt>
                <c:pt idx="188">
                  <c:v>572.322</c:v>
                </c:pt>
                <c:pt idx="189">
                  <c:v>570.33600000000001</c:v>
                </c:pt>
                <c:pt idx="190">
                  <c:v>568.74149999999997</c:v>
                </c:pt>
                <c:pt idx="191">
                  <c:v>567.12450000000001</c:v>
                </c:pt>
                <c:pt idx="192">
                  <c:v>565.69350000000009</c:v>
                </c:pt>
                <c:pt idx="193">
                  <c:v>564.12450000000001</c:v>
                </c:pt>
                <c:pt idx="194">
                  <c:v>562.62149999999997</c:v>
                </c:pt>
                <c:pt idx="195">
                  <c:v>561.19350000000009</c:v>
                </c:pt>
                <c:pt idx="196">
                  <c:v>559.65000000000009</c:v>
                </c:pt>
                <c:pt idx="197">
                  <c:v>558.19350000000009</c:v>
                </c:pt>
                <c:pt idx="198">
                  <c:v>556.65000000000009</c:v>
                </c:pt>
                <c:pt idx="199">
                  <c:v>555.21749999999997</c:v>
                </c:pt>
                <c:pt idx="200">
                  <c:v>553.81499999999994</c:v>
                </c:pt>
                <c:pt idx="201">
                  <c:v>552.1875</c:v>
                </c:pt>
                <c:pt idx="202">
                  <c:v>550.83899999999994</c:v>
                </c:pt>
                <c:pt idx="203">
                  <c:v>549.29999999999995</c:v>
                </c:pt>
                <c:pt idx="204">
                  <c:v>547.88699999999994</c:v>
                </c:pt>
                <c:pt idx="205">
                  <c:v>546.34950000000003</c:v>
                </c:pt>
                <c:pt idx="206">
                  <c:v>544.98450000000003</c:v>
                </c:pt>
                <c:pt idx="207">
                  <c:v>543.58050000000003</c:v>
                </c:pt>
                <c:pt idx="208">
                  <c:v>542.07449999999994</c:v>
                </c:pt>
                <c:pt idx="209">
                  <c:v>540.702</c:v>
                </c:pt>
                <c:pt idx="210">
                  <c:v>539.05050000000006</c:v>
                </c:pt>
                <c:pt idx="211">
                  <c:v>537.50850000000003</c:v>
                </c:pt>
                <c:pt idx="212">
                  <c:v>536.05649999999991</c:v>
                </c:pt>
                <c:pt idx="213">
                  <c:v>534.34800000000007</c:v>
                </c:pt>
                <c:pt idx="214">
                  <c:v>532.95899999999995</c:v>
                </c:pt>
                <c:pt idx="215">
                  <c:v>531.42450000000008</c:v>
                </c:pt>
                <c:pt idx="216">
                  <c:v>529.95899999999995</c:v>
                </c:pt>
                <c:pt idx="217">
                  <c:v>528.47550000000001</c:v>
                </c:pt>
                <c:pt idx="218">
                  <c:v>527.12850000000003</c:v>
                </c:pt>
                <c:pt idx="219">
                  <c:v>525.798</c:v>
                </c:pt>
                <c:pt idx="220">
                  <c:v>524.44949999999994</c:v>
                </c:pt>
                <c:pt idx="221">
                  <c:v>523.23450000000003</c:v>
                </c:pt>
                <c:pt idx="222">
                  <c:v>521.89949999999999</c:v>
                </c:pt>
                <c:pt idx="223">
                  <c:v>520.74149999999997</c:v>
                </c:pt>
                <c:pt idx="224">
                  <c:v>519.60450000000003</c:v>
                </c:pt>
                <c:pt idx="225">
                  <c:v>518.3309999999999</c:v>
                </c:pt>
                <c:pt idx="226">
                  <c:v>517.28250000000003</c:v>
                </c:pt>
                <c:pt idx="227">
                  <c:v>516.07500000000005</c:v>
                </c:pt>
                <c:pt idx="228">
                  <c:v>514.95899999999995</c:v>
                </c:pt>
                <c:pt idx="229">
                  <c:v>513.72450000000003</c:v>
                </c:pt>
                <c:pt idx="230">
                  <c:v>512.63699999999994</c:v>
                </c:pt>
                <c:pt idx="231">
                  <c:v>511.452</c:v>
                </c:pt>
                <c:pt idx="232">
                  <c:v>510.25049999999999</c:v>
                </c:pt>
                <c:pt idx="233">
                  <c:v>509.37150000000003</c:v>
                </c:pt>
                <c:pt idx="234">
                  <c:v>508.17450000000002</c:v>
                </c:pt>
                <c:pt idx="235">
                  <c:v>506.63699999999994</c:v>
                </c:pt>
                <c:pt idx="236">
                  <c:v>505.428</c:v>
                </c:pt>
                <c:pt idx="237">
                  <c:v>504.07800000000003</c:v>
                </c:pt>
                <c:pt idx="238">
                  <c:v>502.911</c:v>
                </c:pt>
                <c:pt idx="239">
                  <c:v>501.59999999999997</c:v>
                </c:pt>
                <c:pt idx="240">
                  <c:v>500.46749999999997</c:v>
                </c:pt>
                <c:pt idx="241">
                  <c:v>499.24950000000001</c:v>
                </c:pt>
                <c:pt idx="242">
                  <c:v>606.19350000000009</c:v>
                </c:pt>
                <c:pt idx="243">
                  <c:v>610.572</c:v>
                </c:pt>
                <c:pt idx="244">
                  <c:v>606.25049999999999</c:v>
                </c:pt>
                <c:pt idx="245">
                  <c:v>602.49149999999997</c:v>
                </c:pt>
                <c:pt idx="246">
                  <c:v>599.32500000000005</c:v>
                </c:pt>
                <c:pt idx="247">
                  <c:v>596.51549999999997</c:v>
                </c:pt>
                <c:pt idx="248">
                  <c:v>593.80649999999991</c:v>
                </c:pt>
                <c:pt idx="249">
                  <c:v>590.3309999999999</c:v>
                </c:pt>
                <c:pt idx="250">
                  <c:v>587.46749999999997</c:v>
                </c:pt>
                <c:pt idx="251">
                  <c:v>584.14949999999999</c:v>
                </c:pt>
                <c:pt idx="252">
                  <c:v>581.10450000000003</c:v>
                </c:pt>
                <c:pt idx="253">
                  <c:v>577.95000000000005</c:v>
                </c:pt>
                <c:pt idx="254">
                  <c:v>575.03250000000003</c:v>
                </c:pt>
                <c:pt idx="255">
                  <c:v>572.25</c:v>
                </c:pt>
                <c:pt idx="256">
                  <c:v>569.42550000000006</c:v>
                </c:pt>
                <c:pt idx="257">
                  <c:v>593.63699999999994</c:v>
                </c:pt>
                <c:pt idx="258">
                  <c:v>594.87450000000001</c:v>
                </c:pt>
                <c:pt idx="259">
                  <c:v>593.58899999999994</c:v>
                </c:pt>
                <c:pt idx="260">
                  <c:v>592.13699999999994</c:v>
                </c:pt>
                <c:pt idx="261">
                  <c:v>590.5440000000001</c:v>
                </c:pt>
                <c:pt idx="262">
                  <c:v>589.23450000000003</c:v>
                </c:pt>
                <c:pt idx="263">
                  <c:v>587.67450000000008</c:v>
                </c:pt>
                <c:pt idx="264">
                  <c:v>586.20899999999995</c:v>
                </c:pt>
                <c:pt idx="265">
                  <c:v>584.65049999999997</c:v>
                </c:pt>
                <c:pt idx="266">
                  <c:v>583.13699999999994</c:v>
                </c:pt>
                <c:pt idx="267">
                  <c:v>581.70899999999995</c:v>
                </c:pt>
                <c:pt idx="268">
                  <c:v>580.22550000000001</c:v>
                </c:pt>
                <c:pt idx="269">
                  <c:v>578.85450000000003</c:v>
                </c:pt>
                <c:pt idx="270">
                  <c:v>577.45049999999992</c:v>
                </c:pt>
                <c:pt idx="271">
                  <c:v>576.12149999999997</c:v>
                </c:pt>
                <c:pt idx="272">
                  <c:v>574.93500000000006</c:v>
                </c:pt>
                <c:pt idx="273">
                  <c:v>573.53550000000007</c:v>
                </c:pt>
                <c:pt idx="274">
                  <c:v>572.44350000000009</c:v>
                </c:pt>
                <c:pt idx="275">
                  <c:v>571.17450000000008</c:v>
                </c:pt>
                <c:pt idx="276">
                  <c:v>570</c:v>
                </c:pt>
                <c:pt idx="277">
                  <c:v>569.12549999999999</c:v>
                </c:pt>
                <c:pt idx="278">
                  <c:v>567.702</c:v>
                </c:pt>
                <c:pt idx="279">
                  <c:v>566.54100000000005</c:v>
                </c:pt>
                <c:pt idx="280">
                  <c:v>565.22550000000001</c:v>
                </c:pt>
                <c:pt idx="281">
                  <c:v>564.048</c:v>
                </c:pt>
                <c:pt idx="282">
                  <c:v>562.77449999999999</c:v>
                </c:pt>
                <c:pt idx="283">
                  <c:v>561.58050000000003</c:v>
                </c:pt>
                <c:pt idx="284">
                  <c:v>560.44350000000009</c:v>
                </c:pt>
                <c:pt idx="285">
                  <c:v>559.16399999999999</c:v>
                </c:pt>
                <c:pt idx="286">
                  <c:v>558.12149999999997</c:v>
                </c:pt>
                <c:pt idx="287">
                  <c:v>556.92450000000008</c:v>
                </c:pt>
                <c:pt idx="288">
                  <c:v>555.87149999999997</c:v>
                </c:pt>
                <c:pt idx="289">
                  <c:v>554.70000000000005</c:v>
                </c:pt>
                <c:pt idx="290">
                  <c:v>553.66949999999997</c:v>
                </c:pt>
                <c:pt idx="291">
                  <c:v>552.60450000000003</c:v>
                </c:pt>
                <c:pt idx="292">
                  <c:v>551.47499999999991</c:v>
                </c:pt>
                <c:pt idx="293">
                  <c:v>550.476</c:v>
                </c:pt>
                <c:pt idx="294">
                  <c:v>549.375</c:v>
                </c:pt>
                <c:pt idx="295">
                  <c:v>548.298</c:v>
                </c:pt>
                <c:pt idx="296">
                  <c:v>547.30649999999991</c:v>
                </c:pt>
                <c:pt idx="297">
                  <c:v>546.13350000000003</c:v>
                </c:pt>
                <c:pt idx="298">
                  <c:v>545.15250000000003</c:v>
                </c:pt>
                <c:pt idx="299">
                  <c:v>544.07549999999992</c:v>
                </c:pt>
                <c:pt idx="300">
                  <c:v>543.048</c:v>
                </c:pt>
                <c:pt idx="301">
                  <c:v>541.97550000000001</c:v>
                </c:pt>
                <c:pt idx="302">
                  <c:v>540.99149999999997</c:v>
                </c:pt>
                <c:pt idx="303">
                  <c:v>539.90250000000003</c:v>
                </c:pt>
                <c:pt idx="304">
                  <c:v>538.90049999999997</c:v>
                </c:pt>
                <c:pt idx="305">
                  <c:v>537.91949999999997</c:v>
                </c:pt>
                <c:pt idx="306">
                  <c:v>536.87549999999999</c:v>
                </c:pt>
                <c:pt idx="307">
                  <c:v>535.88699999999994</c:v>
                </c:pt>
                <c:pt idx="308">
                  <c:v>534.96749999999997</c:v>
                </c:pt>
                <c:pt idx="309">
                  <c:v>533.86649999999997</c:v>
                </c:pt>
                <c:pt idx="310">
                  <c:v>533.03250000000003</c:v>
                </c:pt>
                <c:pt idx="311">
                  <c:v>532.00049999999999</c:v>
                </c:pt>
                <c:pt idx="312">
                  <c:v>531.072</c:v>
                </c:pt>
                <c:pt idx="313">
                  <c:v>530.07449999999994</c:v>
                </c:pt>
                <c:pt idx="314">
                  <c:v>529.16100000000006</c:v>
                </c:pt>
                <c:pt idx="315">
                  <c:v>528.19350000000009</c:v>
                </c:pt>
                <c:pt idx="316">
                  <c:v>527.22450000000003</c:v>
                </c:pt>
                <c:pt idx="317">
                  <c:v>526.33050000000003</c:v>
                </c:pt>
                <c:pt idx="318">
                  <c:v>525.375</c:v>
                </c:pt>
                <c:pt idx="319">
                  <c:v>524.46749999999997</c:v>
                </c:pt>
                <c:pt idx="320">
                  <c:v>523.66949999999997</c:v>
                </c:pt>
                <c:pt idx="321">
                  <c:v>522.6690000000001</c:v>
                </c:pt>
                <c:pt idx="322">
                  <c:v>521.90250000000003</c:v>
                </c:pt>
                <c:pt idx="323">
                  <c:v>520.99950000000001</c:v>
                </c:pt>
                <c:pt idx="324">
                  <c:v>520.18500000000006</c:v>
                </c:pt>
                <c:pt idx="325">
                  <c:v>519.27449999999999</c:v>
                </c:pt>
                <c:pt idx="326">
                  <c:v>518.46749999999997</c:v>
                </c:pt>
                <c:pt idx="327">
                  <c:v>517.59749999999997</c:v>
                </c:pt>
                <c:pt idx="328">
                  <c:v>516.72450000000003</c:v>
                </c:pt>
                <c:pt idx="329">
                  <c:v>515.952</c:v>
                </c:pt>
                <c:pt idx="330">
                  <c:v>515.07449999999994</c:v>
                </c:pt>
                <c:pt idx="331">
                  <c:v>514.25850000000003</c:v>
                </c:pt>
                <c:pt idx="332">
                  <c:v>513.48450000000003</c:v>
                </c:pt>
                <c:pt idx="333">
                  <c:v>512.61149999999998</c:v>
                </c:pt>
                <c:pt idx="334">
                  <c:v>511.86300000000006</c:v>
                </c:pt>
                <c:pt idx="335">
                  <c:v>511.02449999999999</c:v>
                </c:pt>
                <c:pt idx="336">
                  <c:v>510.26550000000003</c:v>
                </c:pt>
                <c:pt idx="337">
                  <c:v>509.42550000000006</c:v>
                </c:pt>
                <c:pt idx="338">
                  <c:v>508.69350000000003</c:v>
                </c:pt>
                <c:pt idx="339">
                  <c:v>507.84749999999997</c:v>
                </c:pt>
                <c:pt idx="340">
                  <c:v>507</c:v>
                </c:pt>
                <c:pt idx="341">
                  <c:v>506.202</c:v>
                </c:pt>
                <c:pt idx="342">
                  <c:v>505.30050000000006</c:v>
                </c:pt>
                <c:pt idx="343">
                  <c:v>504.43500000000006</c:v>
                </c:pt>
                <c:pt idx="344">
                  <c:v>503.61300000000006</c:v>
                </c:pt>
                <c:pt idx="345">
                  <c:v>502.66050000000007</c:v>
                </c:pt>
                <c:pt idx="346">
                  <c:v>501.94350000000003</c:v>
                </c:pt>
                <c:pt idx="347">
                  <c:v>501.10050000000001</c:v>
                </c:pt>
                <c:pt idx="348">
                  <c:v>500.298</c:v>
                </c:pt>
                <c:pt idx="349">
                  <c:v>499.47450000000003</c:v>
                </c:pt>
                <c:pt idx="350">
                  <c:v>498.702</c:v>
                </c:pt>
                <c:pt idx="351">
                  <c:v>497.952</c:v>
                </c:pt>
                <c:pt idx="352">
                  <c:v>497.17499999999995</c:v>
                </c:pt>
                <c:pt idx="353">
                  <c:v>496.452</c:v>
                </c:pt>
                <c:pt idx="354">
                  <c:v>495.64949999999999</c:v>
                </c:pt>
                <c:pt idx="355">
                  <c:v>494.75850000000003</c:v>
                </c:pt>
                <c:pt idx="356">
                  <c:v>493.98449999999997</c:v>
                </c:pt>
                <c:pt idx="357">
                  <c:v>492.99149999999997</c:v>
                </c:pt>
                <c:pt idx="358">
                  <c:v>492.26550000000003</c:v>
                </c:pt>
                <c:pt idx="359">
                  <c:v>491.42550000000006</c:v>
                </c:pt>
                <c:pt idx="360">
                  <c:v>490.69350000000003</c:v>
                </c:pt>
                <c:pt idx="361">
                  <c:v>489.92550000000006</c:v>
                </c:pt>
                <c:pt idx="362">
                  <c:v>489.21749999999997</c:v>
                </c:pt>
                <c:pt idx="363">
                  <c:v>488.54100000000005</c:v>
                </c:pt>
                <c:pt idx="364">
                  <c:v>487.79999999999995</c:v>
                </c:pt>
                <c:pt idx="365">
                  <c:v>487.161</c:v>
                </c:pt>
                <c:pt idx="366">
                  <c:v>486.42450000000002</c:v>
                </c:pt>
                <c:pt idx="367">
                  <c:v>485.70899999999995</c:v>
                </c:pt>
                <c:pt idx="368">
                  <c:v>485.08050000000003</c:v>
                </c:pt>
                <c:pt idx="369">
                  <c:v>484.25850000000003</c:v>
                </c:pt>
                <c:pt idx="370">
                  <c:v>483.58050000000003</c:v>
                </c:pt>
                <c:pt idx="371">
                  <c:v>482.77500000000003</c:v>
                </c:pt>
                <c:pt idx="372">
                  <c:v>482.05649999999997</c:v>
                </c:pt>
                <c:pt idx="373">
                  <c:v>481.27500000000003</c:v>
                </c:pt>
                <c:pt idx="374">
                  <c:v>480.58050000000003</c:v>
                </c:pt>
                <c:pt idx="375">
                  <c:v>479.87849999999997</c:v>
                </c:pt>
                <c:pt idx="376">
                  <c:v>479.14949999999999</c:v>
                </c:pt>
                <c:pt idx="377">
                  <c:v>478.572</c:v>
                </c:pt>
                <c:pt idx="378">
                  <c:v>477.85050000000001</c:v>
                </c:pt>
                <c:pt idx="379">
                  <c:v>477.19350000000003</c:v>
                </c:pt>
                <c:pt idx="380">
                  <c:v>476.61300000000006</c:v>
                </c:pt>
                <c:pt idx="381">
                  <c:v>475.88850000000002</c:v>
                </c:pt>
                <c:pt idx="382">
                  <c:v>475.452</c:v>
                </c:pt>
                <c:pt idx="383">
                  <c:v>474.62549999999999</c:v>
                </c:pt>
                <c:pt idx="384">
                  <c:v>473.928</c:v>
                </c:pt>
                <c:pt idx="385">
                  <c:v>473.17499999999995</c:v>
                </c:pt>
                <c:pt idx="386">
                  <c:v>472.5</c:v>
                </c:pt>
                <c:pt idx="387">
                  <c:v>471.84749999999997</c:v>
                </c:pt>
                <c:pt idx="388">
                  <c:v>471.15000000000003</c:v>
                </c:pt>
                <c:pt idx="389">
                  <c:v>470.51550000000003</c:v>
                </c:pt>
                <c:pt idx="390">
                  <c:v>469.90049999999997</c:v>
                </c:pt>
                <c:pt idx="391">
                  <c:v>469.23449999999997</c:v>
                </c:pt>
                <c:pt idx="392">
                  <c:v>468.62849999999997</c:v>
                </c:pt>
                <c:pt idx="393">
                  <c:v>467.8125</c:v>
                </c:pt>
                <c:pt idx="394">
                  <c:v>467.12849999999997</c:v>
                </c:pt>
                <c:pt idx="395">
                  <c:v>466.39949999999999</c:v>
                </c:pt>
                <c:pt idx="396">
                  <c:v>465.43500000000006</c:v>
                </c:pt>
                <c:pt idx="397">
                  <c:v>464.07449999999994</c:v>
                </c:pt>
                <c:pt idx="398">
                  <c:v>462.798</c:v>
                </c:pt>
                <c:pt idx="399">
                  <c:v>461.56499999999994</c:v>
                </c:pt>
                <c:pt idx="400">
                  <c:v>460.42499999999995</c:v>
                </c:pt>
                <c:pt idx="401">
                  <c:v>459.36300000000006</c:v>
                </c:pt>
                <c:pt idx="402">
                  <c:v>458.22450000000003</c:v>
                </c:pt>
                <c:pt idx="403">
                  <c:v>457.161</c:v>
                </c:pt>
                <c:pt idx="404">
                  <c:v>460.30649999999997</c:v>
                </c:pt>
                <c:pt idx="405">
                  <c:v>460.01849999999996</c:v>
                </c:pt>
                <c:pt idx="406">
                  <c:v>459.48449999999997</c:v>
                </c:pt>
                <c:pt idx="407">
                  <c:v>458.84999999999997</c:v>
                </c:pt>
                <c:pt idx="408">
                  <c:v>458.274</c:v>
                </c:pt>
                <c:pt idx="409">
                  <c:v>457.65000000000003</c:v>
                </c:pt>
                <c:pt idx="410">
                  <c:v>456.96749999999997</c:v>
                </c:pt>
                <c:pt idx="411">
                  <c:v>456.43500000000006</c:v>
                </c:pt>
                <c:pt idx="412">
                  <c:v>455.70000000000005</c:v>
                </c:pt>
                <c:pt idx="413">
                  <c:v>455.03250000000003</c:v>
                </c:pt>
                <c:pt idx="414">
                  <c:v>454.39949999999999</c:v>
                </c:pt>
                <c:pt idx="415">
                  <c:v>453.822</c:v>
                </c:pt>
                <c:pt idx="416">
                  <c:v>453.14549999999997</c:v>
                </c:pt>
                <c:pt idx="417">
                  <c:v>452.41050000000007</c:v>
                </c:pt>
                <c:pt idx="418">
                  <c:v>451.93500000000006</c:v>
                </c:pt>
                <c:pt idx="419">
                  <c:v>451.20000000000005</c:v>
                </c:pt>
                <c:pt idx="420">
                  <c:v>450.62849999999997</c:v>
                </c:pt>
                <c:pt idx="421">
                  <c:v>450</c:v>
                </c:pt>
                <c:pt idx="422">
                  <c:v>449.37150000000003</c:v>
                </c:pt>
                <c:pt idx="423">
                  <c:v>448.839</c:v>
                </c:pt>
                <c:pt idx="424">
                  <c:v>448.15049999999997</c:v>
                </c:pt>
                <c:pt idx="425">
                  <c:v>447.53250000000003</c:v>
                </c:pt>
                <c:pt idx="426">
                  <c:v>446.95049999999998</c:v>
                </c:pt>
                <c:pt idx="427">
                  <c:v>446.322</c:v>
                </c:pt>
                <c:pt idx="428">
                  <c:v>445.74149999999997</c:v>
                </c:pt>
                <c:pt idx="429">
                  <c:v>444.98249999999996</c:v>
                </c:pt>
                <c:pt idx="430">
                  <c:v>444.43500000000006</c:v>
                </c:pt>
                <c:pt idx="431">
                  <c:v>443.74950000000001</c:v>
                </c:pt>
                <c:pt idx="432">
                  <c:v>443.12849999999997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290-45FF-823D-857AD61FB73F}"/>
            </c:ext>
          </c:extLst>
        </c:ser>
        <c:ser>
          <c:idx val="19"/>
          <c:order val="19"/>
          <c:tx>
            <c:strRef>
              <c:f>'FPSO1 Otim'!$V$5</c:f>
              <c:strCache>
                <c:ptCount val="1"/>
                <c:pt idx="0">
                  <c:v>P20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Otim'!$V$6:$V$733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188.20050000000001</c:v>
                </c:pt>
                <c:pt idx="25">
                  <c:v>1316.952</c:v>
                </c:pt>
                <c:pt idx="26">
                  <c:v>1120.0155</c:v>
                </c:pt>
                <c:pt idx="27">
                  <c:v>1090.4460000000001</c:v>
                </c:pt>
                <c:pt idx="28">
                  <c:v>1090.5975000000001</c:v>
                </c:pt>
                <c:pt idx="29">
                  <c:v>1093.7505000000001</c:v>
                </c:pt>
                <c:pt idx="30">
                  <c:v>1097.6610000000001</c:v>
                </c:pt>
                <c:pt idx="31">
                  <c:v>1101.7004999999999</c:v>
                </c:pt>
                <c:pt idx="32">
                  <c:v>1105.0155</c:v>
                </c:pt>
                <c:pt idx="33">
                  <c:v>1107.6779999999999</c:v>
                </c:pt>
                <c:pt idx="34">
                  <c:v>1109.8004999999998</c:v>
                </c:pt>
                <c:pt idx="35">
                  <c:v>1111.2090000000001</c:v>
                </c:pt>
                <c:pt idx="36">
                  <c:v>1112.1495</c:v>
                </c:pt>
                <c:pt idx="37">
                  <c:v>1113.7260000000001</c:v>
                </c:pt>
                <c:pt idx="38">
                  <c:v>1114.3064999999999</c:v>
                </c:pt>
                <c:pt idx="39">
                  <c:v>1114.6605</c:v>
                </c:pt>
                <c:pt idx="40">
                  <c:v>1114.7414999999999</c:v>
                </c:pt>
                <c:pt idx="41">
                  <c:v>1114.7505000000001</c:v>
                </c:pt>
                <c:pt idx="42">
                  <c:v>1114.7414999999999</c:v>
                </c:pt>
                <c:pt idx="43">
                  <c:v>1114.5495000000001</c:v>
                </c:pt>
                <c:pt idx="44">
                  <c:v>1114.3544999999999</c:v>
                </c:pt>
                <c:pt idx="45">
                  <c:v>1114.1610000000001</c:v>
                </c:pt>
                <c:pt idx="46">
                  <c:v>1113.8505</c:v>
                </c:pt>
                <c:pt idx="47">
                  <c:v>1113.6779999999999</c:v>
                </c:pt>
                <c:pt idx="48">
                  <c:v>1113.3494999999998</c:v>
                </c:pt>
                <c:pt idx="49">
                  <c:v>1115.8064999999999</c:v>
                </c:pt>
                <c:pt idx="50">
                  <c:v>1115.5155</c:v>
                </c:pt>
                <c:pt idx="51">
                  <c:v>1114.7684999999999</c:v>
                </c:pt>
                <c:pt idx="52">
                  <c:v>1114.1129999999998</c:v>
                </c:pt>
                <c:pt idx="53">
                  <c:v>1113.4499999999998</c:v>
                </c:pt>
                <c:pt idx="54">
                  <c:v>1112.8064999999999</c:v>
                </c:pt>
                <c:pt idx="55">
                  <c:v>1112.2004999999999</c:v>
                </c:pt>
                <c:pt idx="56">
                  <c:v>1111.548</c:v>
                </c:pt>
                <c:pt idx="57">
                  <c:v>1110.8715</c:v>
                </c:pt>
                <c:pt idx="58">
                  <c:v>1110.2505000000001</c:v>
                </c:pt>
                <c:pt idx="59">
                  <c:v>1109.5650000000001</c:v>
                </c:pt>
                <c:pt idx="60">
                  <c:v>1108.8494999999998</c:v>
                </c:pt>
                <c:pt idx="61">
                  <c:v>1103.3715</c:v>
                </c:pt>
                <c:pt idx="62">
                  <c:v>1102.2585000000001</c:v>
                </c:pt>
                <c:pt idx="63">
                  <c:v>1101.672</c:v>
                </c:pt>
                <c:pt idx="64">
                  <c:v>1101</c:v>
                </c:pt>
                <c:pt idx="65">
                  <c:v>1100.0999999999999</c:v>
                </c:pt>
                <c:pt idx="66">
                  <c:v>1099.2090000000001</c:v>
                </c:pt>
                <c:pt idx="67">
                  <c:v>1098.1995000000002</c:v>
                </c:pt>
                <c:pt idx="68">
                  <c:v>1096.9349999999999</c:v>
                </c:pt>
                <c:pt idx="69">
                  <c:v>1095.6779999999999</c:v>
                </c:pt>
                <c:pt idx="70">
                  <c:v>1094.2004999999999</c:v>
                </c:pt>
                <c:pt idx="71">
                  <c:v>1092.5805</c:v>
                </c:pt>
                <c:pt idx="72">
                  <c:v>1090.8494999999998</c:v>
                </c:pt>
                <c:pt idx="73">
                  <c:v>1079.3220000000001</c:v>
                </c:pt>
                <c:pt idx="74">
                  <c:v>1076.8544999999999</c:v>
                </c:pt>
                <c:pt idx="75">
                  <c:v>1074.9645</c:v>
                </c:pt>
                <c:pt idx="76">
                  <c:v>1073.2260000000001</c:v>
                </c:pt>
                <c:pt idx="77">
                  <c:v>1071</c:v>
                </c:pt>
                <c:pt idx="78">
                  <c:v>1068.7739999999999</c:v>
                </c:pt>
                <c:pt idx="79">
                  <c:v>1066.2494999999999</c:v>
                </c:pt>
                <c:pt idx="80">
                  <c:v>1063.6935000000001</c:v>
                </c:pt>
                <c:pt idx="81">
                  <c:v>1060.9845</c:v>
                </c:pt>
                <c:pt idx="82">
                  <c:v>1057.9499999999998</c:v>
                </c:pt>
                <c:pt idx="83">
                  <c:v>1055.1285</c:v>
                </c:pt>
                <c:pt idx="84">
                  <c:v>1051.8000000000002</c:v>
                </c:pt>
                <c:pt idx="85">
                  <c:v>1048.6935000000001</c:v>
                </c:pt>
                <c:pt idx="86">
                  <c:v>1045.5975000000001</c:v>
                </c:pt>
                <c:pt idx="87">
                  <c:v>1041.8565000000001</c:v>
                </c:pt>
                <c:pt idx="88">
                  <c:v>1038.7739999999999</c:v>
                </c:pt>
                <c:pt idx="89">
                  <c:v>1035</c:v>
                </c:pt>
                <c:pt idx="90">
                  <c:v>1031.4195</c:v>
                </c:pt>
                <c:pt idx="91">
                  <c:v>1027.5</c:v>
                </c:pt>
                <c:pt idx="92">
                  <c:v>1023.7739999999999</c:v>
                </c:pt>
                <c:pt idx="93">
                  <c:v>1019.9024999999999</c:v>
                </c:pt>
                <c:pt idx="94">
                  <c:v>1015.7505000000001</c:v>
                </c:pt>
                <c:pt idx="95">
                  <c:v>1011.8715</c:v>
                </c:pt>
                <c:pt idx="96">
                  <c:v>1007.5500000000001</c:v>
                </c:pt>
                <c:pt idx="97">
                  <c:v>1003.5</c:v>
                </c:pt>
                <c:pt idx="98">
                  <c:v>999.53250000000003</c:v>
                </c:pt>
                <c:pt idx="99">
                  <c:v>994.7684999999999</c:v>
                </c:pt>
                <c:pt idx="100">
                  <c:v>990.91950000000008</c:v>
                </c:pt>
                <c:pt idx="101">
                  <c:v>986.29950000000008</c:v>
                </c:pt>
                <c:pt idx="102">
                  <c:v>982.01549999999997</c:v>
                </c:pt>
                <c:pt idx="103">
                  <c:v>977.35050000000001</c:v>
                </c:pt>
                <c:pt idx="104">
                  <c:v>972.87149999999997</c:v>
                </c:pt>
                <c:pt idx="105">
                  <c:v>968.37149999999997</c:v>
                </c:pt>
                <c:pt idx="106">
                  <c:v>963.59999999999991</c:v>
                </c:pt>
                <c:pt idx="107">
                  <c:v>959.178</c:v>
                </c:pt>
                <c:pt idx="108">
                  <c:v>954.30000000000007</c:v>
                </c:pt>
                <c:pt idx="109">
                  <c:v>949.69350000000009</c:v>
                </c:pt>
                <c:pt idx="110">
                  <c:v>945.33899999999994</c:v>
                </c:pt>
                <c:pt idx="111">
                  <c:v>940.34550000000013</c:v>
                </c:pt>
                <c:pt idx="112">
                  <c:v>936.048</c:v>
                </c:pt>
                <c:pt idx="113">
                  <c:v>931.34999999999991</c:v>
                </c:pt>
                <c:pt idx="114">
                  <c:v>927.048</c:v>
                </c:pt>
                <c:pt idx="115">
                  <c:v>922.2494999999999</c:v>
                </c:pt>
                <c:pt idx="116">
                  <c:v>917.85450000000003</c:v>
                </c:pt>
                <c:pt idx="117">
                  <c:v>913.452</c:v>
                </c:pt>
                <c:pt idx="118">
                  <c:v>908.7494999999999</c:v>
                </c:pt>
                <c:pt idx="119">
                  <c:v>904.548</c:v>
                </c:pt>
                <c:pt idx="120">
                  <c:v>900</c:v>
                </c:pt>
                <c:pt idx="121">
                  <c:v>888.43499999999995</c:v>
                </c:pt>
                <c:pt idx="122">
                  <c:v>884.12850000000003</c:v>
                </c:pt>
                <c:pt idx="123">
                  <c:v>879.75</c:v>
                </c:pt>
                <c:pt idx="124">
                  <c:v>876.14549999999997</c:v>
                </c:pt>
                <c:pt idx="125">
                  <c:v>871.9994999999999</c:v>
                </c:pt>
                <c:pt idx="126">
                  <c:v>868.20900000000006</c:v>
                </c:pt>
                <c:pt idx="127">
                  <c:v>864.04950000000008</c:v>
                </c:pt>
                <c:pt idx="128">
                  <c:v>860.22600000000011</c:v>
                </c:pt>
                <c:pt idx="129">
                  <c:v>856.35450000000003</c:v>
                </c:pt>
                <c:pt idx="130">
                  <c:v>852.15000000000009</c:v>
                </c:pt>
                <c:pt idx="131">
                  <c:v>848.41950000000008</c:v>
                </c:pt>
                <c:pt idx="132">
                  <c:v>845.25</c:v>
                </c:pt>
                <c:pt idx="133">
                  <c:v>840.678</c:v>
                </c:pt>
                <c:pt idx="134">
                  <c:v>837.048</c:v>
                </c:pt>
                <c:pt idx="135">
                  <c:v>832.92899999999986</c:v>
                </c:pt>
                <c:pt idx="136">
                  <c:v>829.64549999999997</c:v>
                </c:pt>
                <c:pt idx="137">
                  <c:v>825.79950000000008</c:v>
                </c:pt>
                <c:pt idx="138">
                  <c:v>822.19350000000009</c:v>
                </c:pt>
                <c:pt idx="139">
                  <c:v>818.35050000000001</c:v>
                </c:pt>
                <c:pt idx="140">
                  <c:v>814.79099999999994</c:v>
                </c:pt>
                <c:pt idx="141">
                  <c:v>811.25850000000014</c:v>
                </c:pt>
                <c:pt idx="142">
                  <c:v>807.4994999999999</c:v>
                </c:pt>
                <c:pt idx="143">
                  <c:v>804.14549999999997</c:v>
                </c:pt>
                <c:pt idx="144">
                  <c:v>800.40000000000009</c:v>
                </c:pt>
                <c:pt idx="145">
                  <c:v>796.88700000000006</c:v>
                </c:pt>
                <c:pt idx="146">
                  <c:v>793.88700000000006</c:v>
                </c:pt>
                <c:pt idx="147">
                  <c:v>790.2315000000001</c:v>
                </c:pt>
                <c:pt idx="148">
                  <c:v>787.40249999999992</c:v>
                </c:pt>
                <c:pt idx="149">
                  <c:v>783.94950000000006</c:v>
                </c:pt>
                <c:pt idx="150">
                  <c:v>780.87149999999997</c:v>
                </c:pt>
                <c:pt idx="151">
                  <c:v>777.4994999999999</c:v>
                </c:pt>
                <c:pt idx="152">
                  <c:v>774.38700000000006</c:v>
                </c:pt>
                <c:pt idx="153">
                  <c:v>771.24149999999986</c:v>
                </c:pt>
                <c:pt idx="154">
                  <c:v>767.95049999999992</c:v>
                </c:pt>
                <c:pt idx="155">
                  <c:v>765</c:v>
                </c:pt>
                <c:pt idx="156">
                  <c:v>761.74950000000001</c:v>
                </c:pt>
                <c:pt idx="157">
                  <c:v>737.12850000000003</c:v>
                </c:pt>
                <c:pt idx="158">
                  <c:v>733.74149999999997</c:v>
                </c:pt>
                <c:pt idx="159">
                  <c:v>732.46500000000003</c:v>
                </c:pt>
                <c:pt idx="160">
                  <c:v>724.452</c:v>
                </c:pt>
                <c:pt idx="161">
                  <c:v>715.84950000000003</c:v>
                </c:pt>
                <c:pt idx="162">
                  <c:v>708.19350000000009</c:v>
                </c:pt>
                <c:pt idx="163">
                  <c:v>700.2</c:v>
                </c:pt>
                <c:pt idx="164">
                  <c:v>692.80649999999991</c:v>
                </c:pt>
                <c:pt idx="165">
                  <c:v>685.64549999999997</c:v>
                </c:pt>
                <c:pt idx="166">
                  <c:v>677.74950000000001</c:v>
                </c:pt>
                <c:pt idx="167">
                  <c:v>671.274</c:v>
                </c:pt>
                <c:pt idx="168">
                  <c:v>664.65000000000009</c:v>
                </c:pt>
                <c:pt idx="169">
                  <c:v>659.12850000000003</c:v>
                </c:pt>
                <c:pt idx="170">
                  <c:v>653.66100000000006</c:v>
                </c:pt>
                <c:pt idx="171">
                  <c:v>647.57100000000003</c:v>
                </c:pt>
                <c:pt idx="172">
                  <c:v>642.87149999999997</c:v>
                </c:pt>
                <c:pt idx="173">
                  <c:v>637.45049999999992</c:v>
                </c:pt>
                <c:pt idx="174">
                  <c:v>632.322</c:v>
                </c:pt>
                <c:pt idx="175">
                  <c:v>627.34950000000003</c:v>
                </c:pt>
                <c:pt idx="176">
                  <c:v>623.08050000000003</c:v>
                </c:pt>
                <c:pt idx="177">
                  <c:v>618.774</c:v>
                </c:pt>
                <c:pt idx="178">
                  <c:v>614.25</c:v>
                </c:pt>
                <c:pt idx="179">
                  <c:v>610.20899999999995</c:v>
                </c:pt>
                <c:pt idx="180">
                  <c:v>605.89949999999999</c:v>
                </c:pt>
                <c:pt idx="181">
                  <c:v>601.88699999999994</c:v>
                </c:pt>
                <c:pt idx="182">
                  <c:v>598.01549999999997</c:v>
                </c:pt>
                <c:pt idx="183">
                  <c:v>593.625</c:v>
                </c:pt>
                <c:pt idx="184">
                  <c:v>590.12850000000003</c:v>
                </c:pt>
                <c:pt idx="185">
                  <c:v>586.04999999999995</c:v>
                </c:pt>
                <c:pt idx="186">
                  <c:v>582.33899999999994</c:v>
                </c:pt>
                <c:pt idx="187">
                  <c:v>578.35050000000001</c:v>
                </c:pt>
                <c:pt idx="188">
                  <c:v>574.64549999999997</c:v>
                </c:pt>
                <c:pt idx="189">
                  <c:v>571.01549999999997</c:v>
                </c:pt>
                <c:pt idx="190">
                  <c:v>567.04950000000008</c:v>
                </c:pt>
                <c:pt idx="191">
                  <c:v>563.61300000000006</c:v>
                </c:pt>
                <c:pt idx="192">
                  <c:v>559.84950000000003</c:v>
                </c:pt>
                <c:pt idx="193">
                  <c:v>556.30649999999991</c:v>
                </c:pt>
                <c:pt idx="194">
                  <c:v>552.96749999999997</c:v>
                </c:pt>
                <c:pt idx="195">
                  <c:v>549.1065000000001</c:v>
                </c:pt>
                <c:pt idx="196">
                  <c:v>546.048</c:v>
                </c:pt>
                <c:pt idx="197">
                  <c:v>542.50049999999999</c:v>
                </c:pt>
                <c:pt idx="198">
                  <c:v>539.226</c:v>
                </c:pt>
                <c:pt idx="199">
                  <c:v>535.75049999999999</c:v>
                </c:pt>
                <c:pt idx="200">
                  <c:v>532.452</c:v>
                </c:pt>
                <c:pt idx="201">
                  <c:v>529.25850000000003</c:v>
                </c:pt>
                <c:pt idx="202">
                  <c:v>525.85050000000001</c:v>
                </c:pt>
                <c:pt idx="203">
                  <c:v>522.726</c:v>
                </c:pt>
                <c:pt idx="204">
                  <c:v>519.49950000000001</c:v>
                </c:pt>
                <c:pt idx="205">
                  <c:v>516.33899999999994</c:v>
                </c:pt>
                <c:pt idx="206">
                  <c:v>513.29100000000005</c:v>
                </c:pt>
                <c:pt idx="207">
                  <c:v>510</c:v>
                </c:pt>
                <c:pt idx="208">
                  <c:v>507.29100000000005</c:v>
                </c:pt>
                <c:pt idx="209">
                  <c:v>504.45000000000005</c:v>
                </c:pt>
                <c:pt idx="210">
                  <c:v>501.822</c:v>
                </c:pt>
                <c:pt idx="211">
                  <c:v>499.04999999999995</c:v>
                </c:pt>
                <c:pt idx="212">
                  <c:v>496.5</c:v>
                </c:pt>
                <c:pt idx="213">
                  <c:v>493.93500000000006</c:v>
                </c:pt>
                <c:pt idx="214">
                  <c:v>491.14949999999999</c:v>
                </c:pt>
                <c:pt idx="215">
                  <c:v>488.70899999999995</c:v>
                </c:pt>
                <c:pt idx="216">
                  <c:v>486.10050000000001</c:v>
                </c:pt>
                <c:pt idx="217">
                  <c:v>483.58050000000003</c:v>
                </c:pt>
                <c:pt idx="218">
                  <c:v>481.30649999999997</c:v>
                </c:pt>
                <c:pt idx="219">
                  <c:v>478.5</c:v>
                </c:pt>
                <c:pt idx="220">
                  <c:v>476.37150000000003</c:v>
                </c:pt>
                <c:pt idx="221">
                  <c:v>473.84999999999997</c:v>
                </c:pt>
                <c:pt idx="222">
                  <c:v>471.53250000000003</c:v>
                </c:pt>
                <c:pt idx="223">
                  <c:v>469.04999999999995</c:v>
                </c:pt>
                <c:pt idx="224">
                  <c:v>466.74149999999997</c:v>
                </c:pt>
                <c:pt idx="225">
                  <c:v>464.51550000000003</c:v>
                </c:pt>
                <c:pt idx="226">
                  <c:v>462.04950000000002</c:v>
                </c:pt>
                <c:pt idx="227">
                  <c:v>459.87150000000003</c:v>
                </c:pt>
                <c:pt idx="228">
                  <c:v>457.39949999999999</c:v>
                </c:pt>
                <c:pt idx="229">
                  <c:v>455.03250000000003</c:v>
                </c:pt>
                <c:pt idx="230">
                  <c:v>452.90250000000003</c:v>
                </c:pt>
                <c:pt idx="231">
                  <c:v>450.375</c:v>
                </c:pt>
                <c:pt idx="232">
                  <c:v>448.5</c:v>
                </c:pt>
                <c:pt idx="233">
                  <c:v>446.25</c:v>
                </c:pt>
                <c:pt idx="234">
                  <c:v>444.09749999999997</c:v>
                </c:pt>
                <c:pt idx="235">
                  <c:v>441.94949999999994</c:v>
                </c:pt>
                <c:pt idx="236">
                  <c:v>439.98449999999997</c:v>
                </c:pt>
                <c:pt idx="237">
                  <c:v>437.952</c:v>
                </c:pt>
                <c:pt idx="238">
                  <c:v>435.90000000000003</c:v>
                </c:pt>
                <c:pt idx="239">
                  <c:v>434.03250000000003</c:v>
                </c:pt>
                <c:pt idx="240">
                  <c:v>431.89949999999999</c:v>
                </c:pt>
                <c:pt idx="241">
                  <c:v>430.01550000000003</c:v>
                </c:pt>
                <c:pt idx="242">
                  <c:v>428.226</c:v>
                </c:pt>
                <c:pt idx="243">
                  <c:v>426.05399999999997</c:v>
                </c:pt>
                <c:pt idx="244">
                  <c:v>424.35450000000003</c:v>
                </c:pt>
                <c:pt idx="245">
                  <c:v>422.40000000000003</c:v>
                </c:pt>
                <c:pt idx="246">
                  <c:v>420.58050000000003</c:v>
                </c:pt>
                <c:pt idx="247">
                  <c:v>418.60050000000001</c:v>
                </c:pt>
                <c:pt idx="248">
                  <c:v>416.80649999999997</c:v>
                </c:pt>
                <c:pt idx="249">
                  <c:v>414.91949999999997</c:v>
                </c:pt>
                <c:pt idx="250">
                  <c:v>412.95000000000005</c:v>
                </c:pt>
                <c:pt idx="251">
                  <c:v>411.58050000000003</c:v>
                </c:pt>
                <c:pt idx="252">
                  <c:v>409.79999999999995</c:v>
                </c:pt>
                <c:pt idx="253">
                  <c:v>407.46749999999997</c:v>
                </c:pt>
                <c:pt idx="254">
                  <c:v>405.726</c:v>
                </c:pt>
                <c:pt idx="255">
                  <c:v>403.75800000000004</c:v>
                </c:pt>
                <c:pt idx="256">
                  <c:v>402.14549999999997</c:v>
                </c:pt>
                <c:pt idx="257">
                  <c:v>400.34999999999997</c:v>
                </c:pt>
                <c:pt idx="258">
                  <c:v>398.70899999999995</c:v>
                </c:pt>
                <c:pt idx="259">
                  <c:v>396.90000000000003</c:v>
                </c:pt>
                <c:pt idx="260">
                  <c:v>488.661</c:v>
                </c:pt>
                <c:pt idx="261">
                  <c:v>490.74149999999997</c:v>
                </c:pt>
                <c:pt idx="262">
                  <c:v>486.90000000000003</c:v>
                </c:pt>
                <c:pt idx="263">
                  <c:v>482.178</c:v>
                </c:pt>
                <c:pt idx="264">
                  <c:v>478.5</c:v>
                </c:pt>
                <c:pt idx="265">
                  <c:v>475.64549999999997</c:v>
                </c:pt>
                <c:pt idx="266">
                  <c:v>473.08050000000003</c:v>
                </c:pt>
                <c:pt idx="267">
                  <c:v>470.19600000000003</c:v>
                </c:pt>
                <c:pt idx="268">
                  <c:v>467.952</c:v>
                </c:pt>
                <c:pt idx="269">
                  <c:v>465.49950000000001</c:v>
                </c:pt>
                <c:pt idx="270">
                  <c:v>463.11300000000006</c:v>
                </c:pt>
                <c:pt idx="271">
                  <c:v>460.65000000000003</c:v>
                </c:pt>
                <c:pt idx="272">
                  <c:v>458.41949999999997</c:v>
                </c:pt>
                <c:pt idx="273">
                  <c:v>456.14549999999997</c:v>
                </c:pt>
                <c:pt idx="274">
                  <c:v>453.79950000000002</c:v>
                </c:pt>
                <c:pt idx="275">
                  <c:v>521.46749999999997</c:v>
                </c:pt>
                <c:pt idx="276">
                  <c:v>526.5</c:v>
                </c:pt>
                <c:pt idx="277">
                  <c:v>524.46749999999997</c:v>
                </c:pt>
                <c:pt idx="278">
                  <c:v>522.62850000000003</c:v>
                </c:pt>
                <c:pt idx="279">
                  <c:v>521.19600000000003</c:v>
                </c:pt>
                <c:pt idx="280">
                  <c:v>520.20899999999995</c:v>
                </c:pt>
                <c:pt idx="281">
                  <c:v>519</c:v>
                </c:pt>
                <c:pt idx="282">
                  <c:v>518.03250000000003</c:v>
                </c:pt>
                <c:pt idx="283">
                  <c:v>516.85050000000001</c:v>
                </c:pt>
                <c:pt idx="284">
                  <c:v>515.80649999999991</c:v>
                </c:pt>
                <c:pt idx="285">
                  <c:v>514.64549999999997</c:v>
                </c:pt>
                <c:pt idx="286">
                  <c:v>513.40049999999997</c:v>
                </c:pt>
                <c:pt idx="287">
                  <c:v>512.274</c:v>
                </c:pt>
                <c:pt idx="288">
                  <c:v>511.04999999999995</c:v>
                </c:pt>
                <c:pt idx="289">
                  <c:v>509.85450000000003</c:v>
                </c:pt>
                <c:pt idx="290">
                  <c:v>508.74149999999997</c:v>
                </c:pt>
                <c:pt idx="291">
                  <c:v>507.375</c:v>
                </c:pt>
                <c:pt idx="292">
                  <c:v>506.322</c:v>
                </c:pt>
                <c:pt idx="293">
                  <c:v>505.09950000000003</c:v>
                </c:pt>
                <c:pt idx="294">
                  <c:v>504.62849999999997</c:v>
                </c:pt>
                <c:pt idx="295">
                  <c:v>504.59999999999997</c:v>
                </c:pt>
                <c:pt idx="296">
                  <c:v>504.339</c:v>
                </c:pt>
                <c:pt idx="297">
                  <c:v>503.80649999999997</c:v>
                </c:pt>
                <c:pt idx="298">
                  <c:v>503.35050000000001</c:v>
                </c:pt>
                <c:pt idx="299">
                  <c:v>502.69350000000003</c:v>
                </c:pt>
                <c:pt idx="300">
                  <c:v>501.90000000000003</c:v>
                </c:pt>
                <c:pt idx="301">
                  <c:v>501.14549999999997</c:v>
                </c:pt>
                <c:pt idx="302">
                  <c:v>500.274</c:v>
                </c:pt>
                <c:pt idx="303">
                  <c:v>499.24199999999996</c:v>
                </c:pt>
                <c:pt idx="304">
                  <c:v>498.38699999999994</c:v>
                </c:pt>
                <c:pt idx="305">
                  <c:v>497.29950000000002</c:v>
                </c:pt>
                <c:pt idx="306">
                  <c:v>496.35450000000003</c:v>
                </c:pt>
                <c:pt idx="307">
                  <c:v>495.25049999999999</c:v>
                </c:pt>
                <c:pt idx="308">
                  <c:v>494.178</c:v>
                </c:pt>
                <c:pt idx="309">
                  <c:v>493.161</c:v>
                </c:pt>
                <c:pt idx="310">
                  <c:v>492.04950000000002</c:v>
                </c:pt>
                <c:pt idx="311">
                  <c:v>491.03250000000003</c:v>
                </c:pt>
                <c:pt idx="312">
                  <c:v>490.00049999999999</c:v>
                </c:pt>
                <c:pt idx="313">
                  <c:v>488.952</c:v>
                </c:pt>
                <c:pt idx="314">
                  <c:v>487.98449999999997</c:v>
                </c:pt>
                <c:pt idx="315">
                  <c:v>486.85650000000004</c:v>
                </c:pt>
                <c:pt idx="316">
                  <c:v>486</c:v>
                </c:pt>
                <c:pt idx="317">
                  <c:v>484.90049999999997</c:v>
                </c:pt>
                <c:pt idx="318">
                  <c:v>484.01550000000003</c:v>
                </c:pt>
                <c:pt idx="319">
                  <c:v>482.95049999999998</c:v>
                </c:pt>
                <c:pt idx="320">
                  <c:v>481.98449999999997</c:v>
                </c:pt>
                <c:pt idx="321">
                  <c:v>481.11300000000006</c:v>
                </c:pt>
                <c:pt idx="322">
                  <c:v>480</c:v>
                </c:pt>
                <c:pt idx="323">
                  <c:v>479.12849999999997</c:v>
                </c:pt>
                <c:pt idx="324">
                  <c:v>478.20000000000005</c:v>
                </c:pt>
                <c:pt idx="325">
                  <c:v>477.19350000000003</c:v>
                </c:pt>
                <c:pt idx="326">
                  <c:v>476.322</c:v>
                </c:pt>
                <c:pt idx="327">
                  <c:v>475.33949999999993</c:v>
                </c:pt>
                <c:pt idx="328">
                  <c:v>474.48449999999997</c:v>
                </c:pt>
                <c:pt idx="329">
                  <c:v>473.54999999999995</c:v>
                </c:pt>
                <c:pt idx="330">
                  <c:v>472.69350000000003</c:v>
                </c:pt>
                <c:pt idx="331">
                  <c:v>471.70049999999998</c:v>
                </c:pt>
                <c:pt idx="332">
                  <c:v>470.80649999999997</c:v>
                </c:pt>
                <c:pt idx="333">
                  <c:v>469.93500000000006</c:v>
                </c:pt>
                <c:pt idx="334">
                  <c:v>468.94949999999994</c:v>
                </c:pt>
                <c:pt idx="335">
                  <c:v>468.09749999999997</c:v>
                </c:pt>
                <c:pt idx="336">
                  <c:v>467.14949999999999</c:v>
                </c:pt>
                <c:pt idx="337">
                  <c:v>466.25850000000003</c:v>
                </c:pt>
                <c:pt idx="338">
                  <c:v>465.43500000000006</c:v>
                </c:pt>
                <c:pt idx="339">
                  <c:v>464.35650000000004</c:v>
                </c:pt>
                <c:pt idx="340">
                  <c:v>463.64549999999997</c:v>
                </c:pt>
                <c:pt idx="341">
                  <c:v>462.64949999999999</c:v>
                </c:pt>
                <c:pt idx="342">
                  <c:v>461.75850000000003</c:v>
                </c:pt>
                <c:pt idx="343">
                  <c:v>460.84950000000003</c:v>
                </c:pt>
                <c:pt idx="344">
                  <c:v>459.96749999999997</c:v>
                </c:pt>
                <c:pt idx="345">
                  <c:v>459.09749999999997</c:v>
                </c:pt>
                <c:pt idx="346">
                  <c:v>458.20049999999998</c:v>
                </c:pt>
                <c:pt idx="347">
                  <c:v>457.25850000000003</c:v>
                </c:pt>
                <c:pt idx="348">
                  <c:v>456.40049999999997</c:v>
                </c:pt>
                <c:pt idx="349">
                  <c:v>455.51550000000003</c:v>
                </c:pt>
                <c:pt idx="350">
                  <c:v>454.64549999999997</c:v>
                </c:pt>
                <c:pt idx="351">
                  <c:v>453.72450000000003</c:v>
                </c:pt>
                <c:pt idx="352">
                  <c:v>452.80649999999997</c:v>
                </c:pt>
                <c:pt idx="353">
                  <c:v>451.95000000000005</c:v>
                </c:pt>
                <c:pt idx="354">
                  <c:v>451.11300000000006</c:v>
                </c:pt>
                <c:pt idx="355">
                  <c:v>450.10050000000001</c:v>
                </c:pt>
                <c:pt idx="356">
                  <c:v>449.322</c:v>
                </c:pt>
                <c:pt idx="357">
                  <c:v>448.59749999999997</c:v>
                </c:pt>
                <c:pt idx="358">
                  <c:v>447.85050000000001</c:v>
                </c:pt>
                <c:pt idx="359">
                  <c:v>447.29100000000005</c:v>
                </c:pt>
                <c:pt idx="360">
                  <c:v>446.44949999999994</c:v>
                </c:pt>
                <c:pt idx="361">
                  <c:v>445.839</c:v>
                </c:pt>
                <c:pt idx="362">
                  <c:v>445.25850000000003</c:v>
                </c:pt>
                <c:pt idx="363">
                  <c:v>444.375</c:v>
                </c:pt>
                <c:pt idx="364">
                  <c:v>443.70899999999995</c:v>
                </c:pt>
                <c:pt idx="365">
                  <c:v>442.79999999999995</c:v>
                </c:pt>
                <c:pt idx="366">
                  <c:v>441.91949999999997</c:v>
                </c:pt>
                <c:pt idx="367">
                  <c:v>441</c:v>
                </c:pt>
                <c:pt idx="368">
                  <c:v>440.08050000000003</c:v>
                </c:pt>
                <c:pt idx="369">
                  <c:v>439.161</c:v>
                </c:pt>
                <c:pt idx="370">
                  <c:v>438.10050000000001</c:v>
                </c:pt>
                <c:pt idx="371">
                  <c:v>437.226</c:v>
                </c:pt>
                <c:pt idx="372">
                  <c:v>436.5</c:v>
                </c:pt>
                <c:pt idx="373">
                  <c:v>435.726</c:v>
                </c:pt>
                <c:pt idx="374">
                  <c:v>434.952</c:v>
                </c:pt>
                <c:pt idx="375">
                  <c:v>434.03550000000007</c:v>
                </c:pt>
                <c:pt idx="376">
                  <c:v>433.25850000000003</c:v>
                </c:pt>
                <c:pt idx="377">
                  <c:v>432.34950000000003</c:v>
                </c:pt>
                <c:pt idx="378">
                  <c:v>431.46749999999997</c:v>
                </c:pt>
                <c:pt idx="379">
                  <c:v>430.5</c:v>
                </c:pt>
                <c:pt idx="380">
                  <c:v>429.53250000000003</c:v>
                </c:pt>
                <c:pt idx="381">
                  <c:v>428.61300000000006</c:v>
                </c:pt>
                <c:pt idx="382">
                  <c:v>427.5</c:v>
                </c:pt>
                <c:pt idx="383">
                  <c:v>426.53250000000003</c:v>
                </c:pt>
                <c:pt idx="384">
                  <c:v>425.50049999999999</c:v>
                </c:pt>
                <c:pt idx="385">
                  <c:v>424.5</c:v>
                </c:pt>
                <c:pt idx="386">
                  <c:v>423.62849999999997</c:v>
                </c:pt>
                <c:pt idx="387">
                  <c:v>422.625</c:v>
                </c:pt>
                <c:pt idx="388">
                  <c:v>421.74149999999997</c:v>
                </c:pt>
                <c:pt idx="389">
                  <c:v>418.79999999999995</c:v>
                </c:pt>
                <c:pt idx="390">
                  <c:v>415.64549999999997</c:v>
                </c:pt>
                <c:pt idx="391">
                  <c:v>412.39949999999999</c:v>
                </c:pt>
                <c:pt idx="392">
                  <c:v>409.25850000000003</c:v>
                </c:pt>
                <c:pt idx="393">
                  <c:v>406.35450000000003</c:v>
                </c:pt>
                <c:pt idx="394">
                  <c:v>403.15049999999997</c:v>
                </c:pt>
                <c:pt idx="395">
                  <c:v>400.35450000000003</c:v>
                </c:pt>
                <c:pt idx="396">
                  <c:v>397.20000000000005</c:v>
                </c:pt>
                <c:pt idx="397">
                  <c:v>394.30649999999997</c:v>
                </c:pt>
                <c:pt idx="398">
                  <c:v>391.452</c:v>
                </c:pt>
                <c:pt idx="399">
                  <c:v>388.13850000000002</c:v>
                </c:pt>
                <c:pt idx="400">
                  <c:v>386.178</c:v>
                </c:pt>
                <c:pt idx="401">
                  <c:v>382.84950000000003</c:v>
                </c:pt>
                <c:pt idx="402">
                  <c:v>380.178</c:v>
                </c:pt>
                <c:pt idx="403">
                  <c:v>377.4495</c:v>
                </c:pt>
                <c:pt idx="404">
                  <c:v>374.75850000000003</c:v>
                </c:pt>
                <c:pt idx="405">
                  <c:v>372.14550000000003</c:v>
                </c:pt>
                <c:pt idx="406">
                  <c:v>369.34950000000003</c:v>
                </c:pt>
                <c:pt idx="407">
                  <c:v>366.774</c:v>
                </c:pt>
                <c:pt idx="408">
                  <c:v>363.9495</c:v>
                </c:pt>
                <c:pt idx="409">
                  <c:v>360.339</c:v>
                </c:pt>
                <c:pt idx="410">
                  <c:v>357.91949999999997</c:v>
                </c:pt>
                <c:pt idx="411">
                  <c:v>355.82100000000003</c:v>
                </c:pt>
                <c:pt idx="412">
                  <c:v>354.339</c:v>
                </c:pt>
                <c:pt idx="413">
                  <c:v>352.65</c:v>
                </c:pt>
                <c:pt idx="414">
                  <c:v>351.24149999999997</c:v>
                </c:pt>
                <c:pt idx="415">
                  <c:v>349.84950000000003</c:v>
                </c:pt>
                <c:pt idx="416">
                  <c:v>348.53249999999997</c:v>
                </c:pt>
                <c:pt idx="417">
                  <c:v>347.226</c:v>
                </c:pt>
                <c:pt idx="418">
                  <c:v>345.9</c:v>
                </c:pt>
                <c:pt idx="419">
                  <c:v>344.709</c:v>
                </c:pt>
                <c:pt idx="420">
                  <c:v>343.3005</c:v>
                </c:pt>
                <c:pt idx="421">
                  <c:v>342</c:v>
                </c:pt>
                <c:pt idx="422">
                  <c:v>389.178</c:v>
                </c:pt>
                <c:pt idx="423">
                  <c:v>391.92899999999997</c:v>
                </c:pt>
                <c:pt idx="424">
                  <c:v>390.19350000000003</c:v>
                </c:pt>
                <c:pt idx="425">
                  <c:v>388.24950000000001</c:v>
                </c:pt>
                <c:pt idx="426">
                  <c:v>386.70899999999995</c:v>
                </c:pt>
                <c:pt idx="427">
                  <c:v>385.09950000000003</c:v>
                </c:pt>
                <c:pt idx="428">
                  <c:v>383.661</c:v>
                </c:pt>
                <c:pt idx="429">
                  <c:v>382.25850000000003</c:v>
                </c:pt>
                <c:pt idx="430">
                  <c:v>380.85</c:v>
                </c:pt>
                <c:pt idx="431">
                  <c:v>379.59749999999997</c:v>
                </c:pt>
                <c:pt idx="432">
                  <c:v>378.1995</c:v>
                </c:pt>
                <c:pt idx="433">
                  <c:v>376.887</c:v>
                </c:pt>
                <c:pt idx="434">
                  <c:v>375.678</c:v>
                </c:pt>
                <c:pt idx="435">
                  <c:v>374.25</c:v>
                </c:pt>
                <c:pt idx="436">
                  <c:v>373.161</c:v>
                </c:pt>
                <c:pt idx="437">
                  <c:v>371.74950000000001</c:v>
                </c:pt>
                <c:pt idx="438">
                  <c:v>370.548</c:v>
                </c:pt>
                <c:pt idx="439">
                  <c:v>369.29999999999995</c:v>
                </c:pt>
                <c:pt idx="440">
                  <c:v>367.98450000000003</c:v>
                </c:pt>
                <c:pt idx="441">
                  <c:v>366.822</c:v>
                </c:pt>
                <c:pt idx="442">
                  <c:v>365.59950000000003</c:v>
                </c:pt>
                <c:pt idx="443">
                  <c:v>364.40250000000003</c:v>
                </c:pt>
                <c:pt idx="444">
                  <c:v>363.1995</c:v>
                </c:pt>
                <c:pt idx="445">
                  <c:v>361.98450000000003</c:v>
                </c:pt>
                <c:pt idx="446">
                  <c:v>360.91949999999997</c:v>
                </c:pt>
                <c:pt idx="447">
                  <c:v>359.79300000000001</c:v>
                </c:pt>
                <c:pt idx="448">
                  <c:v>358.69349999999997</c:v>
                </c:pt>
                <c:pt idx="449">
                  <c:v>357.6</c:v>
                </c:pt>
                <c:pt idx="450">
                  <c:v>356.613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290-45FF-823D-857AD61FB73F}"/>
            </c:ext>
          </c:extLst>
        </c:ser>
        <c:ser>
          <c:idx val="20"/>
          <c:order val="20"/>
          <c:tx>
            <c:strRef>
              <c:f>'FPSO1 Otim'!$W$5</c:f>
              <c:strCache>
                <c:ptCount val="1"/>
                <c:pt idx="0">
                  <c:v>P21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Otim'!$W$6:$W$733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252.56849999999997</c:v>
                </c:pt>
                <c:pt idx="28">
                  <c:v>636.60450000000003</c:v>
                </c:pt>
                <c:pt idx="29">
                  <c:v>639.72300000000007</c:v>
                </c:pt>
                <c:pt idx="30">
                  <c:v>631.947</c:v>
                </c:pt>
                <c:pt idx="31">
                  <c:v>626.77500000000009</c:v>
                </c:pt>
                <c:pt idx="32">
                  <c:v>624.06000000000006</c:v>
                </c:pt>
                <c:pt idx="33">
                  <c:v>622.07549999999992</c:v>
                </c:pt>
                <c:pt idx="34">
                  <c:v>620.73450000000003</c:v>
                </c:pt>
                <c:pt idx="35">
                  <c:v>619.66949999999997</c:v>
                </c:pt>
                <c:pt idx="36">
                  <c:v>618.73800000000006</c:v>
                </c:pt>
                <c:pt idx="37">
                  <c:v>617.976</c:v>
                </c:pt>
                <c:pt idx="38">
                  <c:v>617.27549999999997</c:v>
                </c:pt>
                <c:pt idx="39">
                  <c:v>617.202</c:v>
                </c:pt>
                <c:pt idx="40">
                  <c:v>616.68149999999991</c:v>
                </c:pt>
                <c:pt idx="41">
                  <c:v>615.87</c:v>
                </c:pt>
                <c:pt idx="42">
                  <c:v>615.13350000000003</c:v>
                </c:pt>
                <c:pt idx="43">
                  <c:v>614.12549999999999</c:v>
                </c:pt>
                <c:pt idx="44">
                  <c:v>613.13699999999994</c:v>
                </c:pt>
                <c:pt idx="45">
                  <c:v>611.87549999999999</c:v>
                </c:pt>
                <c:pt idx="46">
                  <c:v>610.548</c:v>
                </c:pt>
                <c:pt idx="47">
                  <c:v>609.12149999999997</c:v>
                </c:pt>
                <c:pt idx="48">
                  <c:v>607.48800000000006</c:v>
                </c:pt>
                <c:pt idx="49">
                  <c:v>604.803</c:v>
                </c:pt>
                <c:pt idx="50">
                  <c:v>581.52449999999999</c:v>
                </c:pt>
                <c:pt idx="51">
                  <c:v>572.85450000000003</c:v>
                </c:pt>
                <c:pt idx="52">
                  <c:v>568.25850000000003</c:v>
                </c:pt>
                <c:pt idx="53">
                  <c:v>564.05399999999997</c:v>
                </c:pt>
                <c:pt idx="54">
                  <c:v>560.96399999999994</c:v>
                </c:pt>
                <c:pt idx="55">
                  <c:v>557.41200000000003</c:v>
                </c:pt>
                <c:pt idx="56">
                  <c:v>554.14049999999997</c:v>
                </c:pt>
                <c:pt idx="57">
                  <c:v>550.57500000000005</c:v>
                </c:pt>
                <c:pt idx="58">
                  <c:v>547.125</c:v>
                </c:pt>
                <c:pt idx="59">
                  <c:v>543.64049999999997</c:v>
                </c:pt>
                <c:pt idx="60">
                  <c:v>539.93700000000001</c:v>
                </c:pt>
                <c:pt idx="61">
                  <c:v>536.49149999999997</c:v>
                </c:pt>
                <c:pt idx="62">
                  <c:v>532.71299999999997</c:v>
                </c:pt>
                <c:pt idx="63">
                  <c:v>526.70550000000003</c:v>
                </c:pt>
                <c:pt idx="64">
                  <c:v>522.99149999999997</c:v>
                </c:pt>
                <c:pt idx="65">
                  <c:v>519.15449999999998</c:v>
                </c:pt>
                <c:pt idx="66">
                  <c:v>515.85450000000003</c:v>
                </c:pt>
                <c:pt idx="67">
                  <c:v>512.16300000000001</c:v>
                </c:pt>
                <c:pt idx="68">
                  <c:v>508.79100000000005</c:v>
                </c:pt>
                <c:pt idx="69">
                  <c:v>505.16249999999997</c:v>
                </c:pt>
                <c:pt idx="70">
                  <c:v>501.73800000000006</c:v>
                </c:pt>
                <c:pt idx="71">
                  <c:v>498.351</c:v>
                </c:pt>
                <c:pt idx="72">
                  <c:v>494.80050000000006</c:v>
                </c:pt>
                <c:pt idx="73">
                  <c:v>491.63699999999994</c:v>
                </c:pt>
                <c:pt idx="74">
                  <c:v>488.16300000000001</c:v>
                </c:pt>
                <c:pt idx="75">
                  <c:v>480.47249999999997</c:v>
                </c:pt>
                <c:pt idx="76">
                  <c:v>477.036</c:v>
                </c:pt>
                <c:pt idx="77">
                  <c:v>473.54400000000004</c:v>
                </c:pt>
                <c:pt idx="78">
                  <c:v>470.75850000000003</c:v>
                </c:pt>
                <c:pt idx="79">
                  <c:v>467.52449999999999</c:v>
                </c:pt>
                <c:pt idx="80">
                  <c:v>464.589</c:v>
                </c:pt>
                <c:pt idx="81">
                  <c:v>461.41200000000003</c:v>
                </c:pt>
                <c:pt idx="82">
                  <c:v>458.46749999999997</c:v>
                </c:pt>
                <c:pt idx="83">
                  <c:v>455.553</c:v>
                </c:pt>
                <c:pt idx="84">
                  <c:v>452.51250000000005</c:v>
                </c:pt>
                <c:pt idx="85">
                  <c:v>449.72249999999997</c:v>
                </c:pt>
                <c:pt idx="86">
                  <c:v>446.73749999999995</c:v>
                </c:pt>
                <c:pt idx="87">
                  <c:v>443.91600000000005</c:v>
                </c:pt>
                <c:pt idx="88">
                  <c:v>441.29100000000005</c:v>
                </c:pt>
                <c:pt idx="89">
                  <c:v>438.14700000000005</c:v>
                </c:pt>
                <c:pt idx="90">
                  <c:v>435.58050000000003</c:v>
                </c:pt>
                <c:pt idx="91">
                  <c:v>432.67499999999995</c:v>
                </c:pt>
                <c:pt idx="92">
                  <c:v>430.06499999999994</c:v>
                </c:pt>
                <c:pt idx="93">
                  <c:v>427.27500000000003</c:v>
                </c:pt>
                <c:pt idx="94">
                  <c:v>424.72950000000003</c:v>
                </c:pt>
                <c:pt idx="95">
                  <c:v>422.214</c:v>
                </c:pt>
                <c:pt idx="96">
                  <c:v>419.56200000000001</c:v>
                </c:pt>
                <c:pt idx="97">
                  <c:v>417.21749999999997</c:v>
                </c:pt>
                <c:pt idx="98">
                  <c:v>414.71250000000003</c:v>
                </c:pt>
                <c:pt idx="99">
                  <c:v>412.40250000000003</c:v>
                </c:pt>
                <c:pt idx="100">
                  <c:v>410.25</c:v>
                </c:pt>
                <c:pt idx="101">
                  <c:v>407.77200000000005</c:v>
                </c:pt>
                <c:pt idx="102">
                  <c:v>405.798</c:v>
                </c:pt>
                <c:pt idx="103">
                  <c:v>403.36200000000002</c:v>
                </c:pt>
                <c:pt idx="104">
                  <c:v>401.08050000000003</c:v>
                </c:pt>
                <c:pt idx="105">
                  <c:v>398.73749999999995</c:v>
                </c:pt>
                <c:pt idx="106">
                  <c:v>396.58050000000003</c:v>
                </c:pt>
                <c:pt idx="107">
                  <c:v>394.428</c:v>
                </c:pt>
                <c:pt idx="108">
                  <c:v>392.21250000000003</c:v>
                </c:pt>
                <c:pt idx="109">
                  <c:v>390.19350000000003</c:v>
                </c:pt>
                <c:pt idx="110">
                  <c:v>388.03800000000001</c:v>
                </c:pt>
                <c:pt idx="111">
                  <c:v>385.98449999999997</c:v>
                </c:pt>
                <c:pt idx="112">
                  <c:v>384.036</c:v>
                </c:pt>
                <c:pt idx="113">
                  <c:v>381.87900000000002</c:v>
                </c:pt>
                <c:pt idx="114">
                  <c:v>380.04449999999997</c:v>
                </c:pt>
                <c:pt idx="115">
                  <c:v>378.012</c:v>
                </c:pt>
                <c:pt idx="116">
                  <c:v>376.185</c:v>
                </c:pt>
                <c:pt idx="117">
                  <c:v>374.18700000000001</c:v>
                </c:pt>
                <c:pt idx="118">
                  <c:v>372.387</c:v>
                </c:pt>
                <c:pt idx="119">
                  <c:v>370.584</c:v>
                </c:pt>
                <c:pt idx="120">
                  <c:v>368.67449999999997</c:v>
                </c:pt>
                <c:pt idx="121">
                  <c:v>366.99149999999997</c:v>
                </c:pt>
                <c:pt idx="122">
                  <c:v>365.14949999999999</c:v>
                </c:pt>
                <c:pt idx="123">
                  <c:v>360.423</c:v>
                </c:pt>
                <c:pt idx="124">
                  <c:v>358.536</c:v>
                </c:pt>
                <c:pt idx="125">
                  <c:v>356.70600000000002</c:v>
                </c:pt>
                <c:pt idx="126">
                  <c:v>355.24649999999997</c:v>
                </c:pt>
                <c:pt idx="127">
                  <c:v>353.54999999999995</c:v>
                </c:pt>
                <c:pt idx="128">
                  <c:v>352.041</c:v>
                </c:pt>
                <c:pt idx="129">
                  <c:v>350.41200000000003</c:v>
                </c:pt>
                <c:pt idx="130">
                  <c:v>348.88350000000003</c:v>
                </c:pt>
                <c:pt idx="131">
                  <c:v>347.35950000000003</c:v>
                </c:pt>
                <c:pt idx="132">
                  <c:v>345.77549999999997</c:v>
                </c:pt>
                <c:pt idx="133">
                  <c:v>344.31</c:v>
                </c:pt>
                <c:pt idx="134">
                  <c:v>343.09950000000003</c:v>
                </c:pt>
                <c:pt idx="135">
                  <c:v>341.31</c:v>
                </c:pt>
                <c:pt idx="136">
                  <c:v>339.90749999999997</c:v>
                </c:pt>
                <c:pt idx="137">
                  <c:v>338.33100000000002</c:v>
                </c:pt>
                <c:pt idx="138">
                  <c:v>337.077</c:v>
                </c:pt>
                <c:pt idx="139">
                  <c:v>335.637</c:v>
                </c:pt>
                <c:pt idx="140">
                  <c:v>334.34250000000003</c:v>
                </c:pt>
                <c:pt idx="141">
                  <c:v>332.92499999999995</c:v>
                </c:pt>
                <c:pt idx="142">
                  <c:v>331.63350000000003</c:v>
                </c:pt>
                <c:pt idx="143">
                  <c:v>330.351</c:v>
                </c:pt>
                <c:pt idx="144">
                  <c:v>329.02499999999998</c:v>
                </c:pt>
                <c:pt idx="145">
                  <c:v>327.786</c:v>
                </c:pt>
                <c:pt idx="146">
                  <c:v>326.4255</c:v>
                </c:pt>
                <c:pt idx="147">
                  <c:v>324.88350000000003</c:v>
                </c:pt>
                <c:pt idx="148">
                  <c:v>323.46750000000003</c:v>
                </c:pt>
                <c:pt idx="149">
                  <c:v>321.96449999999999</c:v>
                </c:pt>
                <c:pt idx="150">
                  <c:v>320.84250000000003</c:v>
                </c:pt>
                <c:pt idx="151">
                  <c:v>319.52549999999997</c:v>
                </c:pt>
                <c:pt idx="152">
                  <c:v>318.399</c:v>
                </c:pt>
                <c:pt idx="153">
                  <c:v>317.14949999999999</c:v>
                </c:pt>
                <c:pt idx="154">
                  <c:v>316.01549999999997</c:v>
                </c:pt>
                <c:pt idx="155">
                  <c:v>314.87850000000003</c:v>
                </c:pt>
                <c:pt idx="156">
                  <c:v>313.6875</c:v>
                </c:pt>
                <c:pt idx="157">
                  <c:v>312.61649999999997</c:v>
                </c:pt>
                <c:pt idx="158">
                  <c:v>311.46299999999997</c:v>
                </c:pt>
                <c:pt idx="159">
                  <c:v>300.69</c:v>
                </c:pt>
                <c:pt idx="160">
                  <c:v>298.65749999999997</c:v>
                </c:pt>
                <c:pt idx="161">
                  <c:v>297.45299999999997</c:v>
                </c:pt>
                <c:pt idx="162">
                  <c:v>296.43150000000003</c:v>
                </c:pt>
                <c:pt idx="163">
                  <c:v>295.33799999999997</c:v>
                </c:pt>
                <c:pt idx="164">
                  <c:v>294.399</c:v>
                </c:pt>
                <c:pt idx="165">
                  <c:v>293.39999999999998</c:v>
                </c:pt>
                <c:pt idx="166">
                  <c:v>292.488</c:v>
                </c:pt>
                <c:pt idx="167">
                  <c:v>291.58050000000003</c:v>
                </c:pt>
                <c:pt idx="168">
                  <c:v>290.65049999999997</c:v>
                </c:pt>
                <c:pt idx="169">
                  <c:v>289.815</c:v>
                </c:pt>
                <c:pt idx="170">
                  <c:v>288.89999999999998</c:v>
                </c:pt>
                <c:pt idx="171">
                  <c:v>288.072</c:v>
                </c:pt>
                <c:pt idx="172">
                  <c:v>287.286</c:v>
                </c:pt>
                <c:pt idx="173">
                  <c:v>286.35299999999995</c:v>
                </c:pt>
                <c:pt idx="174">
                  <c:v>285.62850000000003</c:v>
                </c:pt>
                <c:pt idx="175">
                  <c:v>284.77499999999998</c:v>
                </c:pt>
                <c:pt idx="176">
                  <c:v>284.02050000000003</c:v>
                </c:pt>
                <c:pt idx="177">
                  <c:v>283.18799999999999</c:v>
                </c:pt>
                <c:pt idx="178">
                  <c:v>282.423</c:v>
                </c:pt>
                <c:pt idx="179">
                  <c:v>281.673</c:v>
                </c:pt>
                <c:pt idx="180">
                  <c:v>280.875</c:v>
                </c:pt>
                <c:pt idx="181">
                  <c:v>280.173</c:v>
                </c:pt>
                <c:pt idx="182">
                  <c:v>279.42449999999997</c:v>
                </c:pt>
                <c:pt idx="183">
                  <c:v>278.72249999999997</c:v>
                </c:pt>
                <c:pt idx="184">
                  <c:v>278.04449999999997</c:v>
                </c:pt>
                <c:pt idx="185">
                  <c:v>277.28550000000001</c:v>
                </c:pt>
                <c:pt idx="186">
                  <c:v>276.65250000000003</c:v>
                </c:pt>
                <c:pt idx="187">
                  <c:v>275.93700000000001</c:v>
                </c:pt>
                <c:pt idx="188">
                  <c:v>275.298</c:v>
                </c:pt>
                <c:pt idx="189">
                  <c:v>274.60050000000001</c:v>
                </c:pt>
                <c:pt idx="190">
                  <c:v>273.94349999999997</c:v>
                </c:pt>
                <c:pt idx="191">
                  <c:v>273.303</c:v>
                </c:pt>
                <c:pt idx="192">
                  <c:v>272.625</c:v>
                </c:pt>
                <c:pt idx="193">
                  <c:v>272.03249999999997</c:v>
                </c:pt>
                <c:pt idx="194">
                  <c:v>271.37549999999999</c:v>
                </c:pt>
                <c:pt idx="195">
                  <c:v>270.762</c:v>
                </c:pt>
                <c:pt idx="196">
                  <c:v>270.21750000000003</c:v>
                </c:pt>
                <c:pt idx="197">
                  <c:v>269.54399999999998</c:v>
                </c:pt>
                <c:pt idx="198">
                  <c:v>269.02050000000003</c:v>
                </c:pt>
                <c:pt idx="199">
                  <c:v>268.43700000000001</c:v>
                </c:pt>
                <c:pt idx="200">
                  <c:v>267.89550000000003</c:v>
                </c:pt>
                <c:pt idx="201">
                  <c:v>267.27449999999999</c:v>
                </c:pt>
                <c:pt idx="202">
                  <c:v>266.73450000000003</c:v>
                </c:pt>
                <c:pt idx="203">
                  <c:v>266.166</c:v>
                </c:pt>
                <c:pt idx="204">
                  <c:v>265.56299999999999</c:v>
                </c:pt>
                <c:pt idx="205">
                  <c:v>265.053</c:v>
                </c:pt>
                <c:pt idx="206">
                  <c:v>264.47550000000001</c:v>
                </c:pt>
                <c:pt idx="207">
                  <c:v>263.988</c:v>
                </c:pt>
                <c:pt idx="208">
                  <c:v>263.47949999999997</c:v>
                </c:pt>
                <c:pt idx="209">
                  <c:v>262.93950000000001</c:v>
                </c:pt>
                <c:pt idx="210">
                  <c:v>262.476</c:v>
                </c:pt>
                <c:pt idx="211">
                  <c:v>261.97500000000002</c:v>
                </c:pt>
                <c:pt idx="212">
                  <c:v>261.49649999999997</c:v>
                </c:pt>
                <c:pt idx="213">
                  <c:v>260.988</c:v>
                </c:pt>
                <c:pt idx="214">
                  <c:v>260.541</c:v>
                </c:pt>
                <c:pt idx="215">
                  <c:v>260.06849999999997</c:v>
                </c:pt>
                <c:pt idx="216">
                  <c:v>259.60050000000001</c:v>
                </c:pt>
                <c:pt idx="217">
                  <c:v>259.161</c:v>
                </c:pt>
                <c:pt idx="218">
                  <c:v>258.71249999999998</c:v>
                </c:pt>
                <c:pt idx="219">
                  <c:v>258.25350000000003</c:v>
                </c:pt>
                <c:pt idx="220">
                  <c:v>257.86649999999997</c:v>
                </c:pt>
                <c:pt idx="221">
                  <c:v>257.39700000000005</c:v>
                </c:pt>
                <c:pt idx="222">
                  <c:v>257.00850000000003</c:v>
                </c:pt>
                <c:pt idx="223">
                  <c:v>256.58699999999999</c:v>
                </c:pt>
                <c:pt idx="224">
                  <c:v>256.173</c:v>
                </c:pt>
                <c:pt idx="225">
                  <c:v>255.75</c:v>
                </c:pt>
                <c:pt idx="226">
                  <c:v>255.363</c:v>
                </c:pt>
                <c:pt idx="227">
                  <c:v>254.976</c:v>
                </c:pt>
                <c:pt idx="228">
                  <c:v>254.56200000000001</c:v>
                </c:pt>
                <c:pt idx="229">
                  <c:v>254.178</c:v>
                </c:pt>
                <c:pt idx="230">
                  <c:v>253.56299999999999</c:v>
                </c:pt>
                <c:pt idx="231">
                  <c:v>253.053</c:v>
                </c:pt>
                <c:pt idx="232">
                  <c:v>252.6525</c:v>
                </c:pt>
                <c:pt idx="233">
                  <c:v>252.1875</c:v>
                </c:pt>
                <c:pt idx="234">
                  <c:v>251.84250000000003</c:v>
                </c:pt>
                <c:pt idx="235">
                  <c:v>251.46299999999999</c:v>
                </c:pt>
                <c:pt idx="236">
                  <c:v>251.09250000000003</c:v>
                </c:pt>
                <c:pt idx="237">
                  <c:v>250.71299999999999</c:v>
                </c:pt>
                <c:pt idx="238">
                  <c:v>250.3665</c:v>
                </c:pt>
                <c:pt idx="239">
                  <c:v>250.041</c:v>
                </c:pt>
                <c:pt idx="240">
                  <c:v>249.66300000000001</c:v>
                </c:pt>
                <c:pt idx="241">
                  <c:v>249.339</c:v>
                </c:pt>
                <c:pt idx="242">
                  <c:v>249</c:v>
                </c:pt>
                <c:pt idx="243">
                  <c:v>248.673</c:v>
                </c:pt>
                <c:pt idx="244">
                  <c:v>248.3475</c:v>
                </c:pt>
                <c:pt idx="245">
                  <c:v>247.98149999999998</c:v>
                </c:pt>
                <c:pt idx="246">
                  <c:v>247.69349999999997</c:v>
                </c:pt>
                <c:pt idx="247">
                  <c:v>247.3005</c:v>
                </c:pt>
                <c:pt idx="248">
                  <c:v>246.9915</c:v>
                </c:pt>
                <c:pt idx="249">
                  <c:v>246.64949999999999</c:v>
                </c:pt>
                <c:pt idx="250">
                  <c:v>246.26549999999997</c:v>
                </c:pt>
                <c:pt idx="251">
                  <c:v>245.928</c:v>
                </c:pt>
                <c:pt idx="252">
                  <c:v>245.57550000000003</c:v>
                </c:pt>
                <c:pt idx="253">
                  <c:v>245.274</c:v>
                </c:pt>
                <c:pt idx="254">
                  <c:v>244.875</c:v>
                </c:pt>
                <c:pt idx="255">
                  <c:v>244.4025</c:v>
                </c:pt>
                <c:pt idx="256">
                  <c:v>244.01549999999997</c:v>
                </c:pt>
                <c:pt idx="257">
                  <c:v>243.62099999999998</c:v>
                </c:pt>
                <c:pt idx="258">
                  <c:v>243.2415</c:v>
                </c:pt>
                <c:pt idx="259">
                  <c:v>242.89949999999999</c:v>
                </c:pt>
                <c:pt idx="260">
                  <c:v>242.541</c:v>
                </c:pt>
                <c:pt idx="261">
                  <c:v>242.17499999999998</c:v>
                </c:pt>
                <c:pt idx="262">
                  <c:v>241.76549999999997</c:v>
                </c:pt>
                <c:pt idx="263">
                  <c:v>241.3305</c:v>
                </c:pt>
                <c:pt idx="264">
                  <c:v>240.89999999999998</c:v>
                </c:pt>
                <c:pt idx="265">
                  <c:v>240.5085</c:v>
                </c:pt>
                <c:pt idx="266">
                  <c:v>240.10050000000001</c:v>
                </c:pt>
                <c:pt idx="267">
                  <c:v>239.661</c:v>
                </c:pt>
                <c:pt idx="268">
                  <c:v>239.322</c:v>
                </c:pt>
                <c:pt idx="269">
                  <c:v>238.84800000000001</c:v>
                </c:pt>
                <c:pt idx="270">
                  <c:v>238.476</c:v>
                </c:pt>
                <c:pt idx="271">
                  <c:v>238.07550000000003</c:v>
                </c:pt>
                <c:pt idx="272">
                  <c:v>237.62850000000003</c:v>
                </c:pt>
                <c:pt idx="273">
                  <c:v>237.25049999999999</c:v>
                </c:pt>
                <c:pt idx="274">
                  <c:v>236.80650000000003</c:v>
                </c:pt>
                <c:pt idx="275">
                  <c:v>236.4195</c:v>
                </c:pt>
                <c:pt idx="276">
                  <c:v>235.97550000000001</c:v>
                </c:pt>
                <c:pt idx="277">
                  <c:v>235.5975</c:v>
                </c:pt>
                <c:pt idx="278">
                  <c:v>235.125</c:v>
                </c:pt>
                <c:pt idx="279">
                  <c:v>234.5085</c:v>
                </c:pt>
                <c:pt idx="280">
                  <c:v>233.80650000000003</c:v>
                </c:pt>
                <c:pt idx="281">
                  <c:v>233.16899999999998</c:v>
                </c:pt>
                <c:pt idx="282">
                  <c:v>232.71750000000003</c:v>
                </c:pt>
                <c:pt idx="283">
                  <c:v>232.15049999999999</c:v>
                </c:pt>
                <c:pt idx="284">
                  <c:v>231.60449999999997</c:v>
                </c:pt>
                <c:pt idx="285">
                  <c:v>231.12450000000001</c:v>
                </c:pt>
                <c:pt idx="286">
                  <c:v>230.613</c:v>
                </c:pt>
                <c:pt idx="287">
                  <c:v>230.12850000000003</c:v>
                </c:pt>
                <c:pt idx="288">
                  <c:v>229.64999999999998</c:v>
                </c:pt>
                <c:pt idx="289">
                  <c:v>229.209</c:v>
                </c:pt>
                <c:pt idx="290">
                  <c:v>228.72450000000001</c:v>
                </c:pt>
                <c:pt idx="291">
                  <c:v>228.291</c:v>
                </c:pt>
                <c:pt idx="292">
                  <c:v>227.87850000000003</c:v>
                </c:pt>
                <c:pt idx="293">
                  <c:v>227.3835</c:v>
                </c:pt>
                <c:pt idx="294">
                  <c:v>226.98450000000003</c:v>
                </c:pt>
                <c:pt idx="295">
                  <c:v>226.52549999999999</c:v>
                </c:pt>
                <c:pt idx="296">
                  <c:v>226.01549999999997</c:v>
                </c:pt>
                <c:pt idx="297">
                  <c:v>225.64949999999999</c:v>
                </c:pt>
                <c:pt idx="298">
                  <c:v>225.1695</c:v>
                </c:pt>
                <c:pt idx="299">
                  <c:v>224.7585</c:v>
                </c:pt>
                <c:pt idx="300">
                  <c:v>224.37450000000001</c:v>
                </c:pt>
                <c:pt idx="301">
                  <c:v>224.05650000000003</c:v>
                </c:pt>
                <c:pt idx="302">
                  <c:v>223.64999999999998</c:v>
                </c:pt>
                <c:pt idx="303">
                  <c:v>223.3305</c:v>
                </c:pt>
                <c:pt idx="304">
                  <c:v>223.01549999999997</c:v>
                </c:pt>
                <c:pt idx="305">
                  <c:v>222.62099999999998</c:v>
                </c:pt>
                <c:pt idx="306">
                  <c:v>222.363</c:v>
                </c:pt>
                <c:pt idx="307">
                  <c:v>221.97450000000001</c:v>
                </c:pt>
                <c:pt idx="308">
                  <c:v>221.685</c:v>
                </c:pt>
                <c:pt idx="309">
                  <c:v>221.32500000000002</c:v>
                </c:pt>
                <c:pt idx="310">
                  <c:v>221.0085</c:v>
                </c:pt>
                <c:pt idx="311">
                  <c:v>220.69349999999997</c:v>
                </c:pt>
                <c:pt idx="312">
                  <c:v>220.3245</c:v>
                </c:pt>
                <c:pt idx="313">
                  <c:v>219.96750000000003</c:v>
                </c:pt>
                <c:pt idx="314">
                  <c:v>219.67499999999998</c:v>
                </c:pt>
                <c:pt idx="315">
                  <c:v>219.339</c:v>
                </c:pt>
                <c:pt idx="316">
                  <c:v>219</c:v>
                </c:pt>
                <c:pt idx="317">
                  <c:v>218.625</c:v>
                </c:pt>
                <c:pt idx="318">
                  <c:v>218.322</c:v>
                </c:pt>
                <c:pt idx="319">
                  <c:v>217.97550000000001</c:v>
                </c:pt>
                <c:pt idx="320">
                  <c:v>217.64550000000003</c:v>
                </c:pt>
                <c:pt idx="321">
                  <c:v>217.3005</c:v>
                </c:pt>
                <c:pt idx="322">
                  <c:v>216.9195</c:v>
                </c:pt>
                <c:pt idx="323">
                  <c:v>216.62850000000003</c:v>
                </c:pt>
                <c:pt idx="324">
                  <c:v>216.25049999999999</c:v>
                </c:pt>
                <c:pt idx="325">
                  <c:v>215.928</c:v>
                </c:pt>
                <c:pt idx="326">
                  <c:v>215.57550000000003</c:v>
                </c:pt>
                <c:pt idx="327">
                  <c:v>215.226</c:v>
                </c:pt>
                <c:pt idx="328">
                  <c:v>214.911</c:v>
                </c:pt>
                <c:pt idx="329">
                  <c:v>214.554</c:v>
                </c:pt>
                <c:pt idx="330">
                  <c:v>214.23450000000003</c:v>
                </c:pt>
                <c:pt idx="331">
                  <c:v>213.87450000000001</c:v>
                </c:pt>
                <c:pt idx="332">
                  <c:v>213.55650000000003</c:v>
                </c:pt>
                <c:pt idx="333">
                  <c:v>213.1995</c:v>
                </c:pt>
                <c:pt idx="334">
                  <c:v>212.87850000000003</c:v>
                </c:pt>
                <c:pt idx="335">
                  <c:v>212.51549999999997</c:v>
                </c:pt>
                <c:pt idx="336">
                  <c:v>212.20050000000003</c:v>
                </c:pt>
                <c:pt idx="337">
                  <c:v>211.887</c:v>
                </c:pt>
                <c:pt idx="338">
                  <c:v>211.52549999999999</c:v>
                </c:pt>
                <c:pt idx="339">
                  <c:v>211.209</c:v>
                </c:pt>
                <c:pt idx="340">
                  <c:v>210.89550000000003</c:v>
                </c:pt>
                <c:pt idx="341">
                  <c:v>210.53550000000001</c:v>
                </c:pt>
                <c:pt idx="342">
                  <c:v>210.21750000000003</c:v>
                </c:pt>
                <c:pt idx="343">
                  <c:v>209.89949999999999</c:v>
                </c:pt>
                <c:pt idx="344">
                  <c:v>209.565</c:v>
                </c:pt>
                <c:pt idx="345">
                  <c:v>209.20050000000003</c:v>
                </c:pt>
                <c:pt idx="346">
                  <c:v>208.887</c:v>
                </c:pt>
                <c:pt idx="347">
                  <c:v>208.548</c:v>
                </c:pt>
                <c:pt idx="348">
                  <c:v>208.17449999999997</c:v>
                </c:pt>
                <c:pt idx="349">
                  <c:v>207.87149999999997</c:v>
                </c:pt>
                <c:pt idx="350">
                  <c:v>207.49950000000001</c:v>
                </c:pt>
                <c:pt idx="351">
                  <c:v>207.1695</c:v>
                </c:pt>
                <c:pt idx="352">
                  <c:v>206.8305</c:v>
                </c:pt>
                <c:pt idx="353">
                  <c:v>206.48250000000002</c:v>
                </c:pt>
                <c:pt idx="354">
                  <c:v>206.1525</c:v>
                </c:pt>
                <c:pt idx="355">
                  <c:v>205.79999999999998</c:v>
                </c:pt>
                <c:pt idx="356">
                  <c:v>205.476</c:v>
                </c:pt>
                <c:pt idx="357">
                  <c:v>205.125</c:v>
                </c:pt>
                <c:pt idx="358">
                  <c:v>204.6525</c:v>
                </c:pt>
                <c:pt idx="359">
                  <c:v>204.2415</c:v>
                </c:pt>
                <c:pt idx="360">
                  <c:v>203.67449999999997</c:v>
                </c:pt>
                <c:pt idx="361">
                  <c:v>203.25</c:v>
                </c:pt>
                <c:pt idx="362">
                  <c:v>202.77449999999999</c:v>
                </c:pt>
                <c:pt idx="363">
                  <c:v>202.30650000000003</c:v>
                </c:pt>
                <c:pt idx="364">
                  <c:v>201.89550000000003</c:v>
                </c:pt>
                <c:pt idx="365">
                  <c:v>201.429</c:v>
                </c:pt>
                <c:pt idx="366">
                  <c:v>201.0975</c:v>
                </c:pt>
                <c:pt idx="367">
                  <c:v>200.65049999999999</c:v>
                </c:pt>
                <c:pt idx="368">
                  <c:v>200.274</c:v>
                </c:pt>
                <c:pt idx="369">
                  <c:v>199.875</c:v>
                </c:pt>
                <c:pt idx="370">
                  <c:v>199.476</c:v>
                </c:pt>
                <c:pt idx="371">
                  <c:v>199.137</c:v>
                </c:pt>
                <c:pt idx="372">
                  <c:v>198.72450000000001</c:v>
                </c:pt>
                <c:pt idx="373">
                  <c:v>198.12149999999997</c:v>
                </c:pt>
                <c:pt idx="374">
                  <c:v>197.4495</c:v>
                </c:pt>
                <c:pt idx="375">
                  <c:v>196.911</c:v>
                </c:pt>
                <c:pt idx="376">
                  <c:v>196.37850000000003</c:v>
                </c:pt>
                <c:pt idx="377">
                  <c:v>195.85649999999998</c:v>
                </c:pt>
                <c:pt idx="378">
                  <c:v>195.411</c:v>
                </c:pt>
                <c:pt idx="379">
                  <c:v>194.89949999999999</c:v>
                </c:pt>
                <c:pt idx="380">
                  <c:v>194.4915</c:v>
                </c:pt>
                <c:pt idx="381">
                  <c:v>194.02499999999998</c:v>
                </c:pt>
                <c:pt idx="382">
                  <c:v>193.572</c:v>
                </c:pt>
                <c:pt idx="383">
                  <c:v>193.089</c:v>
                </c:pt>
                <c:pt idx="384">
                  <c:v>192.62549999999999</c:v>
                </c:pt>
                <c:pt idx="385">
                  <c:v>192.1695</c:v>
                </c:pt>
                <c:pt idx="386">
                  <c:v>191.65049999999999</c:v>
                </c:pt>
                <c:pt idx="387">
                  <c:v>191.1525</c:v>
                </c:pt>
                <c:pt idx="388">
                  <c:v>190.572</c:v>
                </c:pt>
                <c:pt idx="389">
                  <c:v>189.96449999999999</c:v>
                </c:pt>
                <c:pt idx="390">
                  <c:v>189.4845</c:v>
                </c:pt>
                <c:pt idx="391">
                  <c:v>188.89950000000002</c:v>
                </c:pt>
                <c:pt idx="392">
                  <c:v>188.4435</c:v>
                </c:pt>
                <c:pt idx="393">
                  <c:v>187.875</c:v>
                </c:pt>
                <c:pt idx="394">
                  <c:v>187.4025</c:v>
                </c:pt>
                <c:pt idx="395">
                  <c:v>186.9195</c:v>
                </c:pt>
                <c:pt idx="396">
                  <c:v>186.40049999999999</c:v>
                </c:pt>
                <c:pt idx="397">
                  <c:v>185.976</c:v>
                </c:pt>
                <c:pt idx="398">
                  <c:v>185.47500000000002</c:v>
                </c:pt>
                <c:pt idx="399">
                  <c:v>185.0325</c:v>
                </c:pt>
                <c:pt idx="400">
                  <c:v>184.548</c:v>
                </c:pt>
                <c:pt idx="401">
                  <c:v>183.95699999999999</c:v>
                </c:pt>
                <c:pt idx="402">
                  <c:v>183.6045</c:v>
                </c:pt>
                <c:pt idx="403">
                  <c:v>182.95050000000001</c:v>
                </c:pt>
                <c:pt idx="404">
                  <c:v>182.4915</c:v>
                </c:pt>
                <c:pt idx="405">
                  <c:v>181.95</c:v>
                </c:pt>
                <c:pt idx="406">
                  <c:v>181.476</c:v>
                </c:pt>
                <c:pt idx="407">
                  <c:v>181.0155</c:v>
                </c:pt>
                <c:pt idx="408">
                  <c:v>180.52499999999998</c:v>
                </c:pt>
                <c:pt idx="409">
                  <c:v>180.048</c:v>
                </c:pt>
                <c:pt idx="410">
                  <c:v>179.52450000000002</c:v>
                </c:pt>
                <c:pt idx="411">
                  <c:v>178.887</c:v>
                </c:pt>
                <c:pt idx="412">
                  <c:v>178.209</c:v>
                </c:pt>
                <c:pt idx="413">
                  <c:v>177.48149999999998</c:v>
                </c:pt>
                <c:pt idx="414">
                  <c:v>176.952</c:v>
                </c:pt>
                <c:pt idx="415">
                  <c:v>176.39999999999998</c:v>
                </c:pt>
                <c:pt idx="416">
                  <c:v>175.863</c:v>
                </c:pt>
                <c:pt idx="417">
                  <c:v>175.3245</c:v>
                </c:pt>
                <c:pt idx="418">
                  <c:v>174.8715</c:v>
                </c:pt>
                <c:pt idx="419">
                  <c:v>174.363</c:v>
                </c:pt>
                <c:pt idx="420">
                  <c:v>173.87549999999999</c:v>
                </c:pt>
                <c:pt idx="421">
                  <c:v>173.4195</c:v>
                </c:pt>
                <c:pt idx="422">
                  <c:v>172.92449999999999</c:v>
                </c:pt>
                <c:pt idx="423">
                  <c:v>172.452</c:v>
                </c:pt>
                <c:pt idx="424">
                  <c:v>172.0155</c:v>
                </c:pt>
                <c:pt idx="425">
                  <c:v>171.48149999999998</c:v>
                </c:pt>
                <c:pt idx="426">
                  <c:v>171.072</c:v>
                </c:pt>
                <c:pt idx="427">
                  <c:v>170.59950000000001</c:v>
                </c:pt>
                <c:pt idx="428">
                  <c:v>170.1285</c:v>
                </c:pt>
                <c:pt idx="429">
                  <c:v>169.64999999999998</c:v>
                </c:pt>
                <c:pt idx="430">
                  <c:v>169.137</c:v>
                </c:pt>
                <c:pt idx="431">
                  <c:v>168.6525</c:v>
                </c:pt>
                <c:pt idx="432">
                  <c:v>168.14999999999998</c:v>
                </c:pt>
                <c:pt idx="433">
                  <c:v>167.661</c:v>
                </c:pt>
                <c:pt idx="434">
                  <c:v>167.14950000000002</c:v>
                </c:pt>
                <c:pt idx="435">
                  <c:v>166.6695</c:v>
                </c:pt>
                <c:pt idx="436">
                  <c:v>166.209</c:v>
                </c:pt>
                <c:pt idx="437">
                  <c:v>165.696</c:v>
                </c:pt>
                <c:pt idx="438">
                  <c:v>165.2415</c:v>
                </c:pt>
                <c:pt idx="439">
                  <c:v>164.8005</c:v>
                </c:pt>
                <c:pt idx="440">
                  <c:v>164.3475</c:v>
                </c:pt>
                <c:pt idx="441">
                  <c:v>163.84950000000001</c:v>
                </c:pt>
                <c:pt idx="442">
                  <c:v>163.4025</c:v>
                </c:pt>
                <c:pt idx="443">
                  <c:v>162.9675</c:v>
                </c:pt>
                <c:pt idx="444">
                  <c:v>162.47549999999998</c:v>
                </c:pt>
                <c:pt idx="445">
                  <c:v>162.0975</c:v>
                </c:pt>
                <c:pt idx="446">
                  <c:v>161.59950000000001</c:v>
                </c:pt>
                <c:pt idx="447">
                  <c:v>161.1525</c:v>
                </c:pt>
                <c:pt idx="448">
                  <c:v>160.7655</c:v>
                </c:pt>
                <c:pt idx="449">
                  <c:v>160.24200000000002</c:v>
                </c:pt>
                <c:pt idx="450">
                  <c:v>159.8475</c:v>
                </c:pt>
                <c:pt idx="451">
                  <c:v>159.375</c:v>
                </c:pt>
                <c:pt idx="452">
                  <c:v>158.9025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290-45FF-823D-857AD61FB73F}"/>
            </c:ext>
          </c:extLst>
        </c:ser>
        <c:ser>
          <c:idx val="21"/>
          <c:order val="21"/>
          <c:tx>
            <c:strRef>
              <c:f>'FPSO1 Otim'!$X$5</c:f>
              <c:strCache>
                <c:ptCount val="1"/>
                <c:pt idx="0">
                  <c:v>P22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Otim'!$X$6:$X$733</c:f>
              <c:numCache>
                <c:formatCode>General</c:formatCode>
                <c:ptCount val="728"/>
                <c:pt idx="0">
                  <c:v>1318.3664999999999</c:v>
                </c:pt>
                <c:pt idx="1">
                  <c:v>1894.335</c:v>
                </c:pt>
                <c:pt idx="2">
                  <c:v>1891.8150000000001</c:v>
                </c:pt>
                <c:pt idx="3">
                  <c:v>1877.2649999999999</c:v>
                </c:pt>
                <c:pt idx="4">
                  <c:v>1863.105</c:v>
                </c:pt>
                <c:pt idx="5">
                  <c:v>1850.835</c:v>
                </c:pt>
                <c:pt idx="6">
                  <c:v>1837.4549999999999</c:v>
                </c:pt>
                <c:pt idx="7">
                  <c:v>1825.095</c:v>
                </c:pt>
                <c:pt idx="8">
                  <c:v>1813.41</c:v>
                </c:pt>
                <c:pt idx="9">
                  <c:v>1802.1150000000002</c:v>
                </c:pt>
                <c:pt idx="10">
                  <c:v>1792.83</c:v>
                </c:pt>
                <c:pt idx="11">
                  <c:v>1783.1849999999999</c:v>
                </c:pt>
                <c:pt idx="12">
                  <c:v>1776.2550000000001</c:v>
                </c:pt>
                <c:pt idx="13">
                  <c:v>1769.22</c:v>
                </c:pt>
                <c:pt idx="14">
                  <c:v>1761.165</c:v>
                </c:pt>
                <c:pt idx="15">
                  <c:v>1755.0450000000001</c:v>
                </c:pt>
                <c:pt idx="16">
                  <c:v>1748.2049999999999</c:v>
                </c:pt>
                <c:pt idx="17">
                  <c:v>1741.98</c:v>
                </c:pt>
                <c:pt idx="18">
                  <c:v>1735.4250000000002</c:v>
                </c:pt>
                <c:pt idx="19">
                  <c:v>1729.56</c:v>
                </c:pt>
                <c:pt idx="20">
                  <c:v>1723.9499999999998</c:v>
                </c:pt>
                <c:pt idx="21">
                  <c:v>1718.28</c:v>
                </c:pt>
                <c:pt idx="22">
                  <c:v>1669.2599999999998</c:v>
                </c:pt>
                <c:pt idx="23">
                  <c:v>1496.8874999999998</c:v>
                </c:pt>
                <c:pt idx="24">
                  <c:v>1495.5975000000001</c:v>
                </c:pt>
                <c:pt idx="25">
                  <c:v>1491.2175</c:v>
                </c:pt>
                <c:pt idx="26">
                  <c:v>1485.6569999999999</c:v>
                </c:pt>
                <c:pt idx="27">
                  <c:v>1481.8544999999999</c:v>
                </c:pt>
                <c:pt idx="28">
                  <c:v>1477.7505000000001</c:v>
                </c:pt>
                <c:pt idx="29">
                  <c:v>1474.3064999999999</c:v>
                </c:pt>
                <c:pt idx="30">
                  <c:v>1470.7755000000002</c:v>
                </c:pt>
                <c:pt idx="31">
                  <c:v>1467.5805</c:v>
                </c:pt>
                <c:pt idx="32">
                  <c:v>1464.4845</c:v>
                </c:pt>
                <c:pt idx="33">
                  <c:v>1461.2249999999999</c:v>
                </c:pt>
                <c:pt idx="34">
                  <c:v>1458.2655</c:v>
                </c:pt>
                <c:pt idx="35">
                  <c:v>1454.7869999999998</c:v>
                </c:pt>
                <c:pt idx="36">
                  <c:v>1446.423</c:v>
                </c:pt>
                <c:pt idx="37">
                  <c:v>1442.5035</c:v>
                </c:pt>
                <c:pt idx="38">
                  <c:v>1438.9259999999999</c:v>
                </c:pt>
                <c:pt idx="39">
                  <c:v>1435.7535</c:v>
                </c:pt>
                <c:pt idx="40">
                  <c:v>1432.1129999999998</c:v>
                </c:pt>
                <c:pt idx="41">
                  <c:v>1428.6285</c:v>
                </c:pt>
                <c:pt idx="42">
                  <c:v>1424.7375000000002</c:v>
                </c:pt>
                <c:pt idx="43">
                  <c:v>1420.9470000000001</c:v>
                </c:pt>
                <c:pt idx="44">
                  <c:v>1417.0409999999999</c:v>
                </c:pt>
                <c:pt idx="45">
                  <c:v>1412.9250000000002</c:v>
                </c:pt>
                <c:pt idx="46">
                  <c:v>1409.0805</c:v>
                </c:pt>
                <c:pt idx="47">
                  <c:v>1404.9254999999998</c:v>
                </c:pt>
                <c:pt idx="48">
                  <c:v>1391.3835000000001</c:v>
                </c:pt>
                <c:pt idx="49">
                  <c:v>1386.81</c:v>
                </c:pt>
                <c:pt idx="50">
                  <c:v>1383.402</c:v>
                </c:pt>
                <c:pt idx="51">
                  <c:v>1380.7139999999999</c:v>
                </c:pt>
                <c:pt idx="52">
                  <c:v>1377.5880000000002</c:v>
                </c:pt>
                <c:pt idx="53">
                  <c:v>1374.7379999999998</c:v>
                </c:pt>
                <c:pt idx="54">
                  <c:v>1371.6495</c:v>
                </c:pt>
                <c:pt idx="55">
                  <c:v>1368.81</c:v>
                </c:pt>
                <c:pt idx="56">
                  <c:v>1365.9435000000001</c:v>
                </c:pt>
                <c:pt idx="57">
                  <c:v>1363.0245</c:v>
                </c:pt>
                <c:pt idx="58">
                  <c:v>1360.2585000000001</c:v>
                </c:pt>
                <c:pt idx="59">
                  <c:v>1357.3245000000002</c:v>
                </c:pt>
                <c:pt idx="60">
                  <c:v>1354.6695</c:v>
                </c:pt>
                <c:pt idx="61">
                  <c:v>1352.2739999999999</c:v>
                </c:pt>
                <c:pt idx="62">
                  <c:v>1349.598</c:v>
                </c:pt>
                <c:pt idx="63">
                  <c:v>1347.4590000000001</c:v>
                </c:pt>
                <c:pt idx="64">
                  <c:v>1345.0245</c:v>
                </c:pt>
                <c:pt idx="65">
                  <c:v>1342.7909999999999</c:v>
                </c:pt>
                <c:pt idx="66">
                  <c:v>1340.4</c:v>
                </c:pt>
                <c:pt idx="67">
                  <c:v>1338.1935000000001</c:v>
                </c:pt>
                <c:pt idx="68">
                  <c:v>1335.9914999999999</c:v>
                </c:pt>
                <c:pt idx="69">
                  <c:v>1333.6995000000002</c:v>
                </c:pt>
                <c:pt idx="70">
                  <c:v>1331.6370000000002</c:v>
                </c:pt>
                <c:pt idx="71">
                  <c:v>1329.4005000000002</c:v>
                </c:pt>
                <c:pt idx="72">
                  <c:v>1327.4024999999999</c:v>
                </c:pt>
                <c:pt idx="73">
                  <c:v>1325.5409999999999</c:v>
                </c:pt>
                <c:pt idx="74">
                  <c:v>1323.4289999999999</c:v>
                </c:pt>
                <c:pt idx="75">
                  <c:v>1321.7414999999999</c:v>
                </c:pt>
                <c:pt idx="76">
                  <c:v>1319.7494999999999</c:v>
                </c:pt>
                <c:pt idx="77">
                  <c:v>1317.8955000000001</c:v>
                </c:pt>
                <c:pt idx="78">
                  <c:v>1315.9245000000001</c:v>
                </c:pt>
                <c:pt idx="79">
                  <c:v>1314.048</c:v>
                </c:pt>
                <c:pt idx="80">
                  <c:v>1312.1370000000002</c:v>
                </c:pt>
                <c:pt idx="81">
                  <c:v>1310.1750000000002</c:v>
                </c:pt>
                <c:pt idx="82">
                  <c:v>1308.2909999999999</c:v>
                </c:pt>
                <c:pt idx="83">
                  <c:v>1306.3004999999998</c:v>
                </c:pt>
                <c:pt idx="84">
                  <c:v>1304.5409999999999</c:v>
                </c:pt>
                <c:pt idx="85">
                  <c:v>1302.7739999999999</c:v>
                </c:pt>
                <c:pt idx="86">
                  <c:v>1300.9395</c:v>
                </c:pt>
                <c:pt idx="87">
                  <c:v>1299.2909999999999</c:v>
                </c:pt>
                <c:pt idx="88">
                  <c:v>1297.3995</c:v>
                </c:pt>
                <c:pt idx="89">
                  <c:v>1295.6849999999999</c:v>
                </c:pt>
                <c:pt idx="90">
                  <c:v>1293.8249999999998</c:v>
                </c:pt>
                <c:pt idx="91">
                  <c:v>1292.0325</c:v>
                </c:pt>
                <c:pt idx="92">
                  <c:v>1290.1935000000001</c:v>
                </c:pt>
                <c:pt idx="93">
                  <c:v>1288.2494999999999</c:v>
                </c:pt>
                <c:pt idx="94">
                  <c:v>1286.4914999999999</c:v>
                </c:pt>
                <c:pt idx="95">
                  <c:v>1284.4994999999999</c:v>
                </c:pt>
                <c:pt idx="96">
                  <c:v>1274.5409999999999</c:v>
                </c:pt>
                <c:pt idx="97">
                  <c:v>1271.9024999999999</c:v>
                </c:pt>
                <c:pt idx="98">
                  <c:v>1270.3664999999999</c:v>
                </c:pt>
                <c:pt idx="99">
                  <c:v>1269.1215</c:v>
                </c:pt>
                <c:pt idx="100">
                  <c:v>1267.6244999999999</c:v>
                </c:pt>
                <c:pt idx="101">
                  <c:v>1266.1935000000001</c:v>
                </c:pt>
                <c:pt idx="102">
                  <c:v>1264.6500000000001</c:v>
                </c:pt>
                <c:pt idx="103">
                  <c:v>1263.1455000000001</c:v>
                </c:pt>
                <c:pt idx="104">
                  <c:v>1261.548</c:v>
                </c:pt>
                <c:pt idx="105">
                  <c:v>1259.8755000000001</c:v>
                </c:pt>
                <c:pt idx="106">
                  <c:v>1258.2825</c:v>
                </c:pt>
                <c:pt idx="107">
                  <c:v>1256.6999999999998</c:v>
                </c:pt>
                <c:pt idx="108">
                  <c:v>1254.9195</c:v>
                </c:pt>
                <c:pt idx="109">
                  <c:v>1253.4195</c:v>
                </c:pt>
                <c:pt idx="110">
                  <c:v>1251.6434999999999</c:v>
                </c:pt>
                <c:pt idx="111">
                  <c:v>1250.202</c:v>
                </c:pt>
                <c:pt idx="112">
                  <c:v>1248.375</c:v>
                </c:pt>
                <c:pt idx="113">
                  <c:v>1246.7175</c:v>
                </c:pt>
                <c:pt idx="114">
                  <c:v>1244.8755000000001</c:v>
                </c:pt>
                <c:pt idx="115">
                  <c:v>1243.0889999999999</c:v>
                </c:pt>
                <c:pt idx="116">
                  <c:v>1241.25</c:v>
                </c:pt>
                <c:pt idx="117">
                  <c:v>1239.2745</c:v>
                </c:pt>
                <c:pt idx="118">
                  <c:v>1237.452</c:v>
                </c:pt>
                <c:pt idx="119">
                  <c:v>1235.3505</c:v>
                </c:pt>
                <c:pt idx="120">
                  <c:v>1231.2090000000001</c:v>
                </c:pt>
                <c:pt idx="121">
                  <c:v>1227.9435000000001</c:v>
                </c:pt>
                <c:pt idx="122">
                  <c:v>1224.2684999999999</c:v>
                </c:pt>
                <c:pt idx="123">
                  <c:v>1221.4590000000001</c:v>
                </c:pt>
                <c:pt idx="124">
                  <c:v>1218.2505000000001</c:v>
                </c:pt>
                <c:pt idx="125">
                  <c:v>1215.3389999999999</c:v>
                </c:pt>
                <c:pt idx="126">
                  <c:v>1212.2249999999999</c:v>
                </c:pt>
                <c:pt idx="127">
                  <c:v>1209.2909999999999</c:v>
                </c:pt>
                <c:pt idx="128">
                  <c:v>1206.3389999999999</c:v>
                </c:pt>
                <c:pt idx="129">
                  <c:v>1203.2505000000001</c:v>
                </c:pt>
                <c:pt idx="130">
                  <c:v>1200.3870000000002</c:v>
                </c:pt>
                <c:pt idx="131">
                  <c:v>1197.3254999999999</c:v>
                </c:pt>
                <c:pt idx="132">
                  <c:v>1166.1779999999999</c:v>
                </c:pt>
                <c:pt idx="133">
                  <c:v>1160.6610000000001</c:v>
                </c:pt>
                <c:pt idx="134">
                  <c:v>1159.8885</c:v>
                </c:pt>
                <c:pt idx="135">
                  <c:v>1159.2585000000001</c:v>
                </c:pt>
                <c:pt idx="136">
                  <c:v>1158.5504999999998</c:v>
                </c:pt>
                <c:pt idx="137">
                  <c:v>1157.6849999999999</c:v>
                </c:pt>
                <c:pt idx="138">
                  <c:v>1156.5255000000002</c:v>
                </c:pt>
                <c:pt idx="139">
                  <c:v>1155.2175</c:v>
                </c:pt>
                <c:pt idx="140">
                  <c:v>1153.6215</c:v>
                </c:pt>
                <c:pt idx="141">
                  <c:v>1151.7255</c:v>
                </c:pt>
                <c:pt idx="142">
                  <c:v>1149.75</c:v>
                </c:pt>
                <c:pt idx="143">
                  <c:v>1147.3995</c:v>
                </c:pt>
                <c:pt idx="144">
                  <c:v>1144.9845</c:v>
                </c:pt>
                <c:pt idx="145">
                  <c:v>1142.5155</c:v>
                </c:pt>
                <c:pt idx="146">
                  <c:v>1139.4645</c:v>
                </c:pt>
                <c:pt idx="147">
                  <c:v>1136.9024999999999</c:v>
                </c:pt>
                <c:pt idx="148">
                  <c:v>1133.8004999999998</c:v>
                </c:pt>
                <c:pt idx="149">
                  <c:v>1130.8785</c:v>
                </c:pt>
                <c:pt idx="150">
                  <c:v>1127.6745000000001</c:v>
                </c:pt>
                <c:pt idx="151">
                  <c:v>1124.5889999999999</c:v>
                </c:pt>
                <c:pt idx="152">
                  <c:v>1121.4675</c:v>
                </c:pt>
                <c:pt idx="153">
                  <c:v>1118.2004999999999</c:v>
                </c:pt>
                <c:pt idx="154">
                  <c:v>1115.1779999999999</c:v>
                </c:pt>
                <c:pt idx="155">
                  <c:v>1111.9005000000002</c:v>
                </c:pt>
                <c:pt idx="156">
                  <c:v>1108.8389999999999</c:v>
                </c:pt>
                <c:pt idx="157">
                  <c:v>1105.9349999999999</c:v>
                </c:pt>
                <c:pt idx="158">
                  <c:v>1102.527</c:v>
                </c:pt>
                <c:pt idx="159">
                  <c:v>1099.8150000000001</c:v>
                </c:pt>
                <c:pt idx="160">
                  <c:v>1096.6005</c:v>
                </c:pt>
                <c:pt idx="161">
                  <c:v>1093.6695</c:v>
                </c:pt>
                <c:pt idx="162">
                  <c:v>1090.5255000000002</c:v>
                </c:pt>
                <c:pt idx="163">
                  <c:v>1087.4760000000001</c:v>
                </c:pt>
                <c:pt idx="164">
                  <c:v>1084.4760000000001</c:v>
                </c:pt>
                <c:pt idx="165">
                  <c:v>1081.2494999999999</c:v>
                </c:pt>
                <c:pt idx="166">
                  <c:v>1078.3064999999999</c:v>
                </c:pt>
                <c:pt idx="167">
                  <c:v>1075.0994999999998</c:v>
                </c:pt>
                <c:pt idx="168">
                  <c:v>1072.0650000000001</c:v>
                </c:pt>
                <c:pt idx="169">
                  <c:v>1069.1370000000002</c:v>
                </c:pt>
                <c:pt idx="170">
                  <c:v>1065.6164999999999</c:v>
                </c:pt>
                <c:pt idx="171">
                  <c:v>1062.7739999999999</c:v>
                </c:pt>
                <c:pt idx="172">
                  <c:v>1059.375</c:v>
                </c:pt>
                <c:pt idx="173">
                  <c:v>1056.2655</c:v>
                </c:pt>
                <c:pt idx="174">
                  <c:v>1052.8499999999999</c:v>
                </c:pt>
                <c:pt idx="175">
                  <c:v>1049.6370000000002</c:v>
                </c:pt>
                <c:pt idx="176">
                  <c:v>1046.3715</c:v>
                </c:pt>
                <c:pt idx="177">
                  <c:v>1042.9005000000002</c:v>
                </c:pt>
                <c:pt idx="178">
                  <c:v>1039.7414999999999</c:v>
                </c:pt>
                <c:pt idx="179">
                  <c:v>1036.2494999999999</c:v>
                </c:pt>
                <c:pt idx="180">
                  <c:v>1032.8955000000001</c:v>
                </c:pt>
                <c:pt idx="181">
                  <c:v>1029.6524999999999</c:v>
                </c:pt>
                <c:pt idx="182">
                  <c:v>1025.9744999999998</c:v>
                </c:pt>
                <c:pt idx="183">
                  <c:v>1022.8064999999999</c:v>
                </c:pt>
                <c:pt idx="184">
                  <c:v>1019.2244999999999</c:v>
                </c:pt>
                <c:pt idx="185">
                  <c:v>1015.9349999999999</c:v>
                </c:pt>
                <c:pt idx="186">
                  <c:v>1012.3499999999999</c:v>
                </c:pt>
                <c:pt idx="187">
                  <c:v>1008.9435000000001</c:v>
                </c:pt>
                <c:pt idx="188">
                  <c:v>1005.5085000000001</c:v>
                </c:pt>
                <c:pt idx="189">
                  <c:v>1001.9250000000001</c:v>
                </c:pt>
                <c:pt idx="190">
                  <c:v>998.61299999999994</c:v>
                </c:pt>
                <c:pt idx="191">
                  <c:v>994.9994999999999</c:v>
                </c:pt>
                <c:pt idx="192">
                  <c:v>991.572</c:v>
                </c:pt>
                <c:pt idx="193">
                  <c:v>988.35450000000003</c:v>
                </c:pt>
                <c:pt idx="194">
                  <c:v>984.5625</c:v>
                </c:pt>
                <c:pt idx="195">
                  <c:v>981.48450000000003</c:v>
                </c:pt>
                <c:pt idx="196">
                  <c:v>977.8755000000001</c:v>
                </c:pt>
                <c:pt idx="197">
                  <c:v>974.61299999999994</c:v>
                </c:pt>
                <c:pt idx="198">
                  <c:v>970.97550000000001</c:v>
                </c:pt>
                <c:pt idx="199">
                  <c:v>967.62149999999997</c:v>
                </c:pt>
                <c:pt idx="200">
                  <c:v>964.25850000000014</c:v>
                </c:pt>
                <c:pt idx="201">
                  <c:v>960.67500000000007</c:v>
                </c:pt>
                <c:pt idx="202">
                  <c:v>957.43499999999995</c:v>
                </c:pt>
                <c:pt idx="203">
                  <c:v>955.2494999999999</c:v>
                </c:pt>
                <c:pt idx="204">
                  <c:v>953.25</c:v>
                </c:pt>
                <c:pt idx="205">
                  <c:v>951.12149999999997</c:v>
                </c:pt>
                <c:pt idx="206">
                  <c:v>948.5625</c:v>
                </c:pt>
                <c:pt idx="207">
                  <c:v>946.13700000000006</c:v>
                </c:pt>
                <c:pt idx="208">
                  <c:v>943.19999999999993</c:v>
                </c:pt>
                <c:pt idx="209">
                  <c:v>940.23450000000003</c:v>
                </c:pt>
                <c:pt idx="210">
                  <c:v>936.90000000000009</c:v>
                </c:pt>
                <c:pt idx="211">
                  <c:v>933.31500000000005</c:v>
                </c:pt>
                <c:pt idx="212">
                  <c:v>929.58899999999994</c:v>
                </c:pt>
                <c:pt idx="213">
                  <c:v>925.60050000000001</c:v>
                </c:pt>
                <c:pt idx="214">
                  <c:v>921.84750000000008</c:v>
                </c:pt>
                <c:pt idx="215">
                  <c:v>917.7494999999999</c:v>
                </c:pt>
                <c:pt idx="216">
                  <c:v>913.83899999999994</c:v>
                </c:pt>
                <c:pt idx="217">
                  <c:v>910.16100000000006</c:v>
                </c:pt>
                <c:pt idx="218">
                  <c:v>905.83950000000004</c:v>
                </c:pt>
                <c:pt idx="219">
                  <c:v>902.37149999999997</c:v>
                </c:pt>
                <c:pt idx="220">
                  <c:v>898.34999999999991</c:v>
                </c:pt>
                <c:pt idx="221">
                  <c:v>894.702</c:v>
                </c:pt>
                <c:pt idx="222">
                  <c:v>890.80049999999994</c:v>
                </c:pt>
                <c:pt idx="223">
                  <c:v>887.15249999999992</c:v>
                </c:pt>
                <c:pt idx="224">
                  <c:v>883.572</c:v>
                </c:pt>
                <c:pt idx="225">
                  <c:v>879.94950000000006</c:v>
                </c:pt>
                <c:pt idx="226">
                  <c:v>877.33049999999992</c:v>
                </c:pt>
                <c:pt idx="227">
                  <c:v>874.17450000000008</c:v>
                </c:pt>
                <c:pt idx="228">
                  <c:v>870.94350000000009</c:v>
                </c:pt>
                <c:pt idx="229">
                  <c:v>868.20900000000006</c:v>
                </c:pt>
                <c:pt idx="230">
                  <c:v>865.18949999999995</c:v>
                </c:pt>
                <c:pt idx="231">
                  <c:v>862.5</c:v>
                </c:pt>
                <c:pt idx="232">
                  <c:v>859.42500000000007</c:v>
                </c:pt>
                <c:pt idx="233">
                  <c:v>856.5</c:v>
                </c:pt>
                <c:pt idx="234">
                  <c:v>853.2494999999999</c:v>
                </c:pt>
                <c:pt idx="235">
                  <c:v>848.39549999999997</c:v>
                </c:pt>
                <c:pt idx="236">
                  <c:v>844.28250000000003</c:v>
                </c:pt>
                <c:pt idx="237">
                  <c:v>840.17549999999994</c:v>
                </c:pt>
                <c:pt idx="238">
                  <c:v>836.63700000000006</c:v>
                </c:pt>
                <c:pt idx="239">
                  <c:v>832.92450000000008</c:v>
                </c:pt>
                <c:pt idx="240">
                  <c:v>829.62149999999997</c:v>
                </c:pt>
                <c:pt idx="241">
                  <c:v>826.52399999999989</c:v>
                </c:pt>
                <c:pt idx="242">
                  <c:v>823.0440000000001</c:v>
                </c:pt>
                <c:pt idx="243">
                  <c:v>820.33049999999992</c:v>
                </c:pt>
                <c:pt idx="244">
                  <c:v>817.09949999999992</c:v>
                </c:pt>
                <c:pt idx="245">
                  <c:v>814.40249999999992</c:v>
                </c:pt>
                <c:pt idx="246">
                  <c:v>811.30049999999994</c:v>
                </c:pt>
                <c:pt idx="247">
                  <c:v>808.548</c:v>
                </c:pt>
                <c:pt idx="248">
                  <c:v>805.83899999999994</c:v>
                </c:pt>
                <c:pt idx="249">
                  <c:v>802.94999999999993</c:v>
                </c:pt>
                <c:pt idx="250">
                  <c:v>799.88700000000006</c:v>
                </c:pt>
                <c:pt idx="251">
                  <c:v>797.80049999999994</c:v>
                </c:pt>
                <c:pt idx="252">
                  <c:v>796.25850000000014</c:v>
                </c:pt>
                <c:pt idx="253">
                  <c:v>795</c:v>
                </c:pt>
                <c:pt idx="254">
                  <c:v>793.55399999999986</c:v>
                </c:pt>
                <c:pt idx="255">
                  <c:v>791.952</c:v>
                </c:pt>
                <c:pt idx="256">
                  <c:v>790.09949999999992</c:v>
                </c:pt>
                <c:pt idx="257">
                  <c:v>788.03250000000003</c:v>
                </c:pt>
                <c:pt idx="258">
                  <c:v>785.65050000000008</c:v>
                </c:pt>
                <c:pt idx="259">
                  <c:v>783.19350000000009</c:v>
                </c:pt>
                <c:pt idx="260">
                  <c:v>780.62850000000003</c:v>
                </c:pt>
                <c:pt idx="261">
                  <c:v>777.70049999999992</c:v>
                </c:pt>
                <c:pt idx="262">
                  <c:v>775.01549999999997</c:v>
                </c:pt>
                <c:pt idx="263">
                  <c:v>771.94950000000006</c:v>
                </c:pt>
                <c:pt idx="264">
                  <c:v>768.96749999999997</c:v>
                </c:pt>
                <c:pt idx="265">
                  <c:v>766.16100000000006</c:v>
                </c:pt>
                <c:pt idx="266">
                  <c:v>762.8565000000001</c:v>
                </c:pt>
                <c:pt idx="267">
                  <c:v>760.20899999999995</c:v>
                </c:pt>
                <c:pt idx="268">
                  <c:v>757.05</c:v>
                </c:pt>
                <c:pt idx="269">
                  <c:v>754.452</c:v>
                </c:pt>
                <c:pt idx="270">
                  <c:v>752.35050000000001</c:v>
                </c:pt>
                <c:pt idx="271">
                  <c:v>749.952</c:v>
                </c:pt>
                <c:pt idx="272">
                  <c:v>747.822</c:v>
                </c:pt>
                <c:pt idx="273">
                  <c:v>745.5</c:v>
                </c:pt>
                <c:pt idx="274">
                  <c:v>743.226</c:v>
                </c:pt>
                <c:pt idx="275">
                  <c:v>740.7</c:v>
                </c:pt>
                <c:pt idx="276">
                  <c:v>738.14549999999997</c:v>
                </c:pt>
                <c:pt idx="277">
                  <c:v>735.58050000000003</c:v>
                </c:pt>
                <c:pt idx="278">
                  <c:v>732.62099999999998</c:v>
                </c:pt>
                <c:pt idx="279">
                  <c:v>730.06499999999994</c:v>
                </c:pt>
                <c:pt idx="280">
                  <c:v>727.09950000000003</c:v>
                </c:pt>
                <c:pt idx="281">
                  <c:v>724.40250000000003</c:v>
                </c:pt>
                <c:pt idx="282">
                  <c:v>721.45049999999992</c:v>
                </c:pt>
                <c:pt idx="283">
                  <c:v>718.69350000000009</c:v>
                </c:pt>
                <c:pt idx="284">
                  <c:v>715.88699999999994</c:v>
                </c:pt>
                <c:pt idx="285">
                  <c:v>712.95</c:v>
                </c:pt>
                <c:pt idx="286">
                  <c:v>710.37149999999997</c:v>
                </c:pt>
                <c:pt idx="287">
                  <c:v>707.44949999999994</c:v>
                </c:pt>
                <c:pt idx="288">
                  <c:v>704.90250000000003</c:v>
                </c:pt>
                <c:pt idx="289">
                  <c:v>702.38699999999994</c:v>
                </c:pt>
                <c:pt idx="290">
                  <c:v>699.4815000000001</c:v>
                </c:pt>
                <c:pt idx="291">
                  <c:v>697.20899999999995</c:v>
                </c:pt>
                <c:pt idx="292">
                  <c:v>694.5</c:v>
                </c:pt>
                <c:pt idx="293">
                  <c:v>692.12850000000003</c:v>
                </c:pt>
                <c:pt idx="294">
                  <c:v>689.44949999999994</c:v>
                </c:pt>
                <c:pt idx="295">
                  <c:v>687.09749999999997</c:v>
                </c:pt>
                <c:pt idx="296">
                  <c:v>684.62850000000003</c:v>
                </c:pt>
                <c:pt idx="297">
                  <c:v>682.09950000000003</c:v>
                </c:pt>
                <c:pt idx="298">
                  <c:v>679.79100000000005</c:v>
                </c:pt>
                <c:pt idx="299">
                  <c:v>677.35050000000001</c:v>
                </c:pt>
                <c:pt idx="300">
                  <c:v>674.952</c:v>
                </c:pt>
                <c:pt idx="301">
                  <c:v>672.822</c:v>
                </c:pt>
                <c:pt idx="302">
                  <c:v>670.2315000000001</c:v>
                </c:pt>
                <c:pt idx="303">
                  <c:v>668.12850000000003</c:v>
                </c:pt>
                <c:pt idx="304">
                  <c:v>665.84999999999991</c:v>
                </c:pt>
                <c:pt idx="305">
                  <c:v>663.58050000000003</c:v>
                </c:pt>
                <c:pt idx="306">
                  <c:v>661.2</c:v>
                </c:pt>
                <c:pt idx="307">
                  <c:v>658.93500000000006</c:v>
                </c:pt>
                <c:pt idx="308">
                  <c:v>656.75850000000003</c:v>
                </c:pt>
                <c:pt idx="309">
                  <c:v>654.34950000000003</c:v>
                </c:pt>
                <c:pt idx="310">
                  <c:v>652.20899999999995</c:v>
                </c:pt>
                <c:pt idx="311">
                  <c:v>649.90049999999997</c:v>
                </c:pt>
                <c:pt idx="312">
                  <c:v>647.66100000000006</c:v>
                </c:pt>
                <c:pt idx="313">
                  <c:v>645.678</c:v>
                </c:pt>
                <c:pt idx="314">
                  <c:v>643.2315000000001</c:v>
                </c:pt>
                <c:pt idx="315">
                  <c:v>641.178</c:v>
                </c:pt>
                <c:pt idx="316">
                  <c:v>639</c:v>
                </c:pt>
                <c:pt idx="317">
                  <c:v>636.87149999999997</c:v>
                </c:pt>
                <c:pt idx="318">
                  <c:v>634.60050000000001</c:v>
                </c:pt>
                <c:pt idx="319">
                  <c:v>632.46749999999997</c:v>
                </c:pt>
                <c:pt idx="320">
                  <c:v>630.38699999999994</c:v>
                </c:pt>
                <c:pt idx="321">
                  <c:v>628.09950000000003</c:v>
                </c:pt>
                <c:pt idx="322">
                  <c:v>626.08050000000003</c:v>
                </c:pt>
                <c:pt idx="323">
                  <c:v>623.80050000000006</c:v>
                </c:pt>
                <c:pt idx="324">
                  <c:v>621.774</c:v>
                </c:pt>
                <c:pt idx="325">
                  <c:v>619.83899999999994</c:v>
                </c:pt>
                <c:pt idx="326">
                  <c:v>617.68949999999995</c:v>
                </c:pt>
                <c:pt idx="327">
                  <c:v>615.774</c:v>
                </c:pt>
                <c:pt idx="328">
                  <c:v>613.69949999999994</c:v>
                </c:pt>
                <c:pt idx="329">
                  <c:v>611.80649999999991</c:v>
                </c:pt>
                <c:pt idx="330">
                  <c:v>609.75</c:v>
                </c:pt>
                <c:pt idx="331">
                  <c:v>608.322</c:v>
                </c:pt>
                <c:pt idx="332">
                  <c:v>607.20899999999995</c:v>
                </c:pt>
                <c:pt idx="333">
                  <c:v>606.10050000000001</c:v>
                </c:pt>
                <c:pt idx="334">
                  <c:v>604.98450000000003</c:v>
                </c:pt>
                <c:pt idx="335">
                  <c:v>603.55050000000006</c:v>
                </c:pt>
                <c:pt idx="336">
                  <c:v>602.08050000000003</c:v>
                </c:pt>
                <c:pt idx="337">
                  <c:v>600.62850000000003</c:v>
                </c:pt>
                <c:pt idx="338">
                  <c:v>598.66050000000007</c:v>
                </c:pt>
                <c:pt idx="339">
                  <c:v>596.952</c:v>
                </c:pt>
                <c:pt idx="340">
                  <c:v>594.90000000000009</c:v>
                </c:pt>
                <c:pt idx="341">
                  <c:v>592.93500000000006</c:v>
                </c:pt>
                <c:pt idx="342">
                  <c:v>590.70000000000005</c:v>
                </c:pt>
                <c:pt idx="343">
                  <c:v>588.58050000000003</c:v>
                </c:pt>
                <c:pt idx="344">
                  <c:v>586.40250000000003</c:v>
                </c:pt>
                <c:pt idx="345">
                  <c:v>584.09999999999991</c:v>
                </c:pt>
                <c:pt idx="346">
                  <c:v>583.5</c:v>
                </c:pt>
                <c:pt idx="347">
                  <c:v>582.59999999999991</c:v>
                </c:pt>
                <c:pt idx="348">
                  <c:v>581.226</c:v>
                </c:pt>
                <c:pt idx="349">
                  <c:v>579.62850000000003</c:v>
                </c:pt>
                <c:pt idx="350">
                  <c:v>577.55399999999997</c:v>
                </c:pt>
                <c:pt idx="351">
                  <c:v>575.61300000000006</c:v>
                </c:pt>
                <c:pt idx="352">
                  <c:v>573.29999999999995</c:v>
                </c:pt>
                <c:pt idx="353">
                  <c:v>571.06499999999994</c:v>
                </c:pt>
                <c:pt idx="354">
                  <c:v>568.65000000000009</c:v>
                </c:pt>
                <c:pt idx="355">
                  <c:v>566.37149999999997</c:v>
                </c:pt>
                <c:pt idx="356">
                  <c:v>564.09749999999997</c:v>
                </c:pt>
                <c:pt idx="357">
                  <c:v>561.85050000000001</c:v>
                </c:pt>
                <c:pt idx="358">
                  <c:v>559.79100000000005</c:v>
                </c:pt>
                <c:pt idx="359">
                  <c:v>557.59950000000003</c:v>
                </c:pt>
                <c:pt idx="360">
                  <c:v>555.87149999999997</c:v>
                </c:pt>
                <c:pt idx="361">
                  <c:v>554.322</c:v>
                </c:pt>
                <c:pt idx="362">
                  <c:v>552.4815000000001</c:v>
                </c:pt>
                <c:pt idx="363">
                  <c:v>550.93500000000006</c:v>
                </c:pt>
                <c:pt idx="364">
                  <c:v>548.95049999999992</c:v>
                </c:pt>
                <c:pt idx="365">
                  <c:v>547.25850000000003</c:v>
                </c:pt>
                <c:pt idx="366">
                  <c:v>545.20049999999992</c:v>
                </c:pt>
                <c:pt idx="367">
                  <c:v>543.24149999999997</c:v>
                </c:pt>
                <c:pt idx="368">
                  <c:v>541.35450000000003</c:v>
                </c:pt>
                <c:pt idx="369">
                  <c:v>539.35050000000001</c:v>
                </c:pt>
                <c:pt idx="370">
                  <c:v>537.53250000000003</c:v>
                </c:pt>
                <c:pt idx="371">
                  <c:v>535.60050000000001</c:v>
                </c:pt>
                <c:pt idx="372">
                  <c:v>533.80649999999991</c:v>
                </c:pt>
                <c:pt idx="373">
                  <c:v>532.11300000000006</c:v>
                </c:pt>
                <c:pt idx="374">
                  <c:v>530.63850000000002</c:v>
                </c:pt>
                <c:pt idx="375">
                  <c:v>529.64549999999997</c:v>
                </c:pt>
                <c:pt idx="376">
                  <c:v>527.80050000000006</c:v>
                </c:pt>
                <c:pt idx="377">
                  <c:v>526.25850000000003</c:v>
                </c:pt>
                <c:pt idx="378">
                  <c:v>524.65049999999997</c:v>
                </c:pt>
                <c:pt idx="379">
                  <c:v>523.01549999999997</c:v>
                </c:pt>
                <c:pt idx="380">
                  <c:v>521.41949999999997</c:v>
                </c:pt>
                <c:pt idx="381">
                  <c:v>519.75</c:v>
                </c:pt>
                <c:pt idx="382">
                  <c:v>518.178</c:v>
                </c:pt>
                <c:pt idx="383">
                  <c:v>516.55050000000006</c:v>
                </c:pt>
                <c:pt idx="384">
                  <c:v>516.048</c:v>
                </c:pt>
                <c:pt idx="385">
                  <c:v>515.46749999999997</c:v>
                </c:pt>
                <c:pt idx="386">
                  <c:v>514.5</c:v>
                </c:pt>
                <c:pt idx="387">
                  <c:v>513.38699999999994</c:v>
                </c:pt>
                <c:pt idx="388">
                  <c:v>511.84950000000003</c:v>
                </c:pt>
                <c:pt idx="389">
                  <c:v>510.19350000000003</c:v>
                </c:pt>
                <c:pt idx="390">
                  <c:v>508.39949999999999</c:v>
                </c:pt>
                <c:pt idx="391">
                  <c:v>506.61300000000006</c:v>
                </c:pt>
                <c:pt idx="392">
                  <c:v>504.91949999999997</c:v>
                </c:pt>
                <c:pt idx="393">
                  <c:v>503.05050000000006</c:v>
                </c:pt>
                <c:pt idx="394">
                  <c:v>501.48449999999997</c:v>
                </c:pt>
                <c:pt idx="395">
                  <c:v>499.69949999999994</c:v>
                </c:pt>
                <c:pt idx="396">
                  <c:v>498.19350000000003</c:v>
                </c:pt>
                <c:pt idx="397">
                  <c:v>496.839</c:v>
                </c:pt>
                <c:pt idx="398">
                  <c:v>495.10650000000004</c:v>
                </c:pt>
                <c:pt idx="399">
                  <c:v>493.74149999999997</c:v>
                </c:pt>
                <c:pt idx="400">
                  <c:v>492.04950000000002</c:v>
                </c:pt>
                <c:pt idx="401">
                  <c:v>490.69350000000003</c:v>
                </c:pt>
                <c:pt idx="402">
                  <c:v>489.19949999999994</c:v>
                </c:pt>
                <c:pt idx="403">
                  <c:v>487.79100000000005</c:v>
                </c:pt>
                <c:pt idx="404">
                  <c:v>486.48449999999997</c:v>
                </c:pt>
                <c:pt idx="405">
                  <c:v>485.20049999999998</c:v>
                </c:pt>
                <c:pt idx="406">
                  <c:v>483.96749999999997</c:v>
                </c:pt>
                <c:pt idx="407">
                  <c:v>482.70000000000005</c:v>
                </c:pt>
                <c:pt idx="408">
                  <c:v>481.452</c:v>
                </c:pt>
                <c:pt idx="409">
                  <c:v>480.339</c:v>
                </c:pt>
                <c:pt idx="410">
                  <c:v>478.98150000000004</c:v>
                </c:pt>
                <c:pt idx="411">
                  <c:v>477.91949999999997</c:v>
                </c:pt>
                <c:pt idx="412">
                  <c:v>476.65049999999997</c:v>
                </c:pt>
                <c:pt idx="413">
                  <c:v>475.5</c:v>
                </c:pt>
                <c:pt idx="414">
                  <c:v>474.19949999999994</c:v>
                </c:pt>
                <c:pt idx="415">
                  <c:v>473.03250000000003</c:v>
                </c:pt>
                <c:pt idx="416">
                  <c:v>471.822</c:v>
                </c:pt>
                <c:pt idx="417">
                  <c:v>470.59950000000003</c:v>
                </c:pt>
                <c:pt idx="418">
                  <c:v>469.40250000000003</c:v>
                </c:pt>
                <c:pt idx="419">
                  <c:v>468.25049999999999</c:v>
                </c:pt>
                <c:pt idx="420">
                  <c:v>466.98449999999997</c:v>
                </c:pt>
                <c:pt idx="421">
                  <c:v>465.87150000000003</c:v>
                </c:pt>
                <c:pt idx="422">
                  <c:v>464.48249999999996</c:v>
                </c:pt>
                <c:pt idx="423">
                  <c:v>463.452</c:v>
                </c:pt>
                <c:pt idx="424">
                  <c:v>462.29999999999995</c:v>
                </c:pt>
                <c:pt idx="425">
                  <c:v>461.178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290-45FF-823D-857AD61FB73F}"/>
            </c:ext>
          </c:extLst>
        </c:ser>
        <c:ser>
          <c:idx val="22"/>
          <c:order val="22"/>
          <c:tx>
            <c:strRef>
              <c:f>'FPSO1 Otim'!$Y$5</c:f>
              <c:strCache>
                <c:ptCount val="1"/>
                <c:pt idx="0">
                  <c:v>P23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Otim'!$Y$6:$Y$733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197.40300000000002</c:v>
                </c:pt>
                <c:pt idx="3">
                  <c:v>941.61899999999991</c:v>
                </c:pt>
                <c:pt idx="4">
                  <c:v>945.22800000000007</c:v>
                </c:pt>
                <c:pt idx="5">
                  <c:v>955.452</c:v>
                </c:pt>
                <c:pt idx="6">
                  <c:v>959.97900000000004</c:v>
                </c:pt>
                <c:pt idx="7">
                  <c:v>958.34850000000006</c:v>
                </c:pt>
                <c:pt idx="8">
                  <c:v>951.6345</c:v>
                </c:pt>
                <c:pt idx="9">
                  <c:v>941.51400000000012</c:v>
                </c:pt>
                <c:pt idx="10">
                  <c:v>926.92949999999996</c:v>
                </c:pt>
                <c:pt idx="11">
                  <c:v>910.67250000000001</c:v>
                </c:pt>
                <c:pt idx="12">
                  <c:v>892.77</c:v>
                </c:pt>
                <c:pt idx="13">
                  <c:v>873.0809999999999</c:v>
                </c:pt>
                <c:pt idx="14">
                  <c:v>855.12599999999998</c:v>
                </c:pt>
                <c:pt idx="15">
                  <c:v>836.38350000000014</c:v>
                </c:pt>
                <c:pt idx="16">
                  <c:v>816.58049999999992</c:v>
                </c:pt>
                <c:pt idx="17">
                  <c:v>801.16350000000011</c:v>
                </c:pt>
                <c:pt idx="18">
                  <c:v>785.83349999999996</c:v>
                </c:pt>
                <c:pt idx="19">
                  <c:v>773.75549999999998</c:v>
                </c:pt>
                <c:pt idx="20">
                  <c:v>761.35799999999995</c:v>
                </c:pt>
                <c:pt idx="21">
                  <c:v>751.03649999999993</c:v>
                </c:pt>
                <c:pt idx="22">
                  <c:v>740.92049999999995</c:v>
                </c:pt>
                <c:pt idx="23">
                  <c:v>732.2835</c:v>
                </c:pt>
                <c:pt idx="24">
                  <c:v>724.39649999999995</c:v>
                </c:pt>
                <c:pt idx="25">
                  <c:v>716.88149999999996</c:v>
                </c:pt>
                <c:pt idx="26">
                  <c:v>710.625</c:v>
                </c:pt>
                <c:pt idx="27">
                  <c:v>704.45249999999999</c:v>
                </c:pt>
                <c:pt idx="28">
                  <c:v>693.77699999999993</c:v>
                </c:pt>
                <c:pt idx="29">
                  <c:v>688.71900000000005</c:v>
                </c:pt>
                <c:pt idx="30">
                  <c:v>684.14850000000001</c:v>
                </c:pt>
                <c:pt idx="31">
                  <c:v>680.78550000000007</c:v>
                </c:pt>
                <c:pt idx="32">
                  <c:v>677.10599999999999</c:v>
                </c:pt>
                <c:pt idx="33">
                  <c:v>673.98450000000003</c:v>
                </c:pt>
                <c:pt idx="34">
                  <c:v>670.83150000000001</c:v>
                </c:pt>
                <c:pt idx="35">
                  <c:v>668.05949999999996</c:v>
                </c:pt>
                <c:pt idx="36">
                  <c:v>665.43149999999991</c:v>
                </c:pt>
                <c:pt idx="37">
                  <c:v>662.77200000000005</c:v>
                </c:pt>
                <c:pt idx="38">
                  <c:v>660.38400000000001</c:v>
                </c:pt>
                <c:pt idx="39">
                  <c:v>657.85950000000003</c:v>
                </c:pt>
                <c:pt idx="40">
                  <c:v>655.61249999999995</c:v>
                </c:pt>
                <c:pt idx="41">
                  <c:v>653.56200000000001</c:v>
                </c:pt>
                <c:pt idx="42">
                  <c:v>651.22050000000002</c:v>
                </c:pt>
                <c:pt idx="43">
                  <c:v>649.38750000000005</c:v>
                </c:pt>
                <c:pt idx="44">
                  <c:v>647.28150000000005</c:v>
                </c:pt>
                <c:pt idx="45">
                  <c:v>645.38400000000001</c:v>
                </c:pt>
                <c:pt idx="46">
                  <c:v>643.33799999999997</c:v>
                </c:pt>
                <c:pt idx="47">
                  <c:v>641.45849999999996</c:v>
                </c:pt>
                <c:pt idx="48">
                  <c:v>639.59249999999997</c:v>
                </c:pt>
                <c:pt idx="49">
                  <c:v>637.65899999999999</c:v>
                </c:pt>
                <c:pt idx="50">
                  <c:v>635.92200000000003</c:v>
                </c:pt>
                <c:pt idx="51">
                  <c:v>634.04700000000003</c:v>
                </c:pt>
                <c:pt idx="52">
                  <c:v>632.34300000000007</c:v>
                </c:pt>
                <c:pt idx="53">
                  <c:v>630.77099999999996</c:v>
                </c:pt>
                <c:pt idx="54">
                  <c:v>628.9425</c:v>
                </c:pt>
                <c:pt idx="55">
                  <c:v>627.48450000000003</c:v>
                </c:pt>
                <c:pt idx="56">
                  <c:v>625.78499999999997</c:v>
                </c:pt>
                <c:pt idx="57">
                  <c:v>624.23849999999993</c:v>
                </c:pt>
                <c:pt idx="58">
                  <c:v>622.57500000000005</c:v>
                </c:pt>
                <c:pt idx="59">
                  <c:v>621.00900000000001</c:v>
                </c:pt>
                <c:pt idx="60">
                  <c:v>619.47300000000007</c:v>
                </c:pt>
                <c:pt idx="61">
                  <c:v>617.87250000000006</c:v>
                </c:pt>
                <c:pt idx="62">
                  <c:v>616.42499999999995</c:v>
                </c:pt>
                <c:pt idx="63">
                  <c:v>614.84699999999998</c:v>
                </c:pt>
                <c:pt idx="64">
                  <c:v>613.428</c:v>
                </c:pt>
                <c:pt idx="65">
                  <c:v>612.07500000000005</c:v>
                </c:pt>
                <c:pt idx="66">
                  <c:v>610.58399999999995</c:v>
                </c:pt>
                <c:pt idx="67">
                  <c:v>609.327</c:v>
                </c:pt>
                <c:pt idx="68">
                  <c:v>607.91249999999991</c:v>
                </c:pt>
                <c:pt idx="69">
                  <c:v>606.63149999999996</c:v>
                </c:pt>
                <c:pt idx="70">
                  <c:v>605.24699999999996</c:v>
                </c:pt>
                <c:pt idx="71">
                  <c:v>603.94650000000001</c:v>
                </c:pt>
                <c:pt idx="72">
                  <c:v>602.65800000000002</c:v>
                </c:pt>
                <c:pt idx="73">
                  <c:v>601.30349999999999</c:v>
                </c:pt>
                <c:pt idx="74">
                  <c:v>600.07799999999997</c:v>
                </c:pt>
                <c:pt idx="75">
                  <c:v>598.74750000000006</c:v>
                </c:pt>
                <c:pt idx="76">
                  <c:v>593.178</c:v>
                </c:pt>
                <c:pt idx="77">
                  <c:v>591.59850000000006</c:v>
                </c:pt>
                <c:pt idx="78">
                  <c:v>590.52449999999999</c:v>
                </c:pt>
                <c:pt idx="79">
                  <c:v>589.65750000000003</c:v>
                </c:pt>
                <c:pt idx="80">
                  <c:v>588.66300000000001</c:v>
                </c:pt>
                <c:pt idx="81">
                  <c:v>587.74649999999997</c:v>
                </c:pt>
                <c:pt idx="82">
                  <c:v>586.75049999999999</c:v>
                </c:pt>
                <c:pt idx="83">
                  <c:v>585.81000000000006</c:v>
                </c:pt>
                <c:pt idx="84">
                  <c:v>584.87850000000003</c:v>
                </c:pt>
                <c:pt idx="85">
                  <c:v>583.875</c:v>
                </c:pt>
                <c:pt idx="86">
                  <c:v>582.96749999999997</c:v>
                </c:pt>
                <c:pt idx="87">
                  <c:v>582.19350000000009</c:v>
                </c:pt>
                <c:pt idx="88">
                  <c:v>581.10450000000003</c:v>
                </c:pt>
                <c:pt idx="89">
                  <c:v>580.28250000000003</c:v>
                </c:pt>
                <c:pt idx="90">
                  <c:v>579.32849999999996</c:v>
                </c:pt>
                <c:pt idx="91">
                  <c:v>578.56499999999994</c:v>
                </c:pt>
                <c:pt idx="92">
                  <c:v>577.64400000000001</c:v>
                </c:pt>
                <c:pt idx="93">
                  <c:v>576.81000000000006</c:v>
                </c:pt>
                <c:pt idx="94">
                  <c:v>575.90699999999993</c:v>
                </c:pt>
                <c:pt idx="95">
                  <c:v>575.04449999999997</c:v>
                </c:pt>
                <c:pt idx="96">
                  <c:v>574.16700000000003</c:v>
                </c:pt>
                <c:pt idx="97">
                  <c:v>573.25049999999999</c:v>
                </c:pt>
                <c:pt idx="98">
                  <c:v>572.39549999999997</c:v>
                </c:pt>
                <c:pt idx="99">
                  <c:v>571.46849999999995</c:v>
                </c:pt>
                <c:pt idx="100">
                  <c:v>567.6105</c:v>
                </c:pt>
                <c:pt idx="101">
                  <c:v>565.78499999999997</c:v>
                </c:pt>
                <c:pt idx="102">
                  <c:v>564.375</c:v>
                </c:pt>
                <c:pt idx="103">
                  <c:v>563.40750000000003</c:v>
                </c:pt>
                <c:pt idx="104">
                  <c:v>562.29300000000001</c:v>
                </c:pt>
                <c:pt idx="105">
                  <c:v>561.25350000000003</c:v>
                </c:pt>
                <c:pt idx="106">
                  <c:v>560.11950000000002</c:v>
                </c:pt>
                <c:pt idx="107">
                  <c:v>559.02149999999995</c:v>
                </c:pt>
                <c:pt idx="108">
                  <c:v>557.90250000000003</c:v>
                </c:pt>
                <c:pt idx="109">
                  <c:v>556.69350000000009</c:v>
                </c:pt>
                <c:pt idx="110">
                  <c:v>555.5625</c:v>
                </c:pt>
                <c:pt idx="111">
                  <c:v>554.29349999999999</c:v>
                </c:pt>
                <c:pt idx="112">
                  <c:v>538.2405</c:v>
                </c:pt>
                <c:pt idx="113">
                  <c:v>535.851</c:v>
                </c:pt>
                <c:pt idx="114">
                  <c:v>535.69350000000009</c:v>
                </c:pt>
                <c:pt idx="115">
                  <c:v>535.58399999999995</c:v>
                </c:pt>
                <c:pt idx="116">
                  <c:v>535.45650000000001</c:v>
                </c:pt>
                <c:pt idx="117">
                  <c:v>535.23450000000003</c:v>
                </c:pt>
                <c:pt idx="118">
                  <c:v>534.86850000000004</c:v>
                </c:pt>
                <c:pt idx="119">
                  <c:v>534.39300000000003</c:v>
                </c:pt>
                <c:pt idx="120">
                  <c:v>533.82449999999994</c:v>
                </c:pt>
                <c:pt idx="121">
                  <c:v>533.12549999999999</c:v>
                </c:pt>
                <c:pt idx="122">
                  <c:v>532.41600000000005</c:v>
                </c:pt>
                <c:pt idx="123">
                  <c:v>531.55050000000006</c:v>
                </c:pt>
                <c:pt idx="124">
                  <c:v>530.67899999999997</c:v>
                </c:pt>
                <c:pt idx="125">
                  <c:v>529.82100000000003</c:v>
                </c:pt>
                <c:pt idx="126">
                  <c:v>528.78300000000002</c:v>
                </c:pt>
                <c:pt idx="127">
                  <c:v>527.94600000000003</c:v>
                </c:pt>
                <c:pt idx="128">
                  <c:v>526.96800000000007</c:v>
                </c:pt>
                <c:pt idx="129">
                  <c:v>526.08299999999997</c:v>
                </c:pt>
                <c:pt idx="130">
                  <c:v>525.13799999999992</c:v>
                </c:pt>
                <c:pt idx="131">
                  <c:v>524.25</c:v>
                </c:pt>
                <c:pt idx="132">
                  <c:v>523.41</c:v>
                </c:pt>
                <c:pt idx="133">
                  <c:v>522.54300000000001</c:v>
                </c:pt>
                <c:pt idx="134">
                  <c:v>521.79449999999997</c:v>
                </c:pt>
                <c:pt idx="135">
                  <c:v>521.00549999999998</c:v>
                </c:pt>
                <c:pt idx="136">
                  <c:v>520.31850000000009</c:v>
                </c:pt>
                <c:pt idx="137">
                  <c:v>519.702</c:v>
                </c:pt>
                <c:pt idx="138">
                  <c:v>519.01350000000002</c:v>
                </c:pt>
                <c:pt idx="139">
                  <c:v>518.49149999999997</c:v>
                </c:pt>
                <c:pt idx="140">
                  <c:v>517.92450000000008</c:v>
                </c:pt>
                <c:pt idx="141">
                  <c:v>517.42200000000003</c:v>
                </c:pt>
                <c:pt idx="142">
                  <c:v>516.91200000000003</c:v>
                </c:pt>
                <c:pt idx="143">
                  <c:v>516.447</c:v>
                </c:pt>
                <c:pt idx="144">
                  <c:v>515.99399999999991</c:v>
                </c:pt>
                <c:pt idx="145">
                  <c:v>515.5440000000001</c:v>
                </c:pt>
                <c:pt idx="146">
                  <c:v>515.14049999999997</c:v>
                </c:pt>
                <c:pt idx="147">
                  <c:v>514.71299999999997</c:v>
                </c:pt>
                <c:pt idx="148">
                  <c:v>514.32449999999994</c:v>
                </c:pt>
                <c:pt idx="149">
                  <c:v>513.9615</c:v>
                </c:pt>
                <c:pt idx="150">
                  <c:v>513.4815000000001</c:v>
                </c:pt>
                <c:pt idx="151">
                  <c:v>513.10350000000005</c:v>
                </c:pt>
                <c:pt idx="152">
                  <c:v>512.66249999999991</c:v>
                </c:pt>
                <c:pt idx="153">
                  <c:v>512.25</c:v>
                </c:pt>
                <c:pt idx="154">
                  <c:v>511.79999999999995</c:v>
                </c:pt>
                <c:pt idx="155">
                  <c:v>511.37250000000006</c:v>
                </c:pt>
                <c:pt idx="156">
                  <c:v>510.94350000000003</c:v>
                </c:pt>
                <c:pt idx="157">
                  <c:v>510.49350000000004</c:v>
                </c:pt>
                <c:pt idx="158">
                  <c:v>510.06599999999997</c:v>
                </c:pt>
                <c:pt idx="159">
                  <c:v>509.61300000000006</c:v>
                </c:pt>
                <c:pt idx="160">
                  <c:v>509.16600000000005</c:v>
                </c:pt>
                <c:pt idx="161">
                  <c:v>508.7355</c:v>
                </c:pt>
                <c:pt idx="162">
                  <c:v>508.24199999999996</c:v>
                </c:pt>
                <c:pt idx="163">
                  <c:v>507.81599999999997</c:v>
                </c:pt>
                <c:pt idx="164">
                  <c:v>507.31200000000001</c:v>
                </c:pt>
                <c:pt idx="165">
                  <c:v>506.86649999999997</c:v>
                </c:pt>
                <c:pt idx="166">
                  <c:v>506.35650000000004</c:v>
                </c:pt>
                <c:pt idx="167">
                  <c:v>505.88100000000003</c:v>
                </c:pt>
                <c:pt idx="168">
                  <c:v>505.3845</c:v>
                </c:pt>
                <c:pt idx="169">
                  <c:v>504.86850000000004</c:v>
                </c:pt>
                <c:pt idx="170">
                  <c:v>504.38699999999994</c:v>
                </c:pt>
                <c:pt idx="171">
                  <c:v>503.84400000000005</c:v>
                </c:pt>
                <c:pt idx="172">
                  <c:v>503.37150000000003</c:v>
                </c:pt>
                <c:pt idx="173">
                  <c:v>502.86300000000006</c:v>
                </c:pt>
                <c:pt idx="174">
                  <c:v>502.28550000000007</c:v>
                </c:pt>
                <c:pt idx="175">
                  <c:v>501.81000000000006</c:v>
                </c:pt>
                <c:pt idx="176">
                  <c:v>501.26250000000005</c:v>
                </c:pt>
                <c:pt idx="177">
                  <c:v>500.74650000000003</c:v>
                </c:pt>
                <c:pt idx="178">
                  <c:v>500.17499999999995</c:v>
                </c:pt>
                <c:pt idx="179">
                  <c:v>499.62150000000003</c:v>
                </c:pt>
                <c:pt idx="180">
                  <c:v>499.089</c:v>
                </c:pt>
                <c:pt idx="181">
                  <c:v>498.49950000000001</c:v>
                </c:pt>
                <c:pt idx="182">
                  <c:v>497.964</c:v>
                </c:pt>
                <c:pt idx="183">
                  <c:v>498.06299999999999</c:v>
                </c:pt>
                <c:pt idx="184">
                  <c:v>498.29100000000005</c:v>
                </c:pt>
                <c:pt idx="185">
                  <c:v>498.411</c:v>
                </c:pt>
                <c:pt idx="186">
                  <c:v>498.45599999999996</c:v>
                </c:pt>
                <c:pt idx="187">
                  <c:v>498.339</c:v>
                </c:pt>
                <c:pt idx="188">
                  <c:v>498.10050000000001</c:v>
                </c:pt>
                <c:pt idx="189">
                  <c:v>497.75850000000003</c:v>
                </c:pt>
                <c:pt idx="190">
                  <c:v>497.27549999999997</c:v>
                </c:pt>
                <c:pt idx="191">
                  <c:v>496.58399999999995</c:v>
                </c:pt>
                <c:pt idx="192">
                  <c:v>495.81000000000006</c:v>
                </c:pt>
                <c:pt idx="193">
                  <c:v>494.96250000000003</c:v>
                </c:pt>
                <c:pt idx="194">
                  <c:v>494.11649999999997</c:v>
                </c:pt>
                <c:pt idx="195">
                  <c:v>493.18799999999999</c:v>
                </c:pt>
                <c:pt idx="196">
                  <c:v>492.303</c:v>
                </c:pt>
                <c:pt idx="197">
                  <c:v>491.44350000000003</c:v>
                </c:pt>
                <c:pt idx="198">
                  <c:v>490.4325</c:v>
                </c:pt>
                <c:pt idx="199">
                  <c:v>489.65250000000003</c:v>
                </c:pt>
                <c:pt idx="200">
                  <c:v>488.74950000000001</c:v>
                </c:pt>
                <c:pt idx="201">
                  <c:v>487.899</c:v>
                </c:pt>
                <c:pt idx="202">
                  <c:v>487.04999999999995</c:v>
                </c:pt>
                <c:pt idx="203">
                  <c:v>486.25349999999997</c:v>
                </c:pt>
                <c:pt idx="204">
                  <c:v>485.45550000000003</c:v>
                </c:pt>
                <c:pt idx="205">
                  <c:v>484.73700000000002</c:v>
                </c:pt>
                <c:pt idx="206">
                  <c:v>484.20899999999995</c:v>
                </c:pt>
                <c:pt idx="207">
                  <c:v>483.66300000000001</c:v>
                </c:pt>
                <c:pt idx="208">
                  <c:v>483.29100000000005</c:v>
                </c:pt>
                <c:pt idx="209">
                  <c:v>482.952</c:v>
                </c:pt>
                <c:pt idx="210">
                  <c:v>482.61149999999998</c:v>
                </c:pt>
                <c:pt idx="211">
                  <c:v>482.25</c:v>
                </c:pt>
                <c:pt idx="212">
                  <c:v>481.81200000000001</c:v>
                </c:pt>
                <c:pt idx="213">
                  <c:v>481.33050000000003</c:v>
                </c:pt>
                <c:pt idx="214">
                  <c:v>480.76199999999994</c:v>
                </c:pt>
                <c:pt idx="215">
                  <c:v>477.774</c:v>
                </c:pt>
                <c:pt idx="216">
                  <c:v>476.51550000000003</c:v>
                </c:pt>
                <c:pt idx="217">
                  <c:v>475.72499999999997</c:v>
                </c:pt>
                <c:pt idx="218">
                  <c:v>475.11300000000006</c:v>
                </c:pt>
                <c:pt idx="219">
                  <c:v>474.46199999999999</c:v>
                </c:pt>
                <c:pt idx="220">
                  <c:v>473.83050000000003</c:v>
                </c:pt>
                <c:pt idx="221">
                  <c:v>473.23800000000006</c:v>
                </c:pt>
                <c:pt idx="222">
                  <c:v>472.5675</c:v>
                </c:pt>
                <c:pt idx="223">
                  <c:v>471.99149999999997</c:v>
                </c:pt>
                <c:pt idx="224">
                  <c:v>471.33750000000003</c:v>
                </c:pt>
                <c:pt idx="225">
                  <c:v>470.72249999999997</c:v>
                </c:pt>
                <c:pt idx="226">
                  <c:v>470.03700000000003</c:v>
                </c:pt>
                <c:pt idx="227">
                  <c:v>469.37849999999997</c:v>
                </c:pt>
                <c:pt idx="228">
                  <c:v>468.702</c:v>
                </c:pt>
                <c:pt idx="229">
                  <c:v>467.95049999999998</c:v>
                </c:pt>
                <c:pt idx="230">
                  <c:v>466.65750000000003</c:v>
                </c:pt>
                <c:pt idx="231">
                  <c:v>466.01250000000005</c:v>
                </c:pt>
                <c:pt idx="232">
                  <c:v>465.786</c:v>
                </c:pt>
                <c:pt idx="233">
                  <c:v>465.96749999999997</c:v>
                </c:pt>
                <c:pt idx="234">
                  <c:v>466.07100000000003</c:v>
                </c:pt>
                <c:pt idx="235">
                  <c:v>465.96749999999997</c:v>
                </c:pt>
                <c:pt idx="236">
                  <c:v>465.75</c:v>
                </c:pt>
                <c:pt idx="237">
                  <c:v>465.38699999999994</c:v>
                </c:pt>
                <c:pt idx="238">
                  <c:v>464.87549999999999</c:v>
                </c:pt>
                <c:pt idx="239">
                  <c:v>464.26199999999994</c:v>
                </c:pt>
                <c:pt idx="240">
                  <c:v>463.548</c:v>
                </c:pt>
                <c:pt idx="241">
                  <c:v>462.71250000000003</c:v>
                </c:pt>
                <c:pt idx="242">
                  <c:v>461.84249999999997</c:v>
                </c:pt>
                <c:pt idx="243">
                  <c:v>460.86300000000006</c:v>
                </c:pt>
                <c:pt idx="244">
                  <c:v>459.87150000000003</c:v>
                </c:pt>
                <c:pt idx="245">
                  <c:v>458.93999999999994</c:v>
                </c:pt>
                <c:pt idx="246">
                  <c:v>457.8075</c:v>
                </c:pt>
                <c:pt idx="247">
                  <c:v>456.90750000000003</c:v>
                </c:pt>
                <c:pt idx="248">
                  <c:v>455.82449999999994</c:v>
                </c:pt>
                <c:pt idx="249">
                  <c:v>455.10450000000003</c:v>
                </c:pt>
                <c:pt idx="250">
                  <c:v>454.58699999999999</c:v>
                </c:pt>
                <c:pt idx="251">
                  <c:v>454.089</c:v>
                </c:pt>
                <c:pt idx="252">
                  <c:v>453.59249999999997</c:v>
                </c:pt>
                <c:pt idx="253">
                  <c:v>453.01199999999994</c:v>
                </c:pt>
                <c:pt idx="254">
                  <c:v>452.35949999999997</c:v>
                </c:pt>
                <c:pt idx="255">
                  <c:v>451.61249999999995</c:v>
                </c:pt>
                <c:pt idx="256">
                  <c:v>450.87150000000003</c:v>
                </c:pt>
                <c:pt idx="257">
                  <c:v>450.08399999999995</c:v>
                </c:pt>
                <c:pt idx="258">
                  <c:v>449.19900000000001</c:v>
                </c:pt>
                <c:pt idx="259">
                  <c:v>448.41600000000005</c:v>
                </c:pt>
                <c:pt idx="260">
                  <c:v>447.52500000000003</c:v>
                </c:pt>
                <c:pt idx="261">
                  <c:v>446.72249999999997</c:v>
                </c:pt>
                <c:pt idx="262">
                  <c:v>445.83750000000003</c:v>
                </c:pt>
                <c:pt idx="263">
                  <c:v>445.00349999999997</c:v>
                </c:pt>
                <c:pt idx="264">
                  <c:v>444.19350000000003</c:v>
                </c:pt>
                <c:pt idx="265">
                  <c:v>443.36249999999995</c:v>
                </c:pt>
                <c:pt idx="266">
                  <c:v>442.59749999999997</c:v>
                </c:pt>
                <c:pt idx="267">
                  <c:v>441.79950000000002</c:v>
                </c:pt>
                <c:pt idx="268">
                  <c:v>441.048</c:v>
                </c:pt>
                <c:pt idx="269">
                  <c:v>440.37150000000003</c:v>
                </c:pt>
                <c:pt idx="270">
                  <c:v>439.5675</c:v>
                </c:pt>
                <c:pt idx="271">
                  <c:v>438.91949999999997</c:v>
                </c:pt>
                <c:pt idx="272">
                  <c:v>438.19949999999994</c:v>
                </c:pt>
                <c:pt idx="273">
                  <c:v>437.52750000000003</c:v>
                </c:pt>
                <c:pt idx="274">
                  <c:v>436.79999999999995</c:v>
                </c:pt>
                <c:pt idx="275">
                  <c:v>436.11300000000006</c:v>
                </c:pt>
                <c:pt idx="276">
                  <c:v>435.43500000000006</c:v>
                </c:pt>
                <c:pt idx="277">
                  <c:v>434.72550000000001</c:v>
                </c:pt>
                <c:pt idx="278">
                  <c:v>434.04449999999997</c:v>
                </c:pt>
                <c:pt idx="279">
                  <c:v>433.34999999999997</c:v>
                </c:pt>
                <c:pt idx="280">
                  <c:v>432.65250000000003</c:v>
                </c:pt>
                <c:pt idx="281">
                  <c:v>432.01199999999994</c:v>
                </c:pt>
                <c:pt idx="282">
                  <c:v>431.23649999999998</c:v>
                </c:pt>
                <c:pt idx="283">
                  <c:v>430.60949999999997</c:v>
                </c:pt>
                <c:pt idx="284">
                  <c:v>429.86249999999995</c:v>
                </c:pt>
                <c:pt idx="285">
                  <c:v>429.16949999999997</c:v>
                </c:pt>
                <c:pt idx="286">
                  <c:v>428.42550000000006</c:v>
                </c:pt>
                <c:pt idx="287">
                  <c:v>427.70550000000003</c:v>
                </c:pt>
                <c:pt idx="288">
                  <c:v>426.97950000000003</c:v>
                </c:pt>
                <c:pt idx="289">
                  <c:v>426.21299999999997</c:v>
                </c:pt>
                <c:pt idx="290">
                  <c:v>425.49149999999997</c:v>
                </c:pt>
                <c:pt idx="291">
                  <c:v>424.71299999999997</c:v>
                </c:pt>
                <c:pt idx="292">
                  <c:v>423.96749999999997</c:v>
                </c:pt>
                <c:pt idx="293">
                  <c:v>423.26550000000003</c:v>
                </c:pt>
                <c:pt idx="294">
                  <c:v>422.4375</c:v>
                </c:pt>
                <c:pt idx="295">
                  <c:v>421.75349999999997</c:v>
                </c:pt>
                <c:pt idx="296">
                  <c:v>420.97499999999997</c:v>
                </c:pt>
                <c:pt idx="297">
                  <c:v>420.22950000000003</c:v>
                </c:pt>
                <c:pt idx="298">
                  <c:v>419.4375</c:v>
                </c:pt>
                <c:pt idx="299">
                  <c:v>418.66949999999997</c:v>
                </c:pt>
                <c:pt idx="300">
                  <c:v>417.93149999999997</c:v>
                </c:pt>
                <c:pt idx="301">
                  <c:v>417.13799999999998</c:v>
                </c:pt>
                <c:pt idx="302">
                  <c:v>416.41949999999997</c:v>
                </c:pt>
                <c:pt idx="303">
                  <c:v>415.60050000000001</c:v>
                </c:pt>
                <c:pt idx="304">
                  <c:v>414.85949999999997</c:v>
                </c:pt>
                <c:pt idx="305">
                  <c:v>414.10949999999997</c:v>
                </c:pt>
                <c:pt idx="306">
                  <c:v>413.28899999999999</c:v>
                </c:pt>
                <c:pt idx="307">
                  <c:v>412.58399999999995</c:v>
                </c:pt>
                <c:pt idx="308">
                  <c:v>411.78749999999997</c:v>
                </c:pt>
                <c:pt idx="309">
                  <c:v>411.072</c:v>
                </c:pt>
                <c:pt idx="310">
                  <c:v>410.27549999999997</c:v>
                </c:pt>
                <c:pt idx="311">
                  <c:v>409.851</c:v>
                </c:pt>
                <c:pt idx="312">
                  <c:v>409.62150000000003</c:v>
                </c:pt>
                <c:pt idx="313">
                  <c:v>409.45049999999998</c:v>
                </c:pt>
                <c:pt idx="314">
                  <c:v>409.23449999999997</c:v>
                </c:pt>
                <c:pt idx="315">
                  <c:v>408.91200000000003</c:v>
                </c:pt>
                <c:pt idx="316">
                  <c:v>408.53250000000003</c:v>
                </c:pt>
                <c:pt idx="317">
                  <c:v>408.072</c:v>
                </c:pt>
                <c:pt idx="318">
                  <c:v>407.4375</c:v>
                </c:pt>
                <c:pt idx="319">
                  <c:v>406.839</c:v>
                </c:pt>
                <c:pt idx="320">
                  <c:v>406.04999999999995</c:v>
                </c:pt>
                <c:pt idx="321">
                  <c:v>405.31499999999994</c:v>
                </c:pt>
                <c:pt idx="322">
                  <c:v>404.42550000000006</c:v>
                </c:pt>
                <c:pt idx="323">
                  <c:v>403.572</c:v>
                </c:pt>
                <c:pt idx="324">
                  <c:v>402.702</c:v>
                </c:pt>
                <c:pt idx="325">
                  <c:v>401.74950000000001</c:v>
                </c:pt>
                <c:pt idx="326">
                  <c:v>401.74650000000003</c:v>
                </c:pt>
                <c:pt idx="327">
                  <c:v>401.74950000000001</c:v>
                </c:pt>
                <c:pt idx="328">
                  <c:v>401.51550000000003</c:v>
                </c:pt>
                <c:pt idx="329">
                  <c:v>401.08050000000003</c:v>
                </c:pt>
                <c:pt idx="330">
                  <c:v>400.36649999999997</c:v>
                </c:pt>
                <c:pt idx="331">
                  <c:v>399.68999999999994</c:v>
                </c:pt>
                <c:pt idx="332">
                  <c:v>398.8125</c:v>
                </c:pt>
                <c:pt idx="333">
                  <c:v>397.97249999999997</c:v>
                </c:pt>
                <c:pt idx="334">
                  <c:v>397.03800000000001</c:v>
                </c:pt>
                <c:pt idx="335">
                  <c:v>396.16949999999997</c:v>
                </c:pt>
                <c:pt idx="336">
                  <c:v>395.322</c:v>
                </c:pt>
                <c:pt idx="337">
                  <c:v>394.45049999999998</c:v>
                </c:pt>
                <c:pt idx="338">
                  <c:v>393.702</c:v>
                </c:pt>
                <c:pt idx="339">
                  <c:v>392.93700000000001</c:v>
                </c:pt>
                <c:pt idx="340">
                  <c:v>392.40750000000003</c:v>
                </c:pt>
                <c:pt idx="341">
                  <c:v>392.00850000000003</c:v>
                </c:pt>
                <c:pt idx="342">
                  <c:v>391.5675</c:v>
                </c:pt>
                <c:pt idx="343">
                  <c:v>391.173</c:v>
                </c:pt>
                <c:pt idx="344">
                  <c:v>390.64949999999999</c:v>
                </c:pt>
                <c:pt idx="345">
                  <c:v>390.13350000000003</c:v>
                </c:pt>
                <c:pt idx="346">
                  <c:v>389.50049999999999</c:v>
                </c:pt>
                <c:pt idx="347">
                  <c:v>388.88699999999994</c:v>
                </c:pt>
                <c:pt idx="348">
                  <c:v>388.28250000000003</c:v>
                </c:pt>
                <c:pt idx="349">
                  <c:v>387.59999999999997</c:v>
                </c:pt>
                <c:pt idx="350">
                  <c:v>387.01199999999994</c:v>
                </c:pt>
                <c:pt idx="351">
                  <c:v>386.36249999999995</c:v>
                </c:pt>
                <c:pt idx="352">
                  <c:v>385.75349999999997</c:v>
                </c:pt>
                <c:pt idx="353">
                  <c:v>385.20899999999995</c:v>
                </c:pt>
                <c:pt idx="354">
                  <c:v>384.86699999999996</c:v>
                </c:pt>
                <c:pt idx="355">
                  <c:v>384.66600000000005</c:v>
                </c:pt>
                <c:pt idx="356">
                  <c:v>384.16200000000003</c:v>
                </c:pt>
                <c:pt idx="357">
                  <c:v>383.697</c:v>
                </c:pt>
                <c:pt idx="358">
                  <c:v>383.12549999999999</c:v>
                </c:pt>
                <c:pt idx="359">
                  <c:v>382.59749999999997</c:v>
                </c:pt>
                <c:pt idx="360">
                  <c:v>382.01549999999997</c:v>
                </c:pt>
                <c:pt idx="361">
                  <c:v>381.43799999999999</c:v>
                </c:pt>
                <c:pt idx="362">
                  <c:v>380.89049999999997</c:v>
                </c:pt>
                <c:pt idx="363">
                  <c:v>380.31299999999999</c:v>
                </c:pt>
                <c:pt idx="364">
                  <c:v>380.43150000000003</c:v>
                </c:pt>
                <c:pt idx="365">
                  <c:v>380.553</c:v>
                </c:pt>
                <c:pt idx="366">
                  <c:v>380.47799999999995</c:v>
                </c:pt>
                <c:pt idx="367">
                  <c:v>380.202</c:v>
                </c:pt>
                <c:pt idx="368">
                  <c:v>379.72500000000002</c:v>
                </c:pt>
                <c:pt idx="369">
                  <c:v>379.137</c:v>
                </c:pt>
                <c:pt idx="370">
                  <c:v>378.43799999999999</c:v>
                </c:pt>
                <c:pt idx="371">
                  <c:v>377.74649999999997</c:v>
                </c:pt>
                <c:pt idx="372">
                  <c:v>377.03249999999997</c:v>
                </c:pt>
                <c:pt idx="373">
                  <c:v>376.28700000000003</c:v>
                </c:pt>
                <c:pt idx="374">
                  <c:v>375.64049999999997</c:v>
                </c:pt>
                <c:pt idx="375">
                  <c:v>374.93700000000001</c:v>
                </c:pt>
                <c:pt idx="376">
                  <c:v>374.322</c:v>
                </c:pt>
                <c:pt idx="377">
                  <c:v>373.77750000000003</c:v>
                </c:pt>
                <c:pt idx="378">
                  <c:v>373.03199999999998</c:v>
                </c:pt>
                <c:pt idx="379">
                  <c:v>372.411</c:v>
                </c:pt>
                <c:pt idx="380">
                  <c:v>371.70000000000005</c:v>
                </c:pt>
                <c:pt idx="381">
                  <c:v>371.09250000000003</c:v>
                </c:pt>
                <c:pt idx="382">
                  <c:v>370.47450000000003</c:v>
                </c:pt>
                <c:pt idx="383">
                  <c:v>369.95550000000003</c:v>
                </c:pt>
                <c:pt idx="384">
                  <c:v>369.435</c:v>
                </c:pt>
                <c:pt idx="385">
                  <c:v>368.93700000000001</c:v>
                </c:pt>
                <c:pt idx="386">
                  <c:v>368.46750000000003</c:v>
                </c:pt>
                <c:pt idx="387">
                  <c:v>367.97550000000001</c:v>
                </c:pt>
                <c:pt idx="388">
                  <c:v>367.488</c:v>
                </c:pt>
                <c:pt idx="389">
                  <c:v>367.053</c:v>
                </c:pt>
                <c:pt idx="390">
                  <c:v>366.48149999999998</c:v>
                </c:pt>
                <c:pt idx="391">
                  <c:v>366.036</c:v>
                </c:pt>
                <c:pt idx="392">
                  <c:v>365.48699999999997</c:v>
                </c:pt>
                <c:pt idx="393">
                  <c:v>364.97249999999997</c:v>
                </c:pt>
                <c:pt idx="394">
                  <c:v>364.39949999999999</c:v>
                </c:pt>
                <c:pt idx="395">
                  <c:v>363.85950000000003</c:v>
                </c:pt>
                <c:pt idx="396">
                  <c:v>363.291</c:v>
                </c:pt>
                <c:pt idx="397">
                  <c:v>362.68799999999999</c:v>
                </c:pt>
                <c:pt idx="398">
                  <c:v>362.14049999999997</c:v>
                </c:pt>
                <c:pt idx="399">
                  <c:v>361.53750000000002</c:v>
                </c:pt>
                <c:pt idx="400">
                  <c:v>360.93150000000003</c:v>
                </c:pt>
                <c:pt idx="401">
                  <c:v>360.315</c:v>
                </c:pt>
                <c:pt idx="402">
                  <c:v>359.65049999999997</c:v>
                </c:pt>
                <c:pt idx="403">
                  <c:v>359.10449999999997</c:v>
                </c:pt>
                <c:pt idx="404">
                  <c:v>358.53750000000002</c:v>
                </c:pt>
                <c:pt idx="405">
                  <c:v>358.053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290-45FF-823D-857AD61FB73F}"/>
            </c:ext>
          </c:extLst>
        </c:ser>
        <c:ser>
          <c:idx val="23"/>
          <c:order val="23"/>
          <c:tx>
            <c:strRef>
              <c:f>'FPSO1 Otim'!$Z$5</c:f>
              <c:strCache>
                <c:ptCount val="1"/>
                <c:pt idx="0">
                  <c:v>P24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cat>
            <c:numRef>
              <c:f>'FPSO1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'FPSO1 Otim'!$Z$6:$Z$733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1751.97</c:v>
                </c:pt>
                <c:pt idx="73">
                  <c:v>2133.855</c:v>
                </c:pt>
                <c:pt idx="74">
                  <c:v>2127.4349999999999</c:v>
                </c:pt>
                <c:pt idx="75">
                  <c:v>2122.0950000000003</c:v>
                </c:pt>
                <c:pt idx="76">
                  <c:v>2119.8000000000002</c:v>
                </c:pt>
                <c:pt idx="77">
                  <c:v>2096.9549999999999</c:v>
                </c:pt>
                <c:pt idx="78">
                  <c:v>2008.8150000000001</c:v>
                </c:pt>
                <c:pt idx="79">
                  <c:v>1905.2550000000001</c:v>
                </c:pt>
                <c:pt idx="80">
                  <c:v>1803.3600000000001</c:v>
                </c:pt>
                <c:pt idx="81">
                  <c:v>1708.3650000000002</c:v>
                </c:pt>
                <c:pt idx="82">
                  <c:v>1621.6799999999998</c:v>
                </c:pt>
                <c:pt idx="83">
                  <c:v>1539.5099999999998</c:v>
                </c:pt>
                <c:pt idx="84">
                  <c:v>1471.7730000000001</c:v>
                </c:pt>
                <c:pt idx="85">
                  <c:v>1409.9265</c:v>
                </c:pt>
                <c:pt idx="86">
                  <c:v>1355.3025</c:v>
                </c:pt>
                <c:pt idx="87">
                  <c:v>1311.5445</c:v>
                </c:pt>
                <c:pt idx="88">
                  <c:v>1268.421</c:v>
                </c:pt>
                <c:pt idx="89">
                  <c:v>1234.7055</c:v>
                </c:pt>
                <c:pt idx="90">
                  <c:v>1199.694</c:v>
                </c:pt>
                <c:pt idx="91">
                  <c:v>1170.3989999999999</c:v>
                </c:pt>
                <c:pt idx="92">
                  <c:v>1141.2465</c:v>
                </c:pt>
                <c:pt idx="93">
                  <c:v>1116.4784999999999</c:v>
                </c:pt>
                <c:pt idx="94">
                  <c:v>1093.7294999999999</c:v>
                </c:pt>
                <c:pt idx="95">
                  <c:v>1071.4725000000001</c:v>
                </c:pt>
                <c:pt idx="96">
                  <c:v>1052.0595000000001</c:v>
                </c:pt>
                <c:pt idx="97">
                  <c:v>1031.9594999999999</c:v>
                </c:pt>
                <c:pt idx="98">
                  <c:v>1006.1189999999999</c:v>
                </c:pt>
                <c:pt idx="99">
                  <c:v>989.19299999999998</c:v>
                </c:pt>
                <c:pt idx="100">
                  <c:v>971.3130000000001</c:v>
                </c:pt>
                <c:pt idx="101">
                  <c:v>957.35100000000011</c:v>
                </c:pt>
                <c:pt idx="102">
                  <c:v>941.7405</c:v>
                </c:pt>
                <c:pt idx="103">
                  <c:v>927.87149999999997</c:v>
                </c:pt>
                <c:pt idx="104">
                  <c:v>913.51200000000006</c:v>
                </c:pt>
                <c:pt idx="105">
                  <c:v>900.6690000000001</c:v>
                </c:pt>
                <c:pt idx="106">
                  <c:v>888.42</c:v>
                </c:pt>
                <c:pt idx="107">
                  <c:v>876.25350000000003</c:v>
                </c:pt>
                <c:pt idx="108">
                  <c:v>865.15200000000004</c:v>
                </c:pt>
                <c:pt idx="109">
                  <c:v>853.65899999999999</c:v>
                </c:pt>
                <c:pt idx="110">
                  <c:v>843.36599999999999</c:v>
                </c:pt>
                <c:pt idx="111">
                  <c:v>833.98799999999994</c:v>
                </c:pt>
                <c:pt idx="112">
                  <c:v>823.56</c:v>
                </c:pt>
                <c:pt idx="113">
                  <c:v>815.298</c:v>
                </c:pt>
                <c:pt idx="114">
                  <c:v>806.01900000000001</c:v>
                </c:pt>
                <c:pt idx="115">
                  <c:v>797.77649999999994</c:v>
                </c:pt>
                <c:pt idx="116">
                  <c:v>789.25650000000007</c:v>
                </c:pt>
                <c:pt idx="117">
                  <c:v>781.46399999999994</c:v>
                </c:pt>
                <c:pt idx="118">
                  <c:v>773.91000000000008</c:v>
                </c:pt>
                <c:pt idx="119">
                  <c:v>766.32449999999994</c:v>
                </c:pt>
                <c:pt idx="120">
                  <c:v>759.56850000000009</c:v>
                </c:pt>
                <c:pt idx="121">
                  <c:v>752.50649999999996</c:v>
                </c:pt>
                <c:pt idx="122">
                  <c:v>746.02649999999994</c:v>
                </c:pt>
                <c:pt idx="123">
                  <c:v>739.99649999999997</c:v>
                </c:pt>
                <c:pt idx="124">
                  <c:v>733.25249999999994</c:v>
                </c:pt>
                <c:pt idx="125">
                  <c:v>727.923</c:v>
                </c:pt>
                <c:pt idx="126">
                  <c:v>721.91849999999999</c:v>
                </c:pt>
                <c:pt idx="127">
                  <c:v>716.53499999999997</c:v>
                </c:pt>
                <c:pt idx="128">
                  <c:v>710.84400000000005</c:v>
                </c:pt>
                <c:pt idx="129">
                  <c:v>705.61649999999997</c:v>
                </c:pt>
                <c:pt idx="130">
                  <c:v>700.50600000000009</c:v>
                </c:pt>
                <c:pt idx="131">
                  <c:v>695.29349999999999</c:v>
                </c:pt>
                <c:pt idx="132">
                  <c:v>690.5625</c:v>
                </c:pt>
                <c:pt idx="133">
                  <c:v>685.51199999999994</c:v>
                </c:pt>
                <c:pt idx="134">
                  <c:v>680.928</c:v>
                </c:pt>
                <c:pt idx="135">
                  <c:v>676.572</c:v>
                </c:pt>
                <c:pt idx="136">
                  <c:v>671.83199999999999</c:v>
                </c:pt>
                <c:pt idx="137">
                  <c:v>669.89549999999997</c:v>
                </c:pt>
                <c:pt idx="138">
                  <c:v>667.55700000000002</c:v>
                </c:pt>
                <c:pt idx="139">
                  <c:v>665.08050000000003</c:v>
                </c:pt>
                <c:pt idx="140">
                  <c:v>662.23800000000006</c:v>
                </c:pt>
                <c:pt idx="141">
                  <c:v>659.38350000000003</c:v>
                </c:pt>
                <c:pt idx="142">
                  <c:v>656.38350000000003</c:v>
                </c:pt>
                <c:pt idx="143">
                  <c:v>653.21250000000009</c:v>
                </c:pt>
                <c:pt idx="144">
                  <c:v>650.26800000000003</c:v>
                </c:pt>
                <c:pt idx="145">
                  <c:v>647.13149999999996</c:v>
                </c:pt>
                <c:pt idx="146">
                  <c:v>639.49649999999997</c:v>
                </c:pt>
                <c:pt idx="147">
                  <c:v>636.14549999999997</c:v>
                </c:pt>
                <c:pt idx="148">
                  <c:v>633.01949999999999</c:v>
                </c:pt>
                <c:pt idx="149">
                  <c:v>630.399</c:v>
                </c:pt>
                <c:pt idx="150">
                  <c:v>627.41249999999991</c:v>
                </c:pt>
                <c:pt idx="151">
                  <c:v>624.62250000000006</c:v>
                </c:pt>
                <c:pt idx="152">
                  <c:v>621.61950000000002</c:v>
                </c:pt>
                <c:pt idx="153">
                  <c:v>618.71399999999994</c:v>
                </c:pt>
                <c:pt idx="154">
                  <c:v>615.76199999999994</c:v>
                </c:pt>
                <c:pt idx="155">
                  <c:v>612.6690000000001</c:v>
                </c:pt>
                <c:pt idx="156">
                  <c:v>680.952</c:v>
                </c:pt>
                <c:pt idx="157">
                  <c:v>685.43700000000001</c:v>
                </c:pt>
                <c:pt idx="158">
                  <c:v>684.048</c:v>
                </c:pt>
                <c:pt idx="159">
                  <c:v>681.9375</c:v>
                </c:pt>
                <c:pt idx="160">
                  <c:v>679.26599999999996</c:v>
                </c:pt>
                <c:pt idx="161">
                  <c:v>676.74149999999997</c:v>
                </c:pt>
                <c:pt idx="162">
                  <c:v>673.71299999999997</c:v>
                </c:pt>
                <c:pt idx="163">
                  <c:v>670.72350000000006</c:v>
                </c:pt>
                <c:pt idx="164">
                  <c:v>667.45650000000001</c:v>
                </c:pt>
                <c:pt idx="165">
                  <c:v>664.43999999999994</c:v>
                </c:pt>
                <c:pt idx="166">
                  <c:v>661.37250000000006</c:v>
                </c:pt>
                <c:pt idx="167">
                  <c:v>658.11899999999991</c:v>
                </c:pt>
                <c:pt idx="168">
                  <c:v>655.08899999999994</c:v>
                </c:pt>
                <c:pt idx="169">
                  <c:v>651.80700000000002</c:v>
                </c:pt>
                <c:pt idx="170">
                  <c:v>648.678</c:v>
                </c:pt>
                <c:pt idx="171">
                  <c:v>645.66600000000005</c:v>
                </c:pt>
                <c:pt idx="172">
                  <c:v>642.10050000000001</c:v>
                </c:pt>
                <c:pt idx="173">
                  <c:v>639.10950000000003</c:v>
                </c:pt>
                <c:pt idx="174">
                  <c:v>635.50649999999996</c:v>
                </c:pt>
                <c:pt idx="175">
                  <c:v>632.09249999999997</c:v>
                </c:pt>
                <c:pt idx="176">
                  <c:v>628.35599999999999</c:v>
                </c:pt>
                <c:pt idx="177">
                  <c:v>624.78600000000006</c:v>
                </c:pt>
                <c:pt idx="178">
                  <c:v>621.19949999999994</c:v>
                </c:pt>
                <c:pt idx="179">
                  <c:v>617.36850000000004</c:v>
                </c:pt>
                <c:pt idx="180">
                  <c:v>613.80899999999997</c:v>
                </c:pt>
                <c:pt idx="181">
                  <c:v>609.87450000000001</c:v>
                </c:pt>
                <c:pt idx="182">
                  <c:v>589.69949999999994</c:v>
                </c:pt>
                <c:pt idx="183">
                  <c:v>585.03</c:v>
                </c:pt>
                <c:pt idx="184">
                  <c:v>581.94900000000007</c:v>
                </c:pt>
                <c:pt idx="185">
                  <c:v>579.2595</c:v>
                </c:pt>
                <c:pt idx="186">
                  <c:v>576.21299999999997</c:v>
                </c:pt>
                <c:pt idx="187">
                  <c:v>573.303</c:v>
                </c:pt>
                <c:pt idx="188">
                  <c:v>570.11249999999995</c:v>
                </c:pt>
                <c:pt idx="189">
                  <c:v>567</c:v>
                </c:pt>
                <c:pt idx="190">
                  <c:v>563.85450000000003</c:v>
                </c:pt>
                <c:pt idx="191">
                  <c:v>560.51250000000005</c:v>
                </c:pt>
                <c:pt idx="192">
                  <c:v>557.37149999999997</c:v>
                </c:pt>
                <c:pt idx="193">
                  <c:v>553.98749999999995</c:v>
                </c:pt>
                <c:pt idx="194">
                  <c:v>550.75350000000003</c:v>
                </c:pt>
                <c:pt idx="195">
                  <c:v>547.71749999999997</c:v>
                </c:pt>
                <c:pt idx="196">
                  <c:v>544.11149999999998</c:v>
                </c:pt>
                <c:pt idx="197">
                  <c:v>541.20899999999995</c:v>
                </c:pt>
                <c:pt idx="198">
                  <c:v>537.86249999999995</c:v>
                </c:pt>
                <c:pt idx="199">
                  <c:v>534.774</c:v>
                </c:pt>
                <c:pt idx="200">
                  <c:v>531.43799999999999</c:v>
                </c:pt>
                <c:pt idx="201">
                  <c:v>528.26549999999997</c:v>
                </c:pt>
                <c:pt idx="202">
                  <c:v>525.12149999999997</c:v>
                </c:pt>
                <c:pt idx="203">
                  <c:v>521.78700000000003</c:v>
                </c:pt>
                <c:pt idx="204">
                  <c:v>518.73450000000003</c:v>
                </c:pt>
                <c:pt idx="205">
                  <c:v>515.37450000000001</c:v>
                </c:pt>
                <c:pt idx="206">
                  <c:v>512.202</c:v>
                </c:pt>
                <c:pt idx="207">
                  <c:v>509.226</c:v>
                </c:pt>
                <c:pt idx="208">
                  <c:v>505.70100000000002</c:v>
                </c:pt>
                <c:pt idx="209">
                  <c:v>502.911</c:v>
                </c:pt>
                <c:pt idx="210">
                  <c:v>499.65000000000003</c:v>
                </c:pt>
                <c:pt idx="211">
                  <c:v>496.64549999999997</c:v>
                </c:pt>
                <c:pt idx="212">
                  <c:v>493.36200000000002</c:v>
                </c:pt>
                <c:pt idx="213">
                  <c:v>490.29449999999997</c:v>
                </c:pt>
                <c:pt idx="214">
                  <c:v>487.23449999999997</c:v>
                </c:pt>
                <c:pt idx="215">
                  <c:v>484.06200000000001</c:v>
                </c:pt>
                <c:pt idx="216">
                  <c:v>481.149</c:v>
                </c:pt>
                <c:pt idx="217">
                  <c:v>478.02449999999999</c:v>
                </c:pt>
                <c:pt idx="218">
                  <c:v>475.06499999999994</c:v>
                </c:pt>
                <c:pt idx="219">
                  <c:v>472.30649999999997</c:v>
                </c:pt>
                <c:pt idx="220">
                  <c:v>469.01849999999996</c:v>
                </c:pt>
                <c:pt idx="221">
                  <c:v>466.34249999999997</c:v>
                </c:pt>
                <c:pt idx="222">
                  <c:v>463.24950000000001</c:v>
                </c:pt>
                <c:pt idx="223">
                  <c:v>460.37849999999997</c:v>
                </c:pt>
                <c:pt idx="224">
                  <c:v>457.32449999999994</c:v>
                </c:pt>
                <c:pt idx="225">
                  <c:v>454.428</c:v>
                </c:pt>
                <c:pt idx="226">
                  <c:v>451.51199999999994</c:v>
                </c:pt>
                <c:pt idx="227">
                  <c:v>448.46250000000003</c:v>
                </c:pt>
                <c:pt idx="228">
                  <c:v>445.65750000000003</c:v>
                </c:pt>
                <c:pt idx="229">
                  <c:v>442.61249999999995</c:v>
                </c:pt>
                <c:pt idx="230">
                  <c:v>439.72950000000003</c:v>
                </c:pt>
                <c:pt idx="231">
                  <c:v>436.99650000000003</c:v>
                </c:pt>
                <c:pt idx="232">
                  <c:v>433.91399999999999</c:v>
                </c:pt>
                <c:pt idx="233">
                  <c:v>431.31000000000006</c:v>
                </c:pt>
                <c:pt idx="234">
                  <c:v>428.38799999999998</c:v>
                </c:pt>
                <c:pt idx="235">
                  <c:v>425.77049999999997</c:v>
                </c:pt>
                <c:pt idx="236">
                  <c:v>422.96250000000003</c:v>
                </c:pt>
                <c:pt idx="237">
                  <c:v>420.36300000000006</c:v>
                </c:pt>
                <c:pt idx="238">
                  <c:v>417.83399999999995</c:v>
                </c:pt>
                <c:pt idx="239">
                  <c:v>415.18799999999999</c:v>
                </c:pt>
                <c:pt idx="240">
                  <c:v>412.851</c:v>
                </c:pt>
                <c:pt idx="241">
                  <c:v>410.37450000000001</c:v>
                </c:pt>
                <c:pt idx="242">
                  <c:v>408.08399999999995</c:v>
                </c:pt>
                <c:pt idx="243">
                  <c:v>405.96749999999997</c:v>
                </c:pt>
                <c:pt idx="244">
                  <c:v>403.48649999999998</c:v>
                </c:pt>
                <c:pt idx="245">
                  <c:v>401.553</c:v>
                </c:pt>
                <c:pt idx="246">
                  <c:v>399.29999999999995</c:v>
                </c:pt>
                <c:pt idx="247">
                  <c:v>397.27049999999997</c:v>
                </c:pt>
                <c:pt idx="248">
                  <c:v>395.09999999999997</c:v>
                </c:pt>
                <c:pt idx="249">
                  <c:v>393.09749999999997</c:v>
                </c:pt>
                <c:pt idx="250">
                  <c:v>391.101</c:v>
                </c:pt>
                <c:pt idx="251">
                  <c:v>389.07449999999994</c:v>
                </c:pt>
                <c:pt idx="252">
                  <c:v>387.25349999999997</c:v>
                </c:pt>
                <c:pt idx="253">
                  <c:v>385.24950000000001</c:v>
                </c:pt>
                <c:pt idx="254">
                  <c:v>383.41949999999997</c:v>
                </c:pt>
                <c:pt idx="255">
                  <c:v>381.714</c:v>
                </c:pt>
                <c:pt idx="256">
                  <c:v>379.6875</c:v>
                </c:pt>
                <c:pt idx="257">
                  <c:v>378.072</c:v>
                </c:pt>
                <c:pt idx="258">
                  <c:v>376.20000000000005</c:v>
                </c:pt>
                <c:pt idx="259">
                  <c:v>374.553</c:v>
                </c:pt>
                <c:pt idx="260">
                  <c:v>372.738</c:v>
                </c:pt>
                <c:pt idx="261">
                  <c:v>371.03249999999997</c:v>
                </c:pt>
                <c:pt idx="262">
                  <c:v>369.351</c:v>
                </c:pt>
                <c:pt idx="263">
                  <c:v>367.57500000000005</c:v>
                </c:pt>
                <c:pt idx="264">
                  <c:v>365.952</c:v>
                </c:pt>
                <c:pt idx="265">
                  <c:v>364.21199999999999</c:v>
                </c:pt>
                <c:pt idx="266">
                  <c:v>362.601</c:v>
                </c:pt>
                <c:pt idx="267">
                  <c:v>361.065</c:v>
                </c:pt>
                <c:pt idx="268">
                  <c:v>359.26349999999996</c:v>
                </c:pt>
                <c:pt idx="269">
                  <c:v>357.81</c:v>
                </c:pt>
                <c:pt idx="270">
                  <c:v>356.12549999999999</c:v>
                </c:pt>
                <c:pt idx="271">
                  <c:v>354.58050000000003</c:v>
                </c:pt>
                <c:pt idx="272">
                  <c:v>352.90049999999997</c:v>
                </c:pt>
                <c:pt idx="273">
                  <c:v>351.339</c:v>
                </c:pt>
                <c:pt idx="274">
                  <c:v>349.75350000000003</c:v>
                </c:pt>
                <c:pt idx="275">
                  <c:v>348.13800000000003</c:v>
                </c:pt>
                <c:pt idx="276">
                  <c:v>347.00850000000003</c:v>
                </c:pt>
                <c:pt idx="277">
                  <c:v>345.42449999999997</c:v>
                </c:pt>
                <c:pt idx="278">
                  <c:v>343.512</c:v>
                </c:pt>
                <c:pt idx="279">
                  <c:v>342.012</c:v>
                </c:pt>
                <c:pt idx="280">
                  <c:v>340.37099999999998</c:v>
                </c:pt>
                <c:pt idx="281">
                  <c:v>338.988</c:v>
                </c:pt>
                <c:pt idx="282">
                  <c:v>337.42499999999995</c:v>
                </c:pt>
                <c:pt idx="283">
                  <c:v>336.024</c:v>
                </c:pt>
                <c:pt idx="284">
                  <c:v>334.488</c:v>
                </c:pt>
                <c:pt idx="285">
                  <c:v>336.459</c:v>
                </c:pt>
                <c:pt idx="286">
                  <c:v>337.161</c:v>
                </c:pt>
                <c:pt idx="287">
                  <c:v>337.27499999999998</c:v>
                </c:pt>
                <c:pt idx="288">
                  <c:v>337.041</c:v>
                </c:pt>
                <c:pt idx="289">
                  <c:v>336.12450000000001</c:v>
                </c:pt>
                <c:pt idx="290">
                  <c:v>335.649</c:v>
                </c:pt>
                <c:pt idx="291">
                  <c:v>335.10449999999997</c:v>
                </c:pt>
                <c:pt idx="292">
                  <c:v>334.45950000000005</c:v>
                </c:pt>
                <c:pt idx="293">
                  <c:v>333.822</c:v>
                </c:pt>
                <c:pt idx="294">
                  <c:v>333.012</c:v>
                </c:pt>
                <c:pt idx="295">
                  <c:v>332.178</c:v>
                </c:pt>
                <c:pt idx="296">
                  <c:v>331.17449999999997</c:v>
                </c:pt>
                <c:pt idx="297">
                  <c:v>330.15749999999997</c:v>
                </c:pt>
                <c:pt idx="298">
                  <c:v>329.06849999999997</c:v>
                </c:pt>
                <c:pt idx="299">
                  <c:v>327.88800000000003</c:v>
                </c:pt>
                <c:pt idx="300">
                  <c:v>328.149</c:v>
                </c:pt>
                <c:pt idx="301">
                  <c:v>328.24950000000001</c:v>
                </c:pt>
                <c:pt idx="302">
                  <c:v>328.62149999999997</c:v>
                </c:pt>
                <c:pt idx="303">
                  <c:v>329.19</c:v>
                </c:pt>
                <c:pt idx="304">
                  <c:v>328.8075</c:v>
                </c:pt>
                <c:pt idx="305">
                  <c:v>328.791</c:v>
                </c:pt>
                <c:pt idx="306">
                  <c:v>328.58699999999999</c:v>
                </c:pt>
                <c:pt idx="307">
                  <c:v>328.22249999999997</c:v>
                </c:pt>
                <c:pt idx="308">
                  <c:v>327.61199999999997</c:v>
                </c:pt>
                <c:pt idx="309">
                  <c:v>326.601</c:v>
                </c:pt>
                <c:pt idx="310">
                  <c:v>325.815</c:v>
                </c:pt>
                <c:pt idx="311">
                  <c:v>324.86249999999995</c:v>
                </c:pt>
                <c:pt idx="312">
                  <c:v>323.87850000000003</c:v>
                </c:pt>
                <c:pt idx="313">
                  <c:v>322.77449999999999</c:v>
                </c:pt>
                <c:pt idx="314">
                  <c:v>321.65250000000003</c:v>
                </c:pt>
                <c:pt idx="315">
                  <c:v>320.334</c:v>
                </c:pt>
                <c:pt idx="316">
                  <c:v>318.96449999999999</c:v>
                </c:pt>
                <c:pt idx="317">
                  <c:v>317.84250000000003</c:v>
                </c:pt>
                <c:pt idx="318">
                  <c:v>316.37549999999999</c:v>
                </c:pt>
                <c:pt idx="319">
                  <c:v>314.81849999999997</c:v>
                </c:pt>
                <c:pt idx="320">
                  <c:v>313.33799999999997</c:v>
                </c:pt>
                <c:pt idx="321">
                  <c:v>311.51549999999997</c:v>
                </c:pt>
                <c:pt idx="322">
                  <c:v>309.786</c:v>
                </c:pt>
                <c:pt idx="323">
                  <c:v>308.0505</c:v>
                </c:pt>
                <c:pt idx="324">
                  <c:v>306.459</c:v>
                </c:pt>
                <c:pt idx="325">
                  <c:v>304.73699999999997</c:v>
                </c:pt>
                <c:pt idx="326">
                  <c:v>303.06</c:v>
                </c:pt>
                <c:pt idx="327">
                  <c:v>301.416</c:v>
                </c:pt>
                <c:pt idx="328">
                  <c:v>299.65049999999997</c:v>
                </c:pt>
                <c:pt idx="329">
                  <c:v>298.185</c:v>
                </c:pt>
                <c:pt idx="330">
                  <c:v>296.54999999999995</c:v>
                </c:pt>
                <c:pt idx="331">
                  <c:v>295.077</c:v>
                </c:pt>
                <c:pt idx="332">
                  <c:v>293.35050000000001</c:v>
                </c:pt>
                <c:pt idx="333">
                  <c:v>291.702</c:v>
                </c:pt>
                <c:pt idx="334">
                  <c:v>290.08050000000003</c:v>
                </c:pt>
                <c:pt idx="335">
                  <c:v>288.40049999999997</c:v>
                </c:pt>
                <c:pt idx="336">
                  <c:v>286.863</c:v>
                </c:pt>
                <c:pt idx="337">
                  <c:v>285.1875</c:v>
                </c:pt>
                <c:pt idx="338">
                  <c:v>283.59749999999997</c:v>
                </c:pt>
                <c:pt idx="339">
                  <c:v>282.072</c:v>
                </c:pt>
                <c:pt idx="340">
                  <c:v>280.3125</c:v>
                </c:pt>
                <c:pt idx="341">
                  <c:v>278.87850000000003</c:v>
                </c:pt>
                <c:pt idx="342">
                  <c:v>277.21199999999999</c:v>
                </c:pt>
                <c:pt idx="343">
                  <c:v>275.685</c:v>
                </c:pt>
                <c:pt idx="344">
                  <c:v>274.04999999999995</c:v>
                </c:pt>
                <c:pt idx="345">
                  <c:v>272.47949999999997</c:v>
                </c:pt>
                <c:pt idx="346">
                  <c:v>270.91949999999997</c:v>
                </c:pt>
                <c:pt idx="347">
                  <c:v>269.28750000000002</c:v>
                </c:pt>
                <c:pt idx="348">
                  <c:v>267.798</c:v>
                </c:pt>
                <c:pt idx="349">
                  <c:v>266.21249999999998</c:v>
                </c:pt>
                <c:pt idx="350">
                  <c:v>264.714</c:v>
                </c:pt>
                <c:pt idx="351">
                  <c:v>263.25</c:v>
                </c:pt>
                <c:pt idx="352">
                  <c:v>261.57599999999996</c:v>
                </c:pt>
                <c:pt idx="353">
                  <c:v>260.214</c:v>
                </c:pt>
                <c:pt idx="354">
                  <c:v>258.61199999999997</c:v>
                </c:pt>
                <c:pt idx="355">
                  <c:v>257.11649999999997</c:v>
                </c:pt>
                <c:pt idx="356">
                  <c:v>255.51300000000003</c:v>
                </c:pt>
                <c:pt idx="357">
                  <c:v>253.959</c:v>
                </c:pt>
                <c:pt idx="358">
                  <c:v>252.363</c:v>
                </c:pt>
                <c:pt idx="359">
                  <c:v>250.6755</c:v>
                </c:pt>
                <c:pt idx="360">
                  <c:v>249.10950000000003</c:v>
                </c:pt>
                <c:pt idx="361">
                  <c:v>247.45050000000003</c:v>
                </c:pt>
                <c:pt idx="362">
                  <c:v>245.85449999999997</c:v>
                </c:pt>
                <c:pt idx="363">
                  <c:v>244.31849999999997</c:v>
                </c:pt>
                <c:pt idx="364">
                  <c:v>242.53199999999998</c:v>
                </c:pt>
                <c:pt idx="365">
                  <c:v>241.053</c:v>
                </c:pt>
                <c:pt idx="366">
                  <c:v>239.35050000000001</c:v>
                </c:pt>
                <c:pt idx="367">
                  <c:v>237.762</c:v>
                </c:pt>
                <c:pt idx="368">
                  <c:v>236.0505</c:v>
                </c:pt>
                <c:pt idx="369">
                  <c:v>234.423</c:v>
                </c:pt>
                <c:pt idx="370">
                  <c:v>232.791</c:v>
                </c:pt>
                <c:pt idx="371">
                  <c:v>231.07500000000002</c:v>
                </c:pt>
                <c:pt idx="372">
                  <c:v>229.524</c:v>
                </c:pt>
                <c:pt idx="373">
                  <c:v>227.8245</c:v>
                </c:pt>
                <c:pt idx="374">
                  <c:v>226.28249999999997</c:v>
                </c:pt>
                <c:pt idx="375">
                  <c:v>224.7585</c:v>
                </c:pt>
                <c:pt idx="376">
                  <c:v>223.09950000000001</c:v>
                </c:pt>
                <c:pt idx="377">
                  <c:v>221.649</c:v>
                </c:pt>
                <c:pt idx="378">
                  <c:v>220.03800000000001</c:v>
                </c:pt>
                <c:pt idx="379">
                  <c:v>218.553</c:v>
                </c:pt>
                <c:pt idx="380">
                  <c:v>216.96299999999999</c:v>
                </c:pt>
                <c:pt idx="381">
                  <c:v>215.43150000000003</c:v>
                </c:pt>
                <c:pt idx="382">
                  <c:v>213.9195</c:v>
                </c:pt>
                <c:pt idx="383">
                  <c:v>212.37450000000001</c:v>
                </c:pt>
                <c:pt idx="384">
                  <c:v>210.94349999999997</c:v>
                </c:pt>
                <c:pt idx="385">
                  <c:v>209.4255</c:v>
                </c:pt>
                <c:pt idx="386">
                  <c:v>208.041</c:v>
                </c:pt>
                <c:pt idx="387">
                  <c:v>206.685</c:v>
                </c:pt>
                <c:pt idx="388">
                  <c:v>205.16549999999998</c:v>
                </c:pt>
                <c:pt idx="389">
                  <c:v>203.916</c:v>
                </c:pt>
                <c:pt idx="390">
                  <c:v>202.488</c:v>
                </c:pt>
                <c:pt idx="391">
                  <c:v>201.1695</c:v>
                </c:pt>
                <c:pt idx="392">
                  <c:v>199.76250000000002</c:v>
                </c:pt>
                <c:pt idx="393">
                  <c:v>198.447</c:v>
                </c:pt>
                <c:pt idx="394">
                  <c:v>197.1525</c:v>
                </c:pt>
                <c:pt idx="395">
                  <c:v>195.78750000000002</c:v>
                </c:pt>
                <c:pt idx="396">
                  <c:v>194.565</c:v>
                </c:pt>
                <c:pt idx="397">
                  <c:v>193.22550000000001</c:v>
                </c:pt>
                <c:pt idx="398">
                  <c:v>191.976</c:v>
                </c:pt>
                <c:pt idx="399">
                  <c:v>190.7775</c:v>
                </c:pt>
                <c:pt idx="400">
                  <c:v>189.40199999999999</c:v>
                </c:pt>
                <c:pt idx="401">
                  <c:v>188.322</c:v>
                </c:pt>
                <c:pt idx="402">
                  <c:v>187.08749999999998</c:v>
                </c:pt>
                <c:pt idx="403">
                  <c:v>185.94</c:v>
                </c:pt>
                <c:pt idx="404">
                  <c:v>184.73699999999999</c:v>
                </c:pt>
                <c:pt idx="405">
                  <c:v>183.5925</c:v>
                </c:pt>
                <c:pt idx="406">
                  <c:v>182.4555</c:v>
                </c:pt>
                <c:pt idx="407">
                  <c:v>181.27499999999998</c:v>
                </c:pt>
                <c:pt idx="408">
                  <c:v>180.2055</c:v>
                </c:pt>
                <c:pt idx="409">
                  <c:v>179.0505</c:v>
                </c:pt>
                <c:pt idx="410">
                  <c:v>177.9555</c:v>
                </c:pt>
                <c:pt idx="411">
                  <c:v>176.928</c:v>
                </c:pt>
                <c:pt idx="412">
                  <c:v>175.72800000000001</c:v>
                </c:pt>
                <c:pt idx="413">
                  <c:v>174.786</c:v>
                </c:pt>
                <c:pt idx="414">
                  <c:v>173.7</c:v>
                </c:pt>
                <c:pt idx="415">
                  <c:v>172.6935</c:v>
                </c:pt>
                <c:pt idx="416">
                  <c:v>171.64950000000002</c:v>
                </c:pt>
                <c:pt idx="417">
                  <c:v>170.661</c:v>
                </c:pt>
                <c:pt idx="418">
                  <c:v>169.6935</c:v>
                </c:pt>
                <c:pt idx="419">
                  <c:v>168.64950000000002</c:v>
                </c:pt>
                <c:pt idx="420">
                  <c:v>167.7345</c:v>
                </c:pt>
                <c:pt idx="421">
                  <c:v>166.75049999999999</c:v>
                </c:pt>
                <c:pt idx="422">
                  <c:v>165.798</c:v>
                </c:pt>
                <c:pt idx="423">
                  <c:v>164.9025</c:v>
                </c:pt>
                <c:pt idx="424">
                  <c:v>163.92600000000002</c:v>
                </c:pt>
                <c:pt idx="425">
                  <c:v>163.2225</c:v>
                </c:pt>
                <c:pt idx="426">
                  <c:v>162.13800000000001</c:v>
                </c:pt>
                <c:pt idx="427">
                  <c:v>161.25</c:v>
                </c:pt>
                <c:pt idx="428">
                  <c:v>160.33799999999999</c:v>
                </c:pt>
                <c:pt idx="429">
                  <c:v>159.4725</c:v>
                </c:pt>
                <c:pt idx="430">
                  <c:v>158.613</c:v>
                </c:pt>
                <c:pt idx="431">
                  <c:v>157.75049999999999</c:v>
                </c:pt>
                <c:pt idx="432">
                  <c:v>156.9315</c:v>
                </c:pt>
                <c:pt idx="433">
                  <c:v>156.07499999999999</c:v>
                </c:pt>
                <c:pt idx="434">
                  <c:v>155.262</c:v>
                </c:pt>
                <c:pt idx="435">
                  <c:v>154.512</c:v>
                </c:pt>
                <c:pt idx="436">
                  <c:v>153.64350000000002</c:v>
                </c:pt>
                <c:pt idx="437">
                  <c:v>152.928</c:v>
                </c:pt>
                <c:pt idx="438">
                  <c:v>152.12549999999999</c:v>
                </c:pt>
                <c:pt idx="439">
                  <c:v>151.3905</c:v>
                </c:pt>
                <c:pt idx="440">
                  <c:v>150.60000000000002</c:v>
                </c:pt>
                <c:pt idx="441">
                  <c:v>149.86695</c:v>
                </c:pt>
                <c:pt idx="442">
                  <c:v>149.10480000000001</c:v>
                </c:pt>
                <c:pt idx="443">
                  <c:v>148.36245</c:v>
                </c:pt>
                <c:pt idx="444">
                  <c:v>147.65325000000001</c:v>
                </c:pt>
                <c:pt idx="445">
                  <c:v>146.89994999999999</c:v>
                </c:pt>
                <c:pt idx="446">
                  <c:v>146.20155</c:v>
                </c:pt>
                <c:pt idx="447">
                  <c:v>145.53629999999998</c:v>
                </c:pt>
                <c:pt idx="448">
                  <c:v>144.77685</c:v>
                </c:pt>
                <c:pt idx="449">
                  <c:v>144.15719999999999</c:v>
                </c:pt>
                <c:pt idx="450">
                  <c:v>143.46254999999999</c:v>
                </c:pt>
                <c:pt idx="451">
                  <c:v>142.80240000000001</c:v>
                </c:pt>
                <c:pt idx="452">
                  <c:v>142.08749999999998</c:v>
                </c:pt>
                <c:pt idx="453">
                  <c:v>141.41129999999998</c:v>
                </c:pt>
                <c:pt idx="454">
                  <c:v>140.75805</c:v>
                </c:pt>
                <c:pt idx="455">
                  <c:v>140.05005</c:v>
                </c:pt>
                <c:pt idx="456">
                  <c:v>139.41540000000001</c:v>
                </c:pt>
                <c:pt idx="457">
                  <c:v>138.73755</c:v>
                </c:pt>
                <c:pt idx="458">
                  <c:v>138.12090000000001</c:v>
                </c:pt>
                <c:pt idx="459">
                  <c:v>137.50409999999999</c:v>
                </c:pt>
                <c:pt idx="460">
                  <c:v>136.82145</c:v>
                </c:pt>
                <c:pt idx="461">
                  <c:v>136.27019999999999</c:v>
                </c:pt>
                <c:pt idx="462">
                  <c:v>135.61245</c:v>
                </c:pt>
                <c:pt idx="463">
                  <c:v>135.03629999999998</c:v>
                </c:pt>
                <c:pt idx="464">
                  <c:v>134.39999999999998</c:v>
                </c:pt>
                <c:pt idx="465">
                  <c:v>133.81455</c:v>
                </c:pt>
                <c:pt idx="466">
                  <c:v>133.23390000000001</c:v>
                </c:pt>
                <c:pt idx="467">
                  <c:v>132.61245</c:v>
                </c:pt>
                <c:pt idx="468">
                  <c:v>132.07259999999999</c:v>
                </c:pt>
                <c:pt idx="469">
                  <c:v>132.01245</c:v>
                </c:pt>
                <c:pt idx="470">
                  <c:v>131.86695</c:v>
                </c:pt>
                <c:pt idx="471">
                  <c:v>131.47980000000001</c:v>
                </c:pt>
                <c:pt idx="472">
                  <c:v>130.9008</c:v>
                </c:pt>
                <c:pt idx="473">
                  <c:v>130.29435000000001</c:v>
                </c:pt>
                <c:pt idx="474">
                  <c:v>129.57495</c:v>
                </c:pt>
                <c:pt idx="475">
                  <c:v>128.89109999999999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290-45FF-823D-857AD61FB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429952"/>
        <c:axId val="527431264"/>
      </c:areaChart>
      <c:lineChart>
        <c:grouping val="standard"/>
        <c:varyColors val="0"/>
        <c:ser>
          <c:idx val="24"/>
          <c:order val="24"/>
          <c:tx>
            <c:strRef>
              <c:f>'FPSO1 Otim'!$AA$5</c:f>
              <c:strCache>
                <c:ptCount val="1"/>
                <c:pt idx="0">
                  <c:v>LIMITE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'FPSO1 Otim'!$AA$6:$AA$733</c:f>
              <c:numCache>
                <c:formatCode>General</c:formatCode>
                <c:ptCount val="728"/>
                <c:pt idx="0">
                  <c:v>15000</c:v>
                </c:pt>
                <c:pt idx="1">
                  <c:v>15000</c:v>
                </c:pt>
                <c:pt idx="2">
                  <c:v>15000</c:v>
                </c:pt>
                <c:pt idx="3">
                  <c:v>15000</c:v>
                </c:pt>
                <c:pt idx="4">
                  <c:v>15000</c:v>
                </c:pt>
                <c:pt idx="5">
                  <c:v>15000</c:v>
                </c:pt>
                <c:pt idx="6">
                  <c:v>15000</c:v>
                </c:pt>
                <c:pt idx="7">
                  <c:v>15000</c:v>
                </c:pt>
                <c:pt idx="8">
                  <c:v>15000</c:v>
                </c:pt>
                <c:pt idx="9">
                  <c:v>15000</c:v>
                </c:pt>
                <c:pt idx="10">
                  <c:v>15000</c:v>
                </c:pt>
                <c:pt idx="11">
                  <c:v>15000</c:v>
                </c:pt>
                <c:pt idx="12">
                  <c:v>15000</c:v>
                </c:pt>
                <c:pt idx="13">
                  <c:v>15000</c:v>
                </c:pt>
                <c:pt idx="14">
                  <c:v>15000</c:v>
                </c:pt>
                <c:pt idx="15">
                  <c:v>15000</c:v>
                </c:pt>
                <c:pt idx="16">
                  <c:v>15000</c:v>
                </c:pt>
                <c:pt idx="17">
                  <c:v>15000</c:v>
                </c:pt>
                <c:pt idx="18">
                  <c:v>15000</c:v>
                </c:pt>
                <c:pt idx="19">
                  <c:v>15000</c:v>
                </c:pt>
                <c:pt idx="20">
                  <c:v>15000</c:v>
                </c:pt>
                <c:pt idx="21">
                  <c:v>15000</c:v>
                </c:pt>
                <c:pt idx="22">
                  <c:v>15000</c:v>
                </c:pt>
                <c:pt idx="23">
                  <c:v>15000</c:v>
                </c:pt>
                <c:pt idx="24">
                  <c:v>15000</c:v>
                </c:pt>
                <c:pt idx="25">
                  <c:v>15000</c:v>
                </c:pt>
                <c:pt idx="26">
                  <c:v>15000</c:v>
                </c:pt>
                <c:pt idx="27">
                  <c:v>15000</c:v>
                </c:pt>
                <c:pt idx="28">
                  <c:v>15000</c:v>
                </c:pt>
                <c:pt idx="29">
                  <c:v>15000</c:v>
                </c:pt>
                <c:pt idx="30">
                  <c:v>15000</c:v>
                </c:pt>
                <c:pt idx="31">
                  <c:v>15000</c:v>
                </c:pt>
                <c:pt idx="32">
                  <c:v>15000</c:v>
                </c:pt>
                <c:pt idx="33">
                  <c:v>15000</c:v>
                </c:pt>
                <c:pt idx="34">
                  <c:v>15000</c:v>
                </c:pt>
                <c:pt idx="35">
                  <c:v>15000</c:v>
                </c:pt>
                <c:pt idx="36">
                  <c:v>15000</c:v>
                </c:pt>
                <c:pt idx="37">
                  <c:v>15000</c:v>
                </c:pt>
                <c:pt idx="38">
                  <c:v>15000</c:v>
                </c:pt>
                <c:pt idx="39">
                  <c:v>15000</c:v>
                </c:pt>
                <c:pt idx="40">
                  <c:v>15000</c:v>
                </c:pt>
                <c:pt idx="41">
                  <c:v>15000</c:v>
                </c:pt>
                <c:pt idx="42">
                  <c:v>15000</c:v>
                </c:pt>
                <c:pt idx="43">
                  <c:v>15000</c:v>
                </c:pt>
                <c:pt idx="44">
                  <c:v>15000</c:v>
                </c:pt>
                <c:pt idx="45">
                  <c:v>15000</c:v>
                </c:pt>
                <c:pt idx="46">
                  <c:v>15000</c:v>
                </c:pt>
                <c:pt idx="47">
                  <c:v>15000</c:v>
                </c:pt>
                <c:pt idx="48">
                  <c:v>15000</c:v>
                </c:pt>
                <c:pt idx="49">
                  <c:v>15000</c:v>
                </c:pt>
                <c:pt idx="50">
                  <c:v>15000</c:v>
                </c:pt>
                <c:pt idx="51">
                  <c:v>15000</c:v>
                </c:pt>
                <c:pt idx="52">
                  <c:v>15000</c:v>
                </c:pt>
                <c:pt idx="53">
                  <c:v>15000</c:v>
                </c:pt>
                <c:pt idx="54">
                  <c:v>15000</c:v>
                </c:pt>
                <c:pt idx="55">
                  <c:v>15000</c:v>
                </c:pt>
                <c:pt idx="56">
                  <c:v>15000</c:v>
                </c:pt>
                <c:pt idx="57">
                  <c:v>15000</c:v>
                </c:pt>
                <c:pt idx="58">
                  <c:v>15000</c:v>
                </c:pt>
                <c:pt idx="59">
                  <c:v>15000</c:v>
                </c:pt>
                <c:pt idx="60">
                  <c:v>15000</c:v>
                </c:pt>
                <c:pt idx="61">
                  <c:v>15000</c:v>
                </c:pt>
                <c:pt idx="62">
                  <c:v>15000</c:v>
                </c:pt>
                <c:pt idx="63">
                  <c:v>15000</c:v>
                </c:pt>
                <c:pt idx="64">
                  <c:v>15000</c:v>
                </c:pt>
                <c:pt idx="65">
                  <c:v>15000</c:v>
                </c:pt>
                <c:pt idx="66">
                  <c:v>15000</c:v>
                </c:pt>
                <c:pt idx="67">
                  <c:v>15000</c:v>
                </c:pt>
                <c:pt idx="68">
                  <c:v>15000</c:v>
                </c:pt>
                <c:pt idx="69">
                  <c:v>15000</c:v>
                </c:pt>
                <c:pt idx="70">
                  <c:v>15000</c:v>
                </c:pt>
                <c:pt idx="71">
                  <c:v>15000</c:v>
                </c:pt>
                <c:pt idx="72">
                  <c:v>15000</c:v>
                </c:pt>
                <c:pt idx="73">
                  <c:v>15000</c:v>
                </c:pt>
                <c:pt idx="74">
                  <c:v>15000</c:v>
                </c:pt>
                <c:pt idx="75">
                  <c:v>15000</c:v>
                </c:pt>
                <c:pt idx="76">
                  <c:v>15000</c:v>
                </c:pt>
                <c:pt idx="77">
                  <c:v>15000</c:v>
                </c:pt>
                <c:pt idx="78">
                  <c:v>15000</c:v>
                </c:pt>
                <c:pt idx="79">
                  <c:v>15000</c:v>
                </c:pt>
                <c:pt idx="80">
                  <c:v>15000</c:v>
                </c:pt>
                <c:pt idx="81">
                  <c:v>15000</c:v>
                </c:pt>
                <c:pt idx="82">
                  <c:v>15000</c:v>
                </c:pt>
                <c:pt idx="83">
                  <c:v>15000</c:v>
                </c:pt>
                <c:pt idx="84">
                  <c:v>15000</c:v>
                </c:pt>
                <c:pt idx="85">
                  <c:v>15000</c:v>
                </c:pt>
                <c:pt idx="86">
                  <c:v>15000</c:v>
                </c:pt>
                <c:pt idx="87">
                  <c:v>15000</c:v>
                </c:pt>
                <c:pt idx="88">
                  <c:v>15000</c:v>
                </c:pt>
                <c:pt idx="89">
                  <c:v>15000</c:v>
                </c:pt>
                <c:pt idx="90">
                  <c:v>15000</c:v>
                </c:pt>
                <c:pt idx="91">
                  <c:v>15000</c:v>
                </c:pt>
                <c:pt idx="92">
                  <c:v>15000</c:v>
                </c:pt>
                <c:pt idx="93">
                  <c:v>15000</c:v>
                </c:pt>
                <c:pt idx="94">
                  <c:v>15000</c:v>
                </c:pt>
                <c:pt idx="95">
                  <c:v>15000</c:v>
                </c:pt>
                <c:pt idx="96">
                  <c:v>15000</c:v>
                </c:pt>
                <c:pt idx="97">
                  <c:v>15000</c:v>
                </c:pt>
                <c:pt idx="98">
                  <c:v>15000</c:v>
                </c:pt>
                <c:pt idx="99">
                  <c:v>15000</c:v>
                </c:pt>
                <c:pt idx="100">
                  <c:v>15000</c:v>
                </c:pt>
                <c:pt idx="101">
                  <c:v>15000</c:v>
                </c:pt>
                <c:pt idx="102">
                  <c:v>15000</c:v>
                </c:pt>
                <c:pt idx="103">
                  <c:v>15000</c:v>
                </c:pt>
                <c:pt idx="104">
                  <c:v>15000</c:v>
                </c:pt>
                <c:pt idx="105">
                  <c:v>15000</c:v>
                </c:pt>
                <c:pt idx="106">
                  <c:v>15000</c:v>
                </c:pt>
                <c:pt idx="107">
                  <c:v>15000</c:v>
                </c:pt>
                <c:pt idx="108">
                  <c:v>15000</c:v>
                </c:pt>
                <c:pt idx="109">
                  <c:v>15000</c:v>
                </c:pt>
                <c:pt idx="110">
                  <c:v>15000</c:v>
                </c:pt>
                <c:pt idx="111">
                  <c:v>15000</c:v>
                </c:pt>
                <c:pt idx="112">
                  <c:v>15000</c:v>
                </c:pt>
                <c:pt idx="113">
                  <c:v>15000</c:v>
                </c:pt>
                <c:pt idx="114">
                  <c:v>15000</c:v>
                </c:pt>
                <c:pt idx="115">
                  <c:v>15000</c:v>
                </c:pt>
                <c:pt idx="116">
                  <c:v>15000</c:v>
                </c:pt>
                <c:pt idx="117">
                  <c:v>15000</c:v>
                </c:pt>
                <c:pt idx="118">
                  <c:v>15000</c:v>
                </c:pt>
                <c:pt idx="119">
                  <c:v>15000</c:v>
                </c:pt>
                <c:pt idx="120">
                  <c:v>15000</c:v>
                </c:pt>
                <c:pt idx="121">
                  <c:v>15000</c:v>
                </c:pt>
                <c:pt idx="122">
                  <c:v>15000</c:v>
                </c:pt>
                <c:pt idx="123">
                  <c:v>15000</c:v>
                </c:pt>
                <c:pt idx="124">
                  <c:v>15000</c:v>
                </c:pt>
                <c:pt idx="125">
                  <c:v>15000</c:v>
                </c:pt>
                <c:pt idx="126">
                  <c:v>15000</c:v>
                </c:pt>
                <c:pt idx="127">
                  <c:v>15000</c:v>
                </c:pt>
                <c:pt idx="128">
                  <c:v>15000</c:v>
                </c:pt>
                <c:pt idx="129">
                  <c:v>15000</c:v>
                </c:pt>
                <c:pt idx="130">
                  <c:v>15000</c:v>
                </c:pt>
                <c:pt idx="131">
                  <c:v>15000</c:v>
                </c:pt>
                <c:pt idx="132">
                  <c:v>15000</c:v>
                </c:pt>
                <c:pt idx="133">
                  <c:v>15000</c:v>
                </c:pt>
                <c:pt idx="134">
                  <c:v>15000</c:v>
                </c:pt>
                <c:pt idx="135">
                  <c:v>15000</c:v>
                </c:pt>
                <c:pt idx="136">
                  <c:v>15000</c:v>
                </c:pt>
                <c:pt idx="137">
                  <c:v>15000</c:v>
                </c:pt>
                <c:pt idx="138">
                  <c:v>15000</c:v>
                </c:pt>
                <c:pt idx="139">
                  <c:v>15000</c:v>
                </c:pt>
                <c:pt idx="140">
                  <c:v>15000</c:v>
                </c:pt>
                <c:pt idx="141">
                  <c:v>15000</c:v>
                </c:pt>
                <c:pt idx="142">
                  <c:v>15000</c:v>
                </c:pt>
                <c:pt idx="143">
                  <c:v>15000</c:v>
                </c:pt>
                <c:pt idx="144">
                  <c:v>15000</c:v>
                </c:pt>
                <c:pt idx="145">
                  <c:v>15000</c:v>
                </c:pt>
                <c:pt idx="146">
                  <c:v>15000</c:v>
                </c:pt>
                <c:pt idx="147">
                  <c:v>15000</c:v>
                </c:pt>
                <c:pt idx="148">
                  <c:v>15000</c:v>
                </c:pt>
                <c:pt idx="149">
                  <c:v>15000</c:v>
                </c:pt>
                <c:pt idx="150">
                  <c:v>15000</c:v>
                </c:pt>
                <c:pt idx="151">
                  <c:v>15000</c:v>
                </c:pt>
                <c:pt idx="152">
                  <c:v>15000</c:v>
                </c:pt>
                <c:pt idx="153">
                  <c:v>15000</c:v>
                </c:pt>
                <c:pt idx="154">
                  <c:v>15000</c:v>
                </c:pt>
                <c:pt idx="155">
                  <c:v>15000</c:v>
                </c:pt>
                <c:pt idx="156">
                  <c:v>15000</c:v>
                </c:pt>
                <c:pt idx="157">
                  <c:v>15000</c:v>
                </c:pt>
                <c:pt idx="158">
                  <c:v>15000</c:v>
                </c:pt>
                <c:pt idx="159">
                  <c:v>15000</c:v>
                </c:pt>
                <c:pt idx="160">
                  <c:v>15000</c:v>
                </c:pt>
                <c:pt idx="161">
                  <c:v>15000</c:v>
                </c:pt>
                <c:pt idx="162">
                  <c:v>15000</c:v>
                </c:pt>
                <c:pt idx="163">
                  <c:v>15000</c:v>
                </c:pt>
                <c:pt idx="164">
                  <c:v>15000</c:v>
                </c:pt>
                <c:pt idx="165">
                  <c:v>15000</c:v>
                </c:pt>
                <c:pt idx="166">
                  <c:v>15000</c:v>
                </c:pt>
                <c:pt idx="167">
                  <c:v>15000</c:v>
                </c:pt>
                <c:pt idx="168">
                  <c:v>15000</c:v>
                </c:pt>
                <c:pt idx="169">
                  <c:v>15000</c:v>
                </c:pt>
                <c:pt idx="170">
                  <c:v>15000</c:v>
                </c:pt>
                <c:pt idx="171">
                  <c:v>15000</c:v>
                </c:pt>
                <c:pt idx="172">
                  <c:v>15000</c:v>
                </c:pt>
                <c:pt idx="173">
                  <c:v>15000</c:v>
                </c:pt>
                <c:pt idx="174">
                  <c:v>15000</c:v>
                </c:pt>
                <c:pt idx="175">
                  <c:v>15000</c:v>
                </c:pt>
                <c:pt idx="176">
                  <c:v>15000</c:v>
                </c:pt>
                <c:pt idx="177">
                  <c:v>15000</c:v>
                </c:pt>
                <c:pt idx="178">
                  <c:v>15000</c:v>
                </c:pt>
                <c:pt idx="179">
                  <c:v>15000</c:v>
                </c:pt>
                <c:pt idx="180">
                  <c:v>15000</c:v>
                </c:pt>
                <c:pt idx="181">
                  <c:v>15000</c:v>
                </c:pt>
                <c:pt idx="182">
                  <c:v>15000</c:v>
                </c:pt>
                <c:pt idx="183">
                  <c:v>15000</c:v>
                </c:pt>
                <c:pt idx="184">
                  <c:v>15000</c:v>
                </c:pt>
                <c:pt idx="185">
                  <c:v>15000</c:v>
                </c:pt>
                <c:pt idx="186">
                  <c:v>15000</c:v>
                </c:pt>
                <c:pt idx="187">
                  <c:v>15000</c:v>
                </c:pt>
                <c:pt idx="188">
                  <c:v>15000</c:v>
                </c:pt>
                <c:pt idx="189">
                  <c:v>15000</c:v>
                </c:pt>
                <c:pt idx="190">
                  <c:v>15000</c:v>
                </c:pt>
                <c:pt idx="191">
                  <c:v>15000</c:v>
                </c:pt>
                <c:pt idx="192">
                  <c:v>15000</c:v>
                </c:pt>
                <c:pt idx="193">
                  <c:v>15000</c:v>
                </c:pt>
                <c:pt idx="194">
                  <c:v>15000</c:v>
                </c:pt>
                <c:pt idx="195">
                  <c:v>15000</c:v>
                </c:pt>
                <c:pt idx="196">
                  <c:v>15000</c:v>
                </c:pt>
                <c:pt idx="197">
                  <c:v>15000</c:v>
                </c:pt>
                <c:pt idx="198">
                  <c:v>15000</c:v>
                </c:pt>
                <c:pt idx="199">
                  <c:v>15000</c:v>
                </c:pt>
                <c:pt idx="200">
                  <c:v>15000</c:v>
                </c:pt>
                <c:pt idx="201">
                  <c:v>15000</c:v>
                </c:pt>
                <c:pt idx="202">
                  <c:v>15000</c:v>
                </c:pt>
                <c:pt idx="203">
                  <c:v>15000</c:v>
                </c:pt>
                <c:pt idx="204">
                  <c:v>15000</c:v>
                </c:pt>
                <c:pt idx="205">
                  <c:v>15000</c:v>
                </c:pt>
                <c:pt idx="206">
                  <c:v>15000</c:v>
                </c:pt>
                <c:pt idx="207">
                  <c:v>15000</c:v>
                </c:pt>
                <c:pt idx="208">
                  <c:v>15000</c:v>
                </c:pt>
                <c:pt idx="209">
                  <c:v>15000</c:v>
                </c:pt>
                <c:pt idx="210">
                  <c:v>15000</c:v>
                </c:pt>
                <c:pt idx="211">
                  <c:v>15000</c:v>
                </c:pt>
                <c:pt idx="212">
                  <c:v>15000</c:v>
                </c:pt>
                <c:pt idx="213">
                  <c:v>15000</c:v>
                </c:pt>
                <c:pt idx="214">
                  <c:v>15000</c:v>
                </c:pt>
                <c:pt idx="215">
                  <c:v>15000</c:v>
                </c:pt>
                <c:pt idx="216">
                  <c:v>15000</c:v>
                </c:pt>
                <c:pt idx="217">
                  <c:v>15000</c:v>
                </c:pt>
                <c:pt idx="218">
                  <c:v>15000</c:v>
                </c:pt>
                <c:pt idx="219">
                  <c:v>15000</c:v>
                </c:pt>
                <c:pt idx="220">
                  <c:v>15000</c:v>
                </c:pt>
                <c:pt idx="221">
                  <c:v>15000</c:v>
                </c:pt>
                <c:pt idx="222">
                  <c:v>15000</c:v>
                </c:pt>
                <c:pt idx="223">
                  <c:v>15000</c:v>
                </c:pt>
                <c:pt idx="224">
                  <c:v>15000</c:v>
                </c:pt>
                <c:pt idx="225">
                  <c:v>15000</c:v>
                </c:pt>
                <c:pt idx="226">
                  <c:v>15000</c:v>
                </c:pt>
                <c:pt idx="227">
                  <c:v>15000</c:v>
                </c:pt>
                <c:pt idx="228">
                  <c:v>15000</c:v>
                </c:pt>
                <c:pt idx="229">
                  <c:v>15000</c:v>
                </c:pt>
                <c:pt idx="230">
                  <c:v>15000</c:v>
                </c:pt>
                <c:pt idx="231">
                  <c:v>15000</c:v>
                </c:pt>
                <c:pt idx="232">
                  <c:v>15000</c:v>
                </c:pt>
                <c:pt idx="233">
                  <c:v>15000</c:v>
                </c:pt>
                <c:pt idx="234">
                  <c:v>15000</c:v>
                </c:pt>
                <c:pt idx="235">
                  <c:v>15000</c:v>
                </c:pt>
                <c:pt idx="236">
                  <c:v>15000</c:v>
                </c:pt>
                <c:pt idx="237">
                  <c:v>15000</c:v>
                </c:pt>
                <c:pt idx="238">
                  <c:v>15000</c:v>
                </c:pt>
                <c:pt idx="239">
                  <c:v>15000</c:v>
                </c:pt>
                <c:pt idx="240">
                  <c:v>15000</c:v>
                </c:pt>
                <c:pt idx="241">
                  <c:v>15000</c:v>
                </c:pt>
                <c:pt idx="242">
                  <c:v>15000</c:v>
                </c:pt>
                <c:pt idx="243">
                  <c:v>15000</c:v>
                </c:pt>
                <c:pt idx="244">
                  <c:v>15000</c:v>
                </c:pt>
                <c:pt idx="245">
                  <c:v>15000</c:v>
                </c:pt>
                <c:pt idx="246">
                  <c:v>15000</c:v>
                </c:pt>
                <c:pt idx="247">
                  <c:v>15000</c:v>
                </c:pt>
                <c:pt idx="248">
                  <c:v>15000</c:v>
                </c:pt>
                <c:pt idx="249">
                  <c:v>15000</c:v>
                </c:pt>
                <c:pt idx="250">
                  <c:v>15000</c:v>
                </c:pt>
                <c:pt idx="251">
                  <c:v>15000</c:v>
                </c:pt>
                <c:pt idx="252">
                  <c:v>15000</c:v>
                </c:pt>
                <c:pt idx="253">
                  <c:v>15000</c:v>
                </c:pt>
                <c:pt idx="254">
                  <c:v>15000</c:v>
                </c:pt>
                <c:pt idx="255">
                  <c:v>15000</c:v>
                </c:pt>
                <c:pt idx="256">
                  <c:v>15000</c:v>
                </c:pt>
                <c:pt idx="257">
                  <c:v>15000</c:v>
                </c:pt>
                <c:pt idx="258">
                  <c:v>15000</c:v>
                </c:pt>
                <c:pt idx="259">
                  <c:v>15000</c:v>
                </c:pt>
                <c:pt idx="260">
                  <c:v>15000</c:v>
                </c:pt>
                <c:pt idx="261">
                  <c:v>15000</c:v>
                </c:pt>
                <c:pt idx="262">
                  <c:v>15000</c:v>
                </c:pt>
                <c:pt idx="263">
                  <c:v>15000</c:v>
                </c:pt>
                <c:pt idx="264">
                  <c:v>15000</c:v>
                </c:pt>
                <c:pt idx="265">
                  <c:v>15000</c:v>
                </c:pt>
                <c:pt idx="266">
                  <c:v>15000</c:v>
                </c:pt>
                <c:pt idx="267">
                  <c:v>15000</c:v>
                </c:pt>
                <c:pt idx="268">
                  <c:v>15000</c:v>
                </c:pt>
                <c:pt idx="269">
                  <c:v>15000</c:v>
                </c:pt>
                <c:pt idx="270">
                  <c:v>15000</c:v>
                </c:pt>
                <c:pt idx="271">
                  <c:v>15000</c:v>
                </c:pt>
                <c:pt idx="272">
                  <c:v>15000</c:v>
                </c:pt>
                <c:pt idx="273">
                  <c:v>15000</c:v>
                </c:pt>
                <c:pt idx="274">
                  <c:v>15000</c:v>
                </c:pt>
                <c:pt idx="275">
                  <c:v>15000</c:v>
                </c:pt>
                <c:pt idx="276">
                  <c:v>15000</c:v>
                </c:pt>
                <c:pt idx="277">
                  <c:v>15000</c:v>
                </c:pt>
                <c:pt idx="278">
                  <c:v>15000</c:v>
                </c:pt>
                <c:pt idx="279">
                  <c:v>15000</c:v>
                </c:pt>
                <c:pt idx="280">
                  <c:v>15000</c:v>
                </c:pt>
                <c:pt idx="281">
                  <c:v>15000</c:v>
                </c:pt>
                <c:pt idx="282">
                  <c:v>15000</c:v>
                </c:pt>
                <c:pt idx="283">
                  <c:v>15000</c:v>
                </c:pt>
                <c:pt idx="284">
                  <c:v>15000</c:v>
                </c:pt>
                <c:pt idx="285">
                  <c:v>15000</c:v>
                </c:pt>
                <c:pt idx="286">
                  <c:v>15000</c:v>
                </c:pt>
                <c:pt idx="287">
                  <c:v>15000</c:v>
                </c:pt>
                <c:pt idx="288">
                  <c:v>15000</c:v>
                </c:pt>
                <c:pt idx="289">
                  <c:v>15000</c:v>
                </c:pt>
                <c:pt idx="290">
                  <c:v>15000</c:v>
                </c:pt>
                <c:pt idx="291">
                  <c:v>15000</c:v>
                </c:pt>
                <c:pt idx="292">
                  <c:v>15000</c:v>
                </c:pt>
                <c:pt idx="293">
                  <c:v>15000</c:v>
                </c:pt>
                <c:pt idx="294">
                  <c:v>15000</c:v>
                </c:pt>
                <c:pt idx="295">
                  <c:v>15000</c:v>
                </c:pt>
                <c:pt idx="296">
                  <c:v>15000</c:v>
                </c:pt>
                <c:pt idx="297">
                  <c:v>15000</c:v>
                </c:pt>
                <c:pt idx="298">
                  <c:v>15000</c:v>
                </c:pt>
                <c:pt idx="299">
                  <c:v>15000</c:v>
                </c:pt>
                <c:pt idx="300">
                  <c:v>15000</c:v>
                </c:pt>
                <c:pt idx="301">
                  <c:v>15000</c:v>
                </c:pt>
                <c:pt idx="302">
                  <c:v>15000</c:v>
                </c:pt>
                <c:pt idx="303">
                  <c:v>15000</c:v>
                </c:pt>
                <c:pt idx="304">
                  <c:v>15000</c:v>
                </c:pt>
                <c:pt idx="305">
                  <c:v>15000</c:v>
                </c:pt>
                <c:pt idx="306">
                  <c:v>15000</c:v>
                </c:pt>
                <c:pt idx="307">
                  <c:v>15000</c:v>
                </c:pt>
                <c:pt idx="308">
                  <c:v>15000</c:v>
                </c:pt>
                <c:pt idx="309">
                  <c:v>15000</c:v>
                </c:pt>
                <c:pt idx="310">
                  <c:v>15000</c:v>
                </c:pt>
                <c:pt idx="311">
                  <c:v>15000</c:v>
                </c:pt>
                <c:pt idx="312">
                  <c:v>15000</c:v>
                </c:pt>
                <c:pt idx="313">
                  <c:v>15000</c:v>
                </c:pt>
                <c:pt idx="314">
                  <c:v>15000</c:v>
                </c:pt>
                <c:pt idx="315">
                  <c:v>15000</c:v>
                </c:pt>
                <c:pt idx="316">
                  <c:v>15000</c:v>
                </c:pt>
                <c:pt idx="317">
                  <c:v>15000</c:v>
                </c:pt>
                <c:pt idx="318">
                  <c:v>15000</c:v>
                </c:pt>
                <c:pt idx="319">
                  <c:v>15000</c:v>
                </c:pt>
                <c:pt idx="320">
                  <c:v>15000</c:v>
                </c:pt>
                <c:pt idx="321">
                  <c:v>15000</c:v>
                </c:pt>
                <c:pt idx="322">
                  <c:v>15000</c:v>
                </c:pt>
                <c:pt idx="323">
                  <c:v>15000</c:v>
                </c:pt>
                <c:pt idx="324">
                  <c:v>15000</c:v>
                </c:pt>
                <c:pt idx="325">
                  <c:v>15000</c:v>
                </c:pt>
                <c:pt idx="326">
                  <c:v>15000</c:v>
                </c:pt>
                <c:pt idx="327">
                  <c:v>15000</c:v>
                </c:pt>
                <c:pt idx="328">
                  <c:v>15000</c:v>
                </c:pt>
                <c:pt idx="329">
                  <c:v>15000</c:v>
                </c:pt>
                <c:pt idx="330">
                  <c:v>15000</c:v>
                </c:pt>
                <c:pt idx="331">
                  <c:v>15000</c:v>
                </c:pt>
                <c:pt idx="332">
                  <c:v>15000</c:v>
                </c:pt>
                <c:pt idx="333">
                  <c:v>15000</c:v>
                </c:pt>
                <c:pt idx="334">
                  <c:v>15000</c:v>
                </c:pt>
                <c:pt idx="335">
                  <c:v>15000</c:v>
                </c:pt>
                <c:pt idx="336">
                  <c:v>15000</c:v>
                </c:pt>
                <c:pt idx="337">
                  <c:v>15000</c:v>
                </c:pt>
                <c:pt idx="338">
                  <c:v>15000</c:v>
                </c:pt>
                <c:pt idx="339">
                  <c:v>15000</c:v>
                </c:pt>
                <c:pt idx="340">
                  <c:v>15000</c:v>
                </c:pt>
                <c:pt idx="341">
                  <c:v>15000</c:v>
                </c:pt>
                <c:pt idx="342">
                  <c:v>15000</c:v>
                </c:pt>
                <c:pt idx="343">
                  <c:v>15000</c:v>
                </c:pt>
                <c:pt idx="344">
                  <c:v>15000</c:v>
                </c:pt>
                <c:pt idx="345">
                  <c:v>15000</c:v>
                </c:pt>
                <c:pt idx="346">
                  <c:v>15000</c:v>
                </c:pt>
                <c:pt idx="347">
                  <c:v>15000</c:v>
                </c:pt>
                <c:pt idx="348">
                  <c:v>15000</c:v>
                </c:pt>
                <c:pt idx="349">
                  <c:v>15000</c:v>
                </c:pt>
                <c:pt idx="350">
                  <c:v>15000</c:v>
                </c:pt>
                <c:pt idx="351">
                  <c:v>15000</c:v>
                </c:pt>
                <c:pt idx="352">
                  <c:v>15000</c:v>
                </c:pt>
                <c:pt idx="353">
                  <c:v>15000</c:v>
                </c:pt>
                <c:pt idx="354">
                  <c:v>15000</c:v>
                </c:pt>
                <c:pt idx="355">
                  <c:v>15000</c:v>
                </c:pt>
                <c:pt idx="356">
                  <c:v>15000</c:v>
                </c:pt>
                <c:pt idx="357">
                  <c:v>15000</c:v>
                </c:pt>
                <c:pt idx="358">
                  <c:v>15000</c:v>
                </c:pt>
                <c:pt idx="359">
                  <c:v>15000</c:v>
                </c:pt>
                <c:pt idx="360">
                  <c:v>15000</c:v>
                </c:pt>
                <c:pt idx="361">
                  <c:v>15000</c:v>
                </c:pt>
                <c:pt idx="362">
                  <c:v>15000</c:v>
                </c:pt>
                <c:pt idx="363">
                  <c:v>15000</c:v>
                </c:pt>
                <c:pt idx="364">
                  <c:v>15000</c:v>
                </c:pt>
                <c:pt idx="365">
                  <c:v>15000</c:v>
                </c:pt>
                <c:pt idx="366">
                  <c:v>15000</c:v>
                </c:pt>
                <c:pt idx="367">
                  <c:v>15000</c:v>
                </c:pt>
                <c:pt idx="368">
                  <c:v>15000</c:v>
                </c:pt>
                <c:pt idx="369">
                  <c:v>15000</c:v>
                </c:pt>
                <c:pt idx="370">
                  <c:v>15000</c:v>
                </c:pt>
                <c:pt idx="371">
                  <c:v>15000</c:v>
                </c:pt>
                <c:pt idx="372">
                  <c:v>15000</c:v>
                </c:pt>
                <c:pt idx="373">
                  <c:v>15000</c:v>
                </c:pt>
                <c:pt idx="374">
                  <c:v>15000</c:v>
                </c:pt>
                <c:pt idx="375">
                  <c:v>15000</c:v>
                </c:pt>
                <c:pt idx="376">
                  <c:v>15000</c:v>
                </c:pt>
                <c:pt idx="377">
                  <c:v>15000</c:v>
                </c:pt>
                <c:pt idx="378">
                  <c:v>15000</c:v>
                </c:pt>
                <c:pt idx="379">
                  <c:v>15000</c:v>
                </c:pt>
                <c:pt idx="380">
                  <c:v>15000</c:v>
                </c:pt>
                <c:pt idx="381">
                  <c:v>15000</c:v>
                </c:pt>
                <c:pt idx="382">
                  <c:v>15000</c:v>
                </c:pt>
                <c:pt idx="383">
                  <c:v>15000</c:v>
                </c:pt>
                <c:pt idx="384">
                  <c:v>15000</c:v>
                </c:pt>
                <c:pt idx="385">
                  <c:v>15000</c:v>
                </c:pt>
                <c:pt idx="386">
                  <c:v>15000</c:v>
                </c:pt>
                <c:pt idx="387">
                  <c:v>15000</c:v>
                </c:pt>
                <c:pt idx="388">
                  <c:v>15000</c:v>
                </c:pt>
                <c:pt idx="389">
                  <c:v>15000</c:v>
                </c:pt>
                <c:pt idx="390">
                  <c:v>15000</c:v>
                </c:pt>
                <c:pt idx="391">
                  <c:v>15000</c:v>
                </c:pt>
                <c:pt idx="392">
                  <c:v>15000</c:v>
                </c:pt>
                <c:pt idx="393">
                  <c:v>15000</c:v>
                </c:pt>
                <c:pt idx="394">
                  <c:v>15000</c:v>
                </c:pt>
                <c:pt idx="395">
                  <c:v>15000</c:v>
                </c:pt>
                <c:pt idx="396">
                  <c:v>15000</c:v>
                </c:pt>
                <c:pt idx="397">
                  <c:v>15000</c:v>
                </c:pt>
                <c:pt idx="398">
                  <c:v>15000</c:v>
                </c:pt>
                <c:pt idx="399">
                  <c:v>15000</c:v>
                </c:pt>
                <c:pt idx="400">
                  <c:v>15000</c:v>
                </c:pt>
                <c:pt idx="401">
                  <c:v>15000</c:v>
                </c:pt>
                <c:pt idx="402">
                  <c:v>15000</c:v>
                </c:pt>
                <c:pt idx="403">
                  <c:v>15000</c:v>
                </c:pt>
                <c:pt idx="404">
                  <c:v>15000</c:v>
                </c:pt>
                <c:pt idx="405">
                  <c:v>15000</c:v>
                </c:pt>
                <c:pt idx="406">
                  <c:v>15000</c:v>
                </c:pt>
                <c:pt idx="407">
                  <c:v>15000</c:v>
                </c:pt>
                <c:pt idx="408">
                  <c:v>15000</c:v>
                </c:pt>
                <c:pt idx="409">
                  <c:v>15000</c:v>
                </c:pt>
                <c:pt idx="410">
                  <c:v>15000</c:v>
                </c:pt>
                <c:pt idx="411">
                  <c:v>15000</c:v>
                </c:pt>
                <c:pt idx="412">
                  <c:v>15000</c:v>
                </c:pt>
                <c:pt idx="413">
                  <c:v>15000</c:v>
                </c:pt>
                <c:pt idx="414">
                  <c:v>15000</c:v>
                </c:pt>
                <c:pt idx="415">
                  <c:v>15000</c:v>
                </c:pt>
                <c:pt idx="416">
                  <c:v>15000</c:v>
                </c:pt>
                <c:pt idx="417">
                  <c:v>15000</c:v>
                </c:pt>
                <c:pt idx="418">
                  <c:v>15000</c:v>
                </c:pt>
                <c:pt idx="419">
                  <c:v>15000</c:v>
                </c:pt>
                <c:pt idx="420">
                  <c:v>15000</c:v>
                </c:pt>
                <c:pt idx="421">
                  <c:v>15000</c:v>
                </c:pt>
                <c:pt idx="422">
                  <c:v>15000</c:v>
                </c:pt>
                <c:pt idx="423">
                  <c:v>15000</c:v>
                </c:pt>
                <c:pt idx="424">
                  <c:v>15000</c:v>
                </c:pt>
                <c:pt idx="425">
                  <c:v>15000</c:v>
                </c:pt>
                <c:pt idx="426">
                  <c:v>15000</c:v>
                </c:pt>
                <c:pt idx="427">
                  <c:v>15000</c:v>
                </c:pt>
                <c:pt idx="428">
                  <c:v>15000</c:v>
                </c:pt>
                <c:pt idx="429">
                  <c:v>15000</c:v>
                </c:pt>
                <c:pt idx="430">
                  <c:v>15000</c:v>
                </c:pt>
                <c:pt idx="431">
                  <c:v>15000</c:v>
                </c:pt>
                <c:pt idx="432">
                  <c:v>15000</c:v>
                </c:pt>
                <c:pt idx="433">
                  <c:v>15000</c:v>
                </c:pt>
                <c:pt idx="434">
                  <c:v>15000</c:v>
                </c:pt>
                <c:pt idx="435">
                  <c:v>15000</c:v>
                </c:pt>
                <c:pt idx="436">
                  <c:v>15000</c:v>
                </c:pt>
                <c:pt idx="437">
                  <c:v>15000</c:v>
                </c:pt>
                <c:pt idx="438">
                  <c:v>15000</c:v>
                </c:pt>
                <c:pt idx="439">
                  <c:v>15000</c:v>
                </c:pt>
                <c:pt idx="440">
                  <c:v>15000</c:v>
                </c:pt>
                <c:pt idx="441">
                  <c:v>15000</c:v>
                </c:pt>
                <c:pt idx="442">
                  <c:v>15000</c:v>
                </c:pt>
                <c:pt idx="443">
                  <c:v>15000</c:v>
                </c:pt>
                <c:pt idx="444">
                  <c:v>15000</c:v>
                </c:pt>
                <c:pt idx="445">
                  <c:v>15000</c:v>
                </c:pt>
                <c:pt idx="446">
                  <c:v>15000</c:v>
                </c:pt>
                <c:pt idx="447">
                  <c:v>15000</c:v>
                </c:pt>
                <c:pt idx="448">
                  <c:v>15000</c:v>
                </c:pt>
                <c:pt idx="449">
                  <c:v>15000</c:v>
                </c:pt>
                <c:pt idx="450">
                  <c:v>15000</c:v>
                </c:pt>
                <c:pt idx="451">
                  <c:v>15000</c:v>
                </c:pt>
                <c:pt idx="452">
                  <c:v>15000</c:v>
                </c:pt>
                <c:pt idx="453">
                  <c:v>15000</c:v>
                </c:pt>
                <c:pt idx="454">
                  <c:v>15000</c:v>
                </c:pt>
                <c:pt idx="455">
                  <c:v>15000</c:v>
                </c:pt>
                <c:pt idx="456">
                  <c:v>15000</c:v>
                </c:pt>
                <c:pt idx="457">
                  <c:v>15000</c:v>
                </c:pt>
                <c:pt idx="458">
                  <c:v>15000</c:v>
                </c:pt>
                <c:pt idx="459">
                  <c:v>15000</c:v>
                </c:pt>
                <c:pt idx="460">
                  <c:v>15000</c:v>
                </c:pt>
                <c:pt idx="461">
                  <c:v>15000</c:v>
                </c:pt>
                <c:pt idx="462">
                  <c:v>15000</c:v>
                </c:pt>
                <c:pt idx="463">
                  <c:v>15000</c:v>
                </c:pt>
                <c:pt idx="464">
                  <c:v>15000</c:v>
                </c:pt>
                <c:pt idx="465">
                  <c:v>15000</c:v>
                </c:pt>
                <c:pt idx="466">
                  <c:v>15000</c:v>
                </c:pt>
                <c:pt idx="467">
                  <c:v>15000</c:v>
                </c:pt>
                <c:pt idx="468">
                  <c:v>15000</c:v>
                </c:pt>
                <c:pt idx="469">
                  <c:v>15000</c:v>
                </c:pt>
                <c:pt idx="470">
                  <c:v>15000</c:v>
                </c:pt>
                <c:pt idx="471">
                  <c:v>15000</c:v>
                </c:pt>
                <c:pt idx="472">
                  <c:v>15000</c:v>
                </c:pt>
                <c:pt idx="473">
                  <c:v>15000</c:v>
                </c:pt>
                <c:pt idx="474">
                  <c:v>15000</c:v>
                </c:pt>
                <c:pt idx="475">
                  <c:v>15000</c:v>
                </c:pt>
                <c:pt idx="476">
                  <c:v>15000</c:v>
                </c:pt>
                <c:pt idx="477">
                  <c:v>15000</c:v>
                </c:pt>
                <c:pt idx="478">
                  <c:v>15000</c:v>
                </c:pt>
                <c:pt idx="479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290-45FF-823D-857AD61FB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429952"/>
        <c:axId val="527431264"/>
      </c:lineChart>
      <c:dateAx>
        <c:axId val="527429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7431264"/>
        <c:crosses val="autoZero"/>
        <c:auto val="1"/>
        <c:lblOffset val="100"/>
        <c:baseTimeUnit val="months"/>
      </c:dateAx>
      <c:valAx>
        <c:axId val="527431264"/>
        <c:scaling>
          <c:orientation val="minMax"/>
          <c:max val="25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Qo (m³/d)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74299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'FPSO1 Otim'!$AE$10:$AE$20</c:f>
              <c:strCache>
                <c:ptCount val="11"/>
                <c:pt idx="0">
                  <c:v>Inicio (semente)</c:v>
                </c:pt>
                <c:pt idx="1">
                  <c:v>O1</c:v>
                </c:pt>
                <c:pt idx="2">
                  <c:v>O2</c:v>
                </c:pt>
                <c:pt idx="3">
                  <c:v>O3</c:v>
                </c:pt>
                <c:pt idx="4">
                  <c:v>O4</c:v>
                </c:pt>
                <c:pt idx="5">
                  <c:v>O5</c:v>
                </c:pt>
                <c:pt idx="6">
                  <c:v>O6</c:v>
                </c:pt>
                <c:pt idx="7">
                  <c:v>O7</c:v>
                </c:pt>
                <c:pt idx="8">
                  <c:v>O8</c:v>
                </c:pt>
                <c:pt idx="9">
                  <c:v>O9</c:v>
                </c:pt>
                <c:pt idx="10">
                  <c:v>O10</c:v>
                </c:pt>
              </c:strCache>
            </c:strRef>
          </c:cat>
          <c:val>
            <c:numRef>
              <c:f>'FPSO1 Otim'!$AF$10:$AF$20</c:f>
              <c:numCache>
                <c:formatCode>_(* #,##0.00_);_(* \(#,##0.00\);_(* "-"??_);_(@_)</c:formatCode>
                <c:ptCount val="11"/>
                <c:pt idx="0">
                  <c:v>1255903.2598082239</c:v>
                </c:pt>
                <c:pt idx="1">
                  <c:v>1527474.3636883656</c:v>
                </c:pt>
                <c:pt idx="2">
                  <c:v>1523418.5136058778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7A-41F1-879D-B84A094A6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2378735"/>
        <c:axId val="1437881423"/>
      </c:lineChart>
      <c:catAx>
        <c:axId val="139237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7881423"/>
        <c:crosses val="autoZero"/>
        <c:auto val="1"/>
        <c:lblAlgn val="ctr"/>
        <c:lblOffset val="100"/>
        <c:noMultiLvlLbl val="0"/>
      </c:catAx>
      <c:valAx>
        <c:axId val="143788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2378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5</xdr:row>
      <xdr:rowOff>0</xdr:rowOff>
    </xdr:from>
    <xdr:to>
      <xdr:col>18</xdr:col>
      <xdr:colOff>114300</xdr:colOff>
      <xdr:row>26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417EA75-9A62-4AA8-A021-EF3FB65780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380999</xdr:colOff>
      <xdr:row>8</xdr:row>
      <xdr:rowOff>57150</xdr:rowOff>
    </xdr:from>
    <xdr:to>
      <xdr:col>24</xdr:col>
      <xdr:colOff>495300</xdr:colOff>
      <xdr:row>29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C556B26-FB1B-46E8-B331-496D74C9D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123825</xdr:colOff>
      <xdr:row>20</xdr:row>
      <xdr:rowOff>118110</xdr:rowOff>
    </xdr:from>
    <xdr:to>
      <xdr:col>35</xdr:col>
      <xdr:colOff>497205</xdr:colOff>
      <xdr:row>35</xdr:row>
      <xdr:rowOff>118110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CCB0F7A-6C34-43E6-9060-B282889C80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57</xdr:col>
      <xdr:colOff>95250</xdr:colOff>
      <xdr:row>9</xdr:row>
      <xdr:rowOff>66675</xdr:rowOff>
    </xdr:from>
    <xdr:to>
      <xdr:col>63</xdr:col>
      <xdr:colOff>238655</xdr:colOff>
      <xdr:row>19</xdr:row>
      <xdr:rowOff>85994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A2D02B1-88BD-405B-B7D0-75E7587BB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661725" y="1819275"/>
          <a:ext cx="3801005" cy="19243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BD635-1DD7-4393-B11D-C1C93AC9DDAD}">
  <sheetPr codeName="Planilha2"/>
  <dimension ref="A1:AG730"/>
  <sheetViews>
    <sheetView topLeftCell="K1" workbookViewId="0">
      <selection activeCell="AG13" sqref="AG13"/>
    </sheetView>
  </sheetViews>
  <sheetFormatPr defaultRowHeight="15" x14ac:dyDescent="0.25"/>
  <cols>
    <col min="2" max="2" width="14.42578125" customWidth="1"/>
    <col min="33" max="33" width="12.85546875" bestFit="1" customWidth="1"/>
  </cols>
  <sheetData>
    <row r="1" spans="1:33" x14ac:dyDescent="0.25">
      <c r="A1" s="1"/>
      <c r="B1" s="1"/>
      <c r="C1" s="1">
        <v>32</v>
      </c>
      <c r="D1" s="1">
        <v>34</v>
      </c>
      <c r="E1" s="1">
        <v>35</v>
      </c>
      <c r="F1" s="1">
        <v>36</v>
      </c>
      <c r="G1" s="1">
        <v>36</v>
      </c>
      <c r="H1" s="1">
        <v>39</v>
      </c>
      <c r="I1" s="1">
        <v>40</v>
      </c>
      <c r="J1" s="1">
        <v>41</v>
      </c>
      <c r="K1" s="1">
        <v>41</v>
      </c>
      <c r="L1" s="1">
        <v>41</v>
      </c>
      <c r="M1" s="1">
        <v>42</v>
      </c>
      <c r="N1" s="1">
        <v>45</v>
      </c>
      <c r="O1" s="1">
        <v>45</v>
      </c>
      <c r="P1" s="1">
        <v>45</v>
      </c>
      <c r="Q1" s="1">
        <v>45</v>
      </c>
      <c r="R1" s="1">
        <v>47</v>
      </c>
      <c r="S1" s="1">
        <v>47</v>
      </c>
      <c r="T1" s="1">
        <v>47</v>
      </c>
      <c r="U1" s="1">
        <v>49</v>
      </c>
      <c r="V1" s="1">
        <v>54</v>
      </c>
      <c r="W1" s="1">
        <v>55</v>
      </c>
      <c r="X1" s="1">
        <v>55</v>
      </c>
      <c r="Y1" s="1">
        <v>77</v>
      </c>
      <c r="Z1" s="1">
        <v>77</v>
      </c>
      <c r="AA1" s="1"/>
      <c r="AB1" s="1">
        <v>1.5</v>
      </c>
      <c r="AC1" s="1">
        <v>32</v>
      </c>
      <c r="AD1" s="1" t="s">
        <v>0</v>
      </c>
      <c r="AE1" s="1" t="s">
        <v>1</v>
      </c>
    </row>
    <row r="2" spans="1:33" x14ac:dyDescent="0.25">
      <c r="A2" s="1">
        <v>1</v>
      </c>
      <c r="B2" s="1" t="s">
        <v>4</v>
      </c>
      <c r="C2" s="1" t="s">
        <v>28</v>
      </c>
      <c r="D2" s="1" t="s">
        <v>29</v>
      </c>
      <c r="E2" s="1" t="s">
        <v>30</v>
      </c>
      <c r="F2" s="1" t="s">
        <v>31</v>
      </c>
      <c r="G2" s="1" t="s">
        <v>32</v>
      </c>
      <c r="H2" s="1" t="s">
        <v>33</v>
      </c>
      <c r="I2" s="1" t="s">
        <v>34</v>
      </c>
      <c r="J2" s="1" t="s">
        <v>35</v>
      </c>
      <c r="K2" s="1" t="s">
        <v>36</v>
      </c>
      <c r="L2" s="1" t="s">
        <v>37</v>
      </c>
      <c r="M2" s="1" t="s">
        <v>38</v>
      </c>
      <c r="N2" s="1" t="s">
        <v>39</v>
      </c>
      <c r="O2" s="1" t="s">
        <v>40</v>
      </c>
      <c r="P2" s="1" t="s">
        <v>41</v>
      </c>
      <c r="Q2" s="1" t="s">
        <v>42</v>
      </c>
      <c r="R2" s="1" t="s">
        <v>43</v>
      </c>
      <c r="S2" s="1" t="s">
        <v>44</v>
      </c>
      <c r="T2" s="1" t="s">
        <v>45</v>
      </c>
      <c r="U2" s="1" t="s">
        <v>46</v>
      </c>
      <c r="V2" s="1" t="s">
        <v>47</v>
      </c>
      <c r="W2" s="1" t="s">
        <v>48</v>
      </c>
      <c r="X2" s="1" t="s">
        <v>49</v>
      </c>
      <c r="Y2" s="1" t="s">
        <v>50</v>
      </c>
      <c r="Z2" s="1" t="s">
        <v>51</v>
      </c>
      <c r="AA2" s="3" t="s">
        <v>27</v>
      </c>
      <c r="AB2" s="1"/>
      <c r="AC2" s="1">
        <v>35</v>
      </c>
      <c r="AD2" s="1" t="s">
        <v>3</v>
      </c>
      <c r="AE2" s="1" t="s">
        <v>5</v>
      </c>
    </row>
    <row r="3" spans="1:33" x14ac:dyDescent="0.25">
      <c r="A3" s="1">
        <v>2</v>
      </c>
      <c r="B3" s="2">
        <v>45658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3">
        <v>15000</v>
      </c>
      <c r="AB3" s="1">
        <v>0</v>
      </c>
      <c r="AC3" s="1">
        <v>36</v>
      </c>
      <c r="AD3" s="1" t="s">
        <v>3</v>
      </c>
      <c r="AE3" s="1" t="s">
        <v>6</v>
      </c>
    </row>
    <row r="4" spans="1:33" x14ac:dyDescent="0.25">
      <c r="A4" s="1">
        <v>3</v>
      </c>
      <c r="B4" s="2">
        <v>45689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3">
        <v>15000</v>
      </c>
      <c r="AB4" s="1">
        <v>0</v>
      </c>
      <c r="AC4" s="1">
        <v>36</v>
      </c>
      <c r="AD4" s="1" t="s">
        <v>2</v>
      </c>
      <c r="AE4" s="1" t="s">
        <v>7</v>
      </c>
    </row>
    <row r="5" spans="1:33" x14ac:dyDescent="0.25">
      <c r="A5" s="1">
        <v>4</v>
      </c>
      <c r="B5" s="2">
        <v>45717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3">
        <v>15000</v>
      </c>
      <c r="AB5" s="1">
        <v>0</v>
      </c>
      <c r="AC5" s="1">
        <v>39</v>
      </c>
      <c r="AD5" s="1" t="s">
        <v>0</v>
      </c>
      <c r="AE5" s="1" t="s">
        <v>8</v>
      </c>
    </row>
    <row r="6" spans="1:33" x14ac:dyDescent="0.25">
      <c r="A6" s="1">
        <v>5</v>
      </c>
      <c r="B6" s="2">
        <v>45748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3">
        <v>15000</v>
      </c>
      <c r="AB6" s="1">
        <v>0</v>
      </c>
      <c r="AC6" s="1">
        <v>40</v>
      </c>
      <c r="AD6" s="1" t="s">
        <v>3</v>
      </c>
      <c r="AE6" s="1" t="s">
        <v>9</v>
      </c>
    </row>
    <row r="7" spans="1:33" x14ac:dyDescent="0.25">
      <c r="A7" s="1">
        <v>6</v>
      </c>
      <c r="B7" s="2">
        <v>45778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3">
        <v>15000</v>
      </c>
      <c r="AB7" s="1">
        <v>0</v>
      </c>
      <c r="AC7" s="1">
        <v>41</v>
      </c>
      <c r="AD7" s="1" t="s">
        <v>3</v>
      </c>
      <c r="AE7" s="1" t="s">
        <v>10</v>
      </c>
    </row>
    <row r="8" spans="1:33" x14ac:dyDescent="0.25">
      <c r="A8" s="1">
        <v>7</v>
      </c>
      <c r="B8" s="2">
        <v>45809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3">
        <v>15000</v>
      </c>
      <c r="AB8" s="1">
        <v>0</v>
      </c>
      <c r="AC8" s="1">
        <v>41</v>
      </c>
      <c r="AD8" s="1" t="s">
        <v>3</v>
      </c>
      <c r="AE8" s="1" t="s">
        <v>11</v>
      </c>
    </row>
    <row r="9" spans="1:33" x14ac:dyDescent="0.25">
      <c r="A9" s="1">
        <v>8</v>
      </c>
      <c r="B9" s="2">
        <v>45839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3">
        <v>15000</v>
      </c>
      <c r="AB9" s="1">
        <v>0</v>
      </c>
      <c r="AC9" s="1">
        <v>41</v>
      </c>
      <c r="AD9" s="1" t="s">
        <v>3</v>
      </c>
      <c r="AE9" s="1" t="s">
        <v>12</v>
      </c>
    </row>
    <row r="10" spans="1:33" x14ac:dyDescent="0.25">
      <c r="A10" s="1">
        <v>9</v>
      </c>
      <c r="B10" s="2">
        <v>45870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3">
        <v>15000</v>
      </c>
      <c r="AB10" s="1">
        <v>0</v>
      </c>
      <c r="AC10" s="1">
        <v>42</v>
      </c>
      <c r="AD10" s="1" t="s">
        <v>3</v>
      </c>
      <c r="AE10" s="1" t="s">
        <v>13</v>
      </c>
    </row>
    <row r="11" spans="1:33" x14ac:dyDescent="0.25">
      <c r="A11" s="1">
        <v>10</v>
      </c>
      <c r="B11" s="2">
        <v>45901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3">
        <v>15000</v>
      </c>
      <c r="AB11" s="1">
        <v>0</v>
      </c>
      <c r="AC11" s="1">
        <v>45</v>
      </c>
      <c r="AD11" s="1" t="s">
        <v>3</v>
      </c>
      <c r="AE11" s="1" t="s">
        <v>14</v>
      </c>
    </row>
    <row r="12" spans="1:33" x14ac:dyDescent="0.25">
      <c r="A12" s="1">
        <v>11</v>
      </c>
      <c r="B12" s="2">
        <v>45931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3">
        <v>15000</v>
      </c>
      <c r="AB12" s="1">
        <v>0</v>
      </c>
      <c r="AC12" s="1">
        <v>45</v>
      </c>
      <c r="AD12" s="1" t="s">
        <v>3</v>
      </c>
      <c r="AE12" s="1" t="s">
        <v>15</v>
      </c>
    </row>
    <row r="13" spans="1:33" x14ac:dyDescent="0.25">
      <c r="A13" s="1">
        <v>12</v>
      </c>
      <c r="B13" s="2">
        <v>45962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3">
        <v>15000</v>
      </c>
      <c r="AB13" s="1">
        <v>0</v>
      </c>
      <c r="AC13" s="1">
        <v>45</v>
      </c>
      <c r="AD13" s="1" t="s">
        <v>3</v>
      </c>
      <c r="AE13" s="1" t="s">
        <v>16</v>
      </c>
      <c r="AG13" s="9"/>
    </row>
    <row r="14" spans="1:33" x14ac:dyDescent="0.25">
      <c r="A14" s="1">
        <v>13</v>
      </c>
      <c r="B14" s="2">
        <v>45992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3">
        <v>15000</v>
      </c>
      <c r="AB14" s="1">
        <v>0</v>
      </c>
      <c r="AC14" s="1">
        <v>45</v>
      </c>
      <c r="AD14" s="1" t="s">
        <v>3</v>
      </c>
      <c r="AE14" s="1" t="s">
        <v>17</v>
      </c>
    </row>
    <row r="15" spans="1:33" x14ac:dyDescent="0.25">
      <c r="A15" s="1">
        <v>14</v>
      </c>
      <c r="B15" s="2">
        <v>46023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3">
        <v>15000</v>
      </c>
      <c r="AB15" s="1">
        <v>0</v>
      </c>
      <c r="AC15" s="1">
        <v>47</v>
      </c>
      <c r="AD15" s="1" t="s">
        <v>3</v>
      </c>
      <c r="AE15" s="1" t="s">
        <v>18</v>
      </c>
    </row>
    <row r="16" spans="1:33" x14ac:dyDescent="0.25">
      <c r="A16" s="1">
        <v>15</v>
      </c>
      <c r="B16" s="2">
        <v>46054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3">
        <v>15000</v>
      </c>
      <c r="AB16" s="1">
        <v>0</v>
      </c>
      <c r="AC16" s="1">
        <v>47</v>
      </c>
      <c r="AD16" s="1" t="s">
        <v>3</v>
      </c>
      <c r="AE16" s="1" t="s">
        <v>19</v>
      </c>
    </row>
    <row r="17" spans="1:31" x14ac:dyDescent="0.25">
      <c r="A17" s="1">
        <v>16</v>
      </c>
      <c r="B17" s="2">
        <v>46082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3">
        <v>15000</v>
      </c>
      <c r="AB17" s="1">
        <v>0</v>
      </c>
      <c r="AC17" s="1">
        <v>47</v>
      </c>
      <c r="AD17" s="1" t="s">
        <v>3</v>
      </c>
      <c r="AE17" s="1" t="s">
        <v>20</v>
      </c>
    </row>
    <row r="18" spans="1:31" x14ac:dyDescent="0.25">
      <c r="A18" s="1">
        <v>17</v>
      </c>
      <c r="B18" s="2">
        <v>46113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3">
        <v>15000</v>
      </c>
      <c r="AB18" s="1">
        <v>0</v>
      </c>
      <c r="AC18" s="1">
        <v>49</v>
      </c>
      <c r="AD18" s="1" t="s">
        <v>3</v>
      </c>
      <c r="AE18" s="1" t="s">
        <v>21</v>
      </c>
    </row>
    <row r="19" spans="1:31" x14ac:dyDescent="0.25">
      <c r="A19" s="1">
        <v>18</v>
      </c>
      <c r="B19" s="2">
        <v>46143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3">
        <v>15000</v>
      </c>
      <c r="AB19" s="1">
        <v>0</v>
      </c>
      <c r="AC19" s="1">
        <v>54</v>
      </c>
      <c r="AD19" s="1" t="s">
        <v>3</v>
      </c>
      <c r="AE19" s="1" t="s">
        <v>22</v>
      </c>
    </row>
    <row r="20" spans="1:31" x14ac:dyDescent="0.25">
      <c r="A20" s="1">
        <v>19</v>
      </c>
      <c r="B20" s="2">
        <v>46174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3">
        <v>15000</v>
      </c>
      <c r="AB20" s="1">
        <v>0</v>
      </c>
      <c r="AC20" s="1">
        <v>55</v>
      </c>
      <c r="AD20" s="1" t="s">
        <v>3</v>
      </c>
      <c r="AE20" s="1" t="s">
        <v>23</v>
      </c>
    </row>
    <row r="21" spans="1:31" x14ac:dyDescent="0.25">
      <c r="A21" s="1">
        <v>20</v>
      </c>
      <c r="B21" s="2">
        <v>46204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3">
        <v>15000</v>
      </c>
      <c r="AB21" s="1">
        <v>0</v>
      </c>
      <c r="AC21" s="1">
        <v>55</v>
      </c>
      <c r="AD21" s="1" t="s">
        <v>3</v>
      </c>
      <c r="AE21" s="1" t="s">
        <v>24</v>
      </c>
    </row>
    <row r="22" spans="1:31" x14ac:dyDescent="0.25">
      <c r="A22" s="1">
        <v>21</v>
      </c>
      <c r="B22" s="2">
        <v>46235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3">
        <v>15000</v>
      </c>
      <c r="AB22" s="1">
        <v>0</v>
      </c>
      <c r="AC22" s="1">
        <v>77</v>
      </c>
      <c r="AD22" s="1" t="s">
        <v>3</v>
      </c>
      <c r="AE22" s="1" t="s">
        <v>25</v>
      </c>
    </row>
    <row r="23" spans="1:31" x14ac:dyDescent="0.25">
      <c r="A23" s="1">
        <v>22</v>
      </c>
      <c r="B23" s="2">
        <v>46266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3">
        <v>15000</v>
      </c>
      <c r="AB23" s="1">
        <v>0</v>
      </c>
      <c r="AC23" s="1">
        <v>77</v>
      </c>
      <c r="AD23" s="1" t="s">
        <v>3</v>
      </c>
      <c r="AE23" s="1" t="s">
        <v>26</v>
      </c>
    </row>
    <row r="24" spans="1:31" x14ac:dyDescent="0.25">
      <c r="A24" s="1">
        <v>23</v>
      </c>
      <c r="B24" s="2">
        <v>46296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3">
        <v>15000</v>
      </c>
      <c r="AB24" s="1">
        <v>0</v>
      </c>
      <c r="AC24" s="1"/>
      <c r="AD24" s="1"/>
      <c r="AE24" s="1"/>
    </row>
    <row r="25" spans="1:31" x14ac:dyDescent="0.25">
      <c r="A25" s="1">
        <v>24</v>
      </c>
      <c r="B25" s="2">
        <v>46327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3">
        <v>15000</v>
      </c>
      <c r="AB25" s="1">
        <v>0</v>
      </c>
      <c r="AC25" s="1"/>
      <c r="AD25" s="1"/>
      <c r="AE25" s="1"/>
    </row>
    <row r="26" spans="1:31" x14ac:dyDescent="0.25">
      <c r="A26" s="1">
        <v>25</v>
      </c>
      <c r="B26" s="2">
        <v>46357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3">
        <v>15000</v>
      </c>
      <c r="AB26" s="1">
        <v>0</v>
      </c>
      <c r="AC26" s="1"/>
      <c r="AD26" s="1"/>
      <c r="AE26" s="1"/>
    </row>
    <row r="27" spans="1:31" x14ac:dyDescent="0.25">
      <c r="A27" s="1">
        <v>26</v>
      </c>
      <c r="B27" s="2">
        <v>46388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3">
        <v>15000</v>
      </c>
      <c r="AB27" s="1">
        <v>0</v>
      </c>
      <c r="AC27" s="1"/>
      <c r="AD27" s="1"/>
      <c r="AE27" s="1"/>
    </row>
    <row r="28" spans="1:31" x14ac:dyDescent="0.25">
      <c r="A28" s="1">
        <v>27</v>
      </c>
      <c r="B28" s="2">
        <v>46419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3">
        <v>15000</v>
      </c>
      <c r="AB28" s="1">
        <v>0</v>
      </c>
      <c r="AC28" s="1"/>
      <c r="AD28" s="1"/>
      <c r="AE28" s="1"/>
    </row>
    <row r="29" spans="1:31" x14ac:dyDescent="0.25">
      <c r="A29" s="1">
        <v>28</v>
      </c>
      <c r="B29" s="2">
        <v>46447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3">
        <v>15000</v>
      </c>
      <c r="AB29" s="1">
        <v>0</v>
      </c>
      <c r="AC29" s="1"/>
      <c r="AD29" s="1"/>
      <c r="AE29" s="1"/>
    </row>
    <row r="30" spans="1:31" x14ac:dyDescent="0.25">
      <c r="A30" s="1">
        <v>29</v>
      </c>
      <c r="B30" s="2">
        <v>46478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3">
        <v>15000</v>
      </c>
      <c r="AB30" s="1">
        <v>0</v>
      </c>
      <c r="AC30" s="1"/>
      <c r="AD30" s="1"/>
      <c r="AE30" s="1"/>
    </row>
    <row r="31" spans="1:31" x14ac:dyDescent="0.25">
      <c r="A31" s="1">
        <v>30</v>
      </c>
      <c r="B31" s="2">
        <v>46508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3">
        <v>15000</v>
      </c>
      <c r="AB31" s="1">
        <v>0</v>
      </c>
      <c r="AC31" s="1"/>
      <c r="AD31" s="1"/>
      <c r="AE31" s="1"/>
    </row>
    <row r="32" spans="1:31" x14ac:dyDescent="0.25">
      <c r="A32" s="1">
        <v>31</v>
      </c>
      <c r="B32" s="2">
        <v>46539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3">
        <v>15000</v>
      </c>
      <c r="AB32" s="1">
        <v>0</v>
      </c>
    </row>
    <row r="33" spans="1:28" x14ac:dyDescent="0.25">
      <c r="A33" s="1">
        <v>32</v>
      </c>
      <c r="B33" s="2">
        <v>46569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3">
        <v>15000</v>
      </c>
      <c r="AB33" s="1">
        <v>0</v>
      </c>
    </row>
    <row r="34" spans="1:28" x14ac:dyDescent="0.25">
      <c r="A34" s="1">
        <v>33</v>
      </c>
      <c r="B34" s="2">
        <v>46600</v>
      </c>
      <c r="C34" s="1">
        <v>53.941499999999998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3">
        <v>15000</v>
      </c>
      <c r="AB34" s="1">
        <v>35.960999999999999</v>
      </c>
    </row>
    <row r="35" spans="1:28" x14ac:dyDescent="0.25">
      <c r="A35" s="1">
        <v>34</v>
      </c>
      <c r="B35" s="2">
        <v>46631</v>
      </c>
      <c r="C35" s="1">
        <v>1672.1775000000002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3">
        <v>15000</v>
      </c>
      <c r="AB35" s="1">
        <v>1114.7850000000001</v>
      </c>
    </row>
    <row r="36" spans="1:28" x14ac:dyDescent="0.25">
      <c r="A36" s="1">
        <v>35</v>
      </c>
      <c r="B36" s="2">
        <v>46661</v>
      </c>
      <c r="C36" s="1">
        <v>1672.1744999999999</v>
      </c>
      <c r="D36" s="1">
        <v>748.83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3">
        <v>15000</v>
      </c>
      <c r="AB36" s="1">
        <v>1614.0029999999999</v>
      </c>
    </row>
    <row r="37" spans="1:28" x14ac:dyDescent="0.25">
      <c r="A37" s="1">
        <v>36</v>
      </c>
      <c r="B37" s="2">
        <v>46692</v>
      </c>
      <c r="C37" s="1">
        <v>1672.1714999999999</v>
      </c>
      <c r="D37" s="1">
        <v>1152.7215000000001</v>
      </c>
      <c r="E37" s="1">
        <v>2689.59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3">
        <v>15000</v>
      </c>
      <c r="AB37" s="1">
        <v>3676.3220000000001</v>
      </c>
    </row>
    <row r="38" spans="1:28" x14ac:dyDescent="0.25">
      <c r="A38" s="1">
        <v>37</v>
      </c>
      <c r="B38" s="2">
        <v>46722</v>
      </c>
      <c r="C38" s="1">
        <v>1672.17</v>
      </c>
      <c r="D38" s="1">
        <v>1032.1244999999999</v>
      </c>
      <c r="E38" s="1">
        <v>2203.4700000000003</v>
      </c>
      <c r="F38" s="1">
        <v>1537.8899999999999</v>
      </c>
      <c r="G38" s="1">
        <v>927.06150000000002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3">
        <v>15000</v>
      </c>
      <c r="AB38" s="1">
        <v>4915.1440000000002</v>
      </c>
    </row>
    <row r="39" spans="1:28" x14ac:dyDescent="0.25">
      <c r="A39" s="1">
        <v>38</v>
      </c>
      <c r="B39" s="2">
        <v>46753</v>
      </c>
      <c r="C39" s="1">
        <v>1672.17</v>
      </c>
      <c r="D39" s="1">
        <v>914.77049999999997</v>
      </c>
      <c r="E39" s="1">
        <v>1647.5249999999999</v>
      </c>
      <c r="F39" s="1">
        <v>1759.9949999999999</v>
      </c>
      <c r="G39" s="1">
        <v>675.52949999999998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3">
        <v>15000</v>
      </c>
      <c r="AB39" s="1">
        <v>4446.66</v>
      </c>
    </row>
    <row r="40" spans="1:28" x14ac:dyDescent="0.25">
      <c r="A40" s="1">
        <v>39</v>
      </c>
      <c r="B40" s="2">
        <v>46784</v>
      </c>
      <c r="C40" s="1">
        <v>1672.1669999999999</v>
      </c>
      <c r="D40" s="1">
        <v>840.21749999999997</v>
      </c>
      <c r="E40" s="1">
        <v>1479.3975</v>
      </c>
      <c r="F40" s="1">
        <v>1842.9450000000002</v>
      </c>
      <c r="G40" s="1">
        <v>622.07249999999999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3">
        <v>15000</v>
      </c>
      <c r="AB40" s="1">
        <v>4304.5330000000004</v>
      </c>
    </row>
    <row r="41" spans="1:28" x14ac:dyDescent="0.25">
      <c r="A41" s="1">
        <v>40</v>
      </c>
      <c r="B41" s="2">
        <v>46813</v>
      </c>
      <c r="C41" s="1">
        <v>1672.1669999999999</v>
      </c>
      <c r="D41" s="1">
        <v>767.24699999999996</v>
      </c>
      <c r="E41" s="1">
        <v>1401.4335000000001</v>
      </c>
      <c r="F41" s="1">
        <v>1931.16</v>
      </c>
      <c r="G41" s="1">
        <v>585.29100000000005</v>
      </c>
      <c r="H41" s="1">
        <v>901.48200000000008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3">
        <v>15000</v>
      </c>
      <c r="AB41" s="1">
        <v>4839.1870000000008</v>
      </c>
    </row>
    <row r="42" spans="1:28" x14ac:dyDescent="0.25">
      <c r="A42" s="1">
        <v>41</v>
      </c>
      <c r="B42" s="2">
        <v>46844</v>
      </c>
      <c r="C42" s="1">
        <v>1672.1640000000002</v>
      </c>
      <c r="D42" s="1">
        <v>706.29899999999998</v>
      </c>
      <c r="E42" s="1">
        <v>1344.4289999999999</v>
      </c>
      <c r="F42" s="1">
        <v>2016.4349999999999</v>
      </c>
      <c r="G42" s="1">
        <v>552.91499999999996</v>
      </c>
      <c r="H42" s="1">
        <v>882.16499999999996</v>
      </c>
      <c r="I42" s="1">
        <v>14.125005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3">
        <v>15000</v>
      </c>
      <c r="AB42" s="1">
        <v>4792.3546699999988</v>
      </c>
    </row>
    <row r="43" spans="1:28" x14ac:dyDescent="0.25">
      <c r="A43" s="1">
        <v>42</v>
      </c>
      <c r="B43" s="2">
        <v>46874</v>
      </c>
      <c r="C43" s="1">
        <v>1672.1625000000001</v>
      </c>
      <c r="D43" s="1">
        <v>663.73950000000002</v>
      </c>
      <c r="E43" s="1">
        <v>1305.99</v>
      </c>
      <c r="F43" s="1">
        <v>2074.14</v>
      </c>
      <c r="G43" s="1">
        <v>532.03050000000007</v>
      </c>
      <c r="H43" s="1">
        <v>874.57050000000004</v>
      </c>
      <c r="I43" s="1">
        <v>650.625</v>
      </c>
      <c r="J43" s="1">
        <v>368.03249999999997</v>
      </c>
      <c r="K43" s="1">
        <v>302.26800000000003</v>
      </c>
      <c r="L43" s="1">
        <v>1757.2350000000001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3">
        <v>15000</v>
      </c>
      <c r="AB43" s="1">
        <v>6800.5289999999995</v>
      </c>
    </row>
    <row r="44" spans="1:28" x14ac:dyDescent="0.25">
      <c r="A44" s="1">
        <v>43</v>
      </c>
      <c r="B44" s="2">
        <v>46905</v>
      </c>
      <c r="C44" s="1">
        <v>1672.1625000000001</v>
      </c>
      <c r="D44" s="1">
        <v>628.31999999999994</v>
      </c>
      <c r="E44" s="1">
        <v>1269.1275000000001</v>
      </c>
      <c r="F44" s="1">
        <v>2115.8999999999996</v>
      </c>
      <c r="G44" s="1">
        <v>511.85250000000002</v>
      </c>
      <c r="H44" s="1">
        <v>868.04250000000002</v>
      </c>
      <c r="I44" s="1">
        <v>797.40000000000009</v>
      </c>
      <c r="J44" s="1">
        <v>356.59950000000003</v>
      </c>
      <c r="K44" s="1">
        <v>1672.9649999999999</v>
      </c>
      <c r="L44" s="1">
        <v>2105.52</v>
      </c>
      <c r="M44" s="1">
        <v>1561.2449999999999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3">
        <v>15000</v>
      </c>
      <c r="AB44" s="1">
        <v>9039.4230000000007</v>
      </c>
    </row>
    <row r="45" spans="1:28" x14ac:dyDescent="0.25">
      <c r="A45" s="1">
        <v>44</v>
      </c>
      <c r="B45" s="2">
        <v>46935</v>
      </c>
      <c r="C45" s="1">
        <v>1672.1594999999998</v>
      </c>
      <c r="D45" s="1">
        <v>594.69150000000002</v>
      </c>
      <c r="E45" s="1">
        <v>1223.4960000000001</v>
      </c>
      <c r="F45" s="1">
        <v>2099.52</v>
      </c>
      <c r="G45" s="1">
        <v>492.84300000000002</v>
      </c>
      <c r="H45" s="1">
        <v>861.8130000000001</v>
      </c>
      <c r="I45" s="1">
        <v>812.14049999999997</v>
      </c>
      <c r="J45" s="1">
        <v>348.87149999999997</v>
      </c>
      <c r="K45" s="1">
        <v>1414.0454999999999</v>
      </c>
      <c r="L45" s="1">
        <v>2066.4750000000004</v>
      </c>
      <c r="M45" s="1">
        <v>3000.5099999999998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3">
        <v>15000</v>
      </c>
      <c r="AB45" s="1">
        <v>9724.3770000000004</v>
      </c>
    </row>
    <row r="46" spans="1:28" x14ac:dyDescent="0.25">
      <c r="A46" s="1">
        <v>45</v>
      </c>
      <c r="B46" s="2">
        <v>46966</v>
      </c>
      <c r="C46" s="1">
        <v>1745.9565</v>
      </c>
      <c r="D46" s="1">
        <v>588.18149999999991</v>
      </c>
      <c r="E46" s="1">
        <v>1191.4950000000001</v>
      </c>
      <c r="F46" s="1">
        <v>2075.145</v>
      </c>
      <c r="G46" s="1">
        <v>496.10699999999997</v>
      </c>
      <c r="H46" s="1">
        <v>884.12699999999995</v>
      </c>
      <c r="I46" s="1">
        <v>799.93499999999995</v>
      </c>
      <c r="J46" s="1">
        <v>346.863</v>
      </c>
      <c r="K46" s="1">
        <v>1319.7345</v>
      </c>
      <c r="L46" s="1">
        <v>2049.96</v>
      </c>
      <c r="M46" s="1">
        <v>2706.3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3">
        <v>15000</v>
      </c>
      <c r="AB46" s="1">
        <v>9469.2030000000013</v>
      </c>
    </row>
    <row r="47" spans="1:28" x14ac:dyDescent="0.25">
      <c r="A47" s="1">
        <v>46</v>
      </c>
      <c r="B47" s="2">
        <v>46997</v>
      </c>
      <c r="C47" s="1">
        <v>1745.9549999999999</v>
      </c>
      <c r="D47" s="1">
        <v>561.37649999999996</v>
      </c>
      <c r="E47" s="1">
        <v>1165.7474999999999</v>
      </c>
      <c r="F47" s="1">
        <v>2039.5650000000001</v>
      </c>
      <c r="G47" s="1">
        <v>484.32</v>
      </c>
      <c r="H47" s="1">
        <v>877.98450000000003</v>
      </c>
      <c r="I47" s="1">
        <v>766.99199999999996</v>
      </c>
      <c r="J47" s="1">
        <v>335.84550000000002</v>
      </c>
      <c r="K47" s="1">
        <v>1258.1775</v>
      </c>
      <c r="L47" s="1">
        <v>1964.97</v>
      </c>
      <c r="M47" s="1">
        <v>2533.9349999999999</v>
      </c>
      <c r="N47" s="1">
        <v>280.69349999999997</v>
      </c>
      <c r="O47" s="1">
        <v>731.01750000000004</v>
      </c>
      <c r="P47" s="1">
        <v>284.25</v>
      </c>
      <c r="Q47" s="4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3">
        <v>15000</v>
      </c>
      <c r="AB47" s="1">
        <v>10226.057000000003</v>
      </c>
    </row>
    <row r="48" spans="1:28" x14ac:dyDescent="0.25">
      <c r="A48" s="1">
        <v>47</v>
      </c>
      <c r="B48" s="2">
        <v>47027</v>
      </c>
      <c r="C48" s="1">
        <v>1745.9535000000001</v>
      </c>
      <c r="D48" s="1">
        <v>539.28749999999991</v>
      </c>
      <c r="E48" s="1">
        <v>1136.6775</v>
      </c>
      <c r="F48" s="1">
        <v>1964.4900000000002</v>
      </c>
      <c r="G48" s="1">
        <v>476.08350000000002</v>
      </c>
      <c r="H48" s="1">
        <v>872.05500000000006</v>
      </c>
      <c r="I48" s="1">
        <v>700.95899999999995</v>
      </c>
      <c r="J48" s="1">
        <v>319.25850000000003</v>
      </c>
      <c r="K48" s="1">
        <v>1202.0145</v>
      </c>
      <c r="L48" s="1">
        <v>1831.56</v>
      </c>
      <c r="M48" s="1">
        <v>2349.5249999999996</v>
      </c>
      <c r="N48" s="1">
        <v>350.274</v>
      </c>
      <c r="O48" s="1">
        <v>992.12850000000003</v>
      </c>
      <c r="P48" s="1">
        <v>333.58050000000003</v>
      </c>
      <c r="Q48" s="4">
        <v>308.25599999999997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3">
        <v>15000</v>
      </c>
      <c r="AB48" s="1">
        <v>10428.704</v>
      </c>
    </row>
    <row r="49" spans="1:28" x14ac:dyDescent="0.25">
      <c r="A49" s="1">
        <v>48</v>
      </c>
      <c r="B49" s="2">
        <v>47058</v>
      </c>
      <c r="C49" s="1">
        <v>1745.9505000000001</v>
      </c>
      <c r="D49" s="1">
        <v>519.66600000000005</v>
      </c>
      <c r="E49" s="1">
        <v>1095.4965</v>
      </c>
      <c r="F49" s="1">
        <v>1875.8849999999998</v>
      </c>
      <c r="G49" s="1">
        <v>469.66800000000001</v>
      </c>
      <c r="H49" s="1">
        <v>866.34449999999993</v>
      </c>
      <c r="I49" s="1">
        <v>671.27549999999997</v>
      </c>
      <c r="J49" s="1">
        <v>319.54949999999997</v>
      </c>
      <c r="K49" s="1">
        <v>1148.43</v>
      </c>
      <c r="L49" s="1">
        <v>1776.345</v>
      </c>
      <c r="M49" s="1">
        <v>2159.2950000000001</v>
      </c>
      <c r="N49" s="1">
        <v>312.762</v>
      </c>
      <c r="O49" s="1">
        <v>914.55000000000007</v>
      </c>
      <c r="P49" s="1">
        <v>366.1995</v>
      </c>
      <c r="Q49" s="4">
        <v>829.20900000000006</v>
      </c>
      <c r="R49" s="1">
        <v>342.25049999999999</v>
      </c>
      <c r="S49" s="1">
        <v>569.40000000000009</v>
      </c>
      <c r="T49" s="1">
        <v>1539.9750000000001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3">
        <v>15000</v>
      </c>
      <c r="AB49" s="1">
        <v>11636.682000000001</v>
      </c>
    </row>
    <row r="50" spans="1:28" x14ac:dyDescent="0.25">
      <c r="A50" s="1">
        <v>49</v>
      </c>
      <c r="B50" s="2">
        <v>47088</v>
      </c>
      <c r="C50" s="1">
        <v>1745.9520000000002</v>
      </c>
      <c r="D50" s="1">
        <v>503.84700000000004</v>
      </c>
      <c r="E50" s="1">
        <v>1059.6990000000001</v>
      </c>
      <c r="F50" s="1">
        <v>1836.8999999999999</v>
      </c>
      <c r="G50" s="1">
        <v>465.09449999999998</v>
      </c>
      <c r="H50" s="1">
        <v>860.65499999999997</v>
      </c>
      <c r="I50" s="1">
        <v>648.12149999999997</v>
      </c>
      <c r="J50" s="1">
        <v>318.96750000000003</v>
      </c>
      <c r="K50" s="1">
        <v>1097.1179999999999</v>
      </c>
      <c r="L50" s="1">
        <v>1724.625</v>
      </c>
      <c r="M50" s="1">
        <v>2004.2550000000001</v>
      </c>
      <c r="N50" s="1">
        <v>293.12850000000003</v>
      </c>
      <c r="O50" s="1">
        <v>880.76549999999997</v>
      </c>
      <c r="P50" s="1">
        <v>374.709</v>
      </c>
      <c r="Q50" s="4">
        <v>761.98050000000001</v>
      </c>
      <c r="R50" s="1">
        <v>1023.9435000000001</v>
      </c>
      <c r="S50" s="1">
        <v>1710.09</v>
      </c>
      <c r="T50" s="1">
        <v>3167.5950000000003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3">
        <v>15000</v>
      </c>
      <c r="AB50" s="1">
        <v>13612.85</v>
      </c>
    </row>
    <row r="51" spans="1:28" x14ac:dyDescent="0.25">
      <c r="A51" s="1">
        <v>50</v>
      </c>
      <c r="B51" s="2">
        <v>47119</v>
      </c>
      <c r="C51" s="1">
        <v>1745.9445000000001</v>
      </c>
      <c r="D51" s="1">
        <v>486.82800000000003</v>
      </c>
      <c r="E51" s="1">
        <v>1035.7695000000001</v>
      </c>
      <c r="F51" s="1">
        <v>1796.91</v>
      </c>
      <c r="G51" s="1">
        <v>461.13900000000001</v>
      </c>
      <c r="H51" s="1">
        <v>855.31050000000005</v>
      </c>
      <c r="I51" s="1">
        <v>611.22450000000003</v>
      </c>
      <c r="J51" s="1">
        <v>318.14999999999998</v>
      </c>
      <c r="K51" s="1">
        <v>1048.3154999999999</v>
      </c>
      <c r="L51" s="1">
        <v>1677.5549999999998</v>
      </c>
      <c r="M51" s="1">
        <v>1874.4299999999998</v>
      </c>
      <c r="N51" s="1">
        <v>281.74950000000001</v>
      </c>
      <c r="O51" s="1">
        <v>864.22499999999991</v>
      </c>
      <c r="P51" s="1">
        <v>392.84999999999997</v>
      </c>
      <c r="Q51" s="4">
        <v>703.80899999999997</v>
      </c>
      <c r="R51" s="1">
        <v>952.39949999999999</v>
      </c>
      <c r="S51" s="1">
        <v>1159.1624999999999</v>
      </c>
      <c r="T51" s="1">
        <v>3048.21</v>
      </c>
      <c r="U51" s="1">
        <v>1133.913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3">
        <v>15000</v>
      </c>
      <c r="AB51" s="1">
        <v>13610.791000000001</v>
      </c>
    </row>
    <row r="52" spans="1:28" x14ac:dyDescent="0.25">
      <c r="A52" s="1">
        <v>51</v>
      </c>
      <c r="B52" s="2">
        <v>47150</v>
      </c>
      <c r="C52" s="1">
        <v>1745.943</v>
      </c>
      <c r="D52" s="1">
        <v>472.84950000000003</v>
      </c>
      <c r="E52" s="1">
        <v>1019.0175</v>
      </c>
      <c r="F52" s="1">
        <v>1751.6849999999999</v>
      </c>
      <c r="G52" s="1">
        <v>455.60250000000002</v>
      </c>
      <c r="H52" s="1">
        <v>849.88049999999998</v>
      </c>
      <c r="I52" s="1">
        <v>597.89549999999997</v>
      </c>
      <c r="J52" s="1">
        <v>316.476</v>
      </c>
      <c r="K52" s="1">
        <v>1010.9415</v>
      </c>
      <c r="L52" s="1">
        <v>1649.2649999999999</v>
      </c>
      <c r="M52" s="1">
        <v>1780.98</v>
      </c>
      <c r="N52" s="1">
        <v>272.988</v>
      </c>
      <c r="O52" s="1">
        <v>853.11299999999994</v>
      </c>
      <c r="P52" s="1">
        <v>406.20899999999995</v>
      </c>
      <c r="Q52" s="4">
        <v>672.10050000000001</v>
      </c>
      <c r="R52" s="1">
        <v>874.33049999999992</v>
      </c>
      <c r="S52" s="1">
        <v>1029.8220000000001</v>
      </c>
      <c r="T52" s="1">
        <v>2914.335</v>
      </c>
      <c r="U52" s="1">
        <v>1593.0149999999999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3">
        <v>15000</v>
      </c>
      <c r="AB52" s="1">
        <v>13499.484</v>
      </c>
    </row>
    <row r="53" spans="1:28" x14ac:dyDescent="0.25">
      <c r="A53" s="1">
        <v>52</v>
      </c>
      <c r="B53" s="2">
        <v>47178</v>
      </c>
      <c r="C53" s="1">
        <v>1745.94</v>
      </c>
      <c r="D53" s="1">
        <v>458.31899999999996</v>
      </c>
      <c r="E53" s="1">
        <v>1002.7529999999999</v>
      </c>
      <c r="F53" s="1">
        <v>1698.03</v>
      </c>
      <c r="G53" s="1">
        <v>451.21350000000007</v>
      </c>
      <c r="H53" s="1">
        <v>844.54200000000003</v>
      </c>
      <c r="I53" s="1">
        <v>584.44350000000009</v>
      </c>
      <c r="J53" s="1">
        <v>319.66949999999997</v>
      </c>
      <c r="K53" s="1">
        <v>983.24099999999999</v>
      </c>
      <c r="L53" s="1">
        <v>1656.6150000000002</v>
      </c>
      <c r="M53" s="1">
        <v>1712.46</v>
      </c>
      <c r="N53" s="1">
        <v>265.137</v>
      </c>
      <c r="O53" s="1">
        <v>840.87149999999997</v>
      </c>
      <c r="P53" s="1">
        <v>415.089</v>
      </c>
      <c r="Q53" s="4">
        <v>654.87749999999994</v>
      </c>
      <c r="R53" s="1">
        <v>817.79099999999994</v>
      </c>
      <c r="S53" s="1">
        <v>947.91599999999994</v>
      </c>
      <c r="T53" s="1">
        <v>2752.89</v>
      </c>
      <c r="U53" s="1">
        <v>1489.923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3">
        <v>15000</v>
      </c>
      <c r="AB53" s="1">
        <v>13085.830999999998</v>
      </c>
    </row>
    <row r="54" spans="1:28" x14ac:dyDescent="0.25">
      <c r="A54" s="1">
        <v>53</v>
      </c>
      <c r="B54" s="2">
        <v>47209</v>
      </c>
      <c r="C54" s="1">
        <v>1745.9324999999999</v>
      </c>
      <c r="D54" s="1">
        <v>445.899</v>
      </c>
      <c r="E54" s="1">
        <v>985.69200000000001</v>
      </c>
      <c r="F54" s="1">
        <v>1643.6100000000001</v>
      </c>
      <c r="G54" s="1">
        <v>446.46900000000005</v>
      </c>
      <c r="H54" s="1">
        <v>839.50199999999995</v>
      </c>
      <c r="I54" s="1">
        <v>579.19949999999994</v>
      </c>
      <c r="J54" s="1">
        <v>330.67499999999995</v>
      </c>
      <c r="K54" s="1">
        <v>963.51299999999992</v>
      </c>
      <c r="L54" s="1">
        <v>1658.8500000000001</v>
      </c>
      <c r="M54" s="1">
        <v>1652.28</v>
      </c>
      <c r="N54" s="1">
        <v>257.51250000000005</v>
      </c>
      <c r="O54" s="1">
        <v>826.84949999999992</v>
      </c>
      <c r="P54" s="1">
        <v>420.42450000000002</v>
      </c>
      <c r="Q54" s="4">
        <v>641.90250000000003</v>
      </c>
      <c r="R54" s="1">
        <v>766.02449999999999</v>
      </c>
      <c r="S54" s="1">
        <v>884.1869999999999</v>
      </c>
      <c r="T54" s="1">
        <v>2612.2950000000001</v>
      </c>
      <c r="U54" s="1">
        <v>1453.6379999999999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3">
        <v>15000</v>
      </c>
      <c r="AB54" s="1">
        <v>12764.285</v>
      </c>
    </row>
    <row r="55" spans="1:28" x14ac:dyDescent="0.25">
      <c r="A55" s="1">
        <v>54</v>
      </c>
      <c r="B55" s="2">
        <v>47239</v>
      </c>
      <c r="C55" s="1">
        <v>1745.913</v>
      </c>
      <c r="D55" s="1">
        <v>432.51900000000001</v>
      </c>
      <c r="E55" s="1">
        <v>973.2315000000001</v>
      </c>
      <c r="F55" s="1">
        <v>1608.6750000000002</v>
      </c>
      <c r="G55" s="1">
        <v>441.36750000000001</v>
      </c>
      <c r="H55" s="1">
        <v>834.54750000000001</v>
      </c>
      <c r="I55" s="1">
        <v>577.04100000000005</v>
      </c>
      <c r="J55" s="1">
        <v>338.78249999999997</v>
      </c>
      <c r="K55" s="1">
        <v>951.11099999999988</v>
      </c>
      <c r="L55" s="1">
        <v>1645.7250000000001</v>
      </c>
      <c r="M55" s="1">
        <v>1606.9949999999999</v>
      </c>
      <c r="N55" s="1">
        <v>252.2415</v>
      </c>
      <c r="O55" s="1">
        <v>816.45900000000006</v>
      </c>
      <c r="P55" s="1">
        <v>423</v>
      </c>
      <c r="Q55" s="4">
        <v>633.87450000000001</v>
      </c>
      <c r="R55" s="1">
        <v>731.61300000000006</v>
      </c>
      <c r="S55" s="1">
        <v>848.02049999999997</v>
      </c>
      <c r="T55" s="1">
        <v>2526.9299999999998</v>
      </c>
      <c r="U55" s="1">
        <v>1450.7055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3">
        <v>15000</v>
      </c>
      <c r="AB55" s="1">
        <v>12555.279</v>
      </c>
    </row>
    <row r="56" spans="1:28" x14ac:dyDescent="0.25">
      <c r="A56" s="1">
        <v>55</v>
      </c>
      <c r="B56" s="2">
        <v>47270</v>
      </c>
      <c r="C56" s="1">
        <v>1745.9070000000002</v>
      </c>
      <c r="D56" s="1">
        <v>418.20000000000005</v>
      </c>
      <c r="E56" s="1">
        <v>960.62099999999998</v>
      </c>
      <c r="F56" s="1">
        <v>1576.8000000000002</v>
      </c>
      <c r="G56" s="1">
        <v>433.82849999999996</v>
      </c>
      <c r="H56" s="1">
        <v>831.79950000000008</v>
      </c>
      <c r="I56" s="1">
        <v>575.54999999999995</v>
      </c>
      <c r="J56" s="1">
        <v>345.52499999999998</v>
      </c>
      <c r="K56" s="1">
        <v>935.40300000000002</v>
      </c>
      <c r="L56" s="1">
        <v>1628.0249999999999</v>
      </c>
      <c r="M56" s="1">
        <v>1563.54</v>
      </c>
      <c r="N56" s="1">
        <v>247.15049999999999</v>
      </c>
      <c r="O56" s="1">
        <v>805.875</v>
      </c>
      <c r="P56" s="1">
        <v>424.32449999999994</v>
      </c>
      <c r="Q56" s="4">
        <v>628.04100000000005</v>
      </c>
      <c r="R56" s="1">
        <v>698.07449999999994</v>
      </c>
      <c r="S56" s="1">
        <v>816</v>
      </c>
      <c r="T56" s="1">
        <v>2440.0500000000002</v>
      </c>
      <c r="U56" s="1">
        <v>1452.3375000000001</v>
      </c>
      <c r="V56" s="1">
        <v>188.20050000000001</v>
      </c>
      <c r="W56" s="1">
        <v>0</v>
      </c>
      <c r="X56" s="1">
        <v>0</v>
      </c>
      <c r="Y56" s="1">
        <v>0</v>
      </c>
      <c r="Z56" s="1">
        <v>0</v>
      </c>
      <c r="AA56" s="3">
        <v>15000</v>
      </c>
      <c r="AB56" s="1">
        <v>12472.645000000002</v>
      </c>
    </row>
    <row r="57" spans="1:28" x14ac:dyDescent="0.25">
      <c r="A57" s="1">
        <v>56</v>
      </c>
      <c r="B57" s="2">
        <v>47300</v>
      </c>
      <c r="C57" s="1">
        <v>1745.8815</v>
      </c>
      <c r="D57" s="1">
        <v>408.822</v>
      </c>
      <c r="E57" s="1">
        <v>941.90699999999993</v>
      </c>
      <c r="F57" s="1">
        <v>1548.7049999999999</v>
      </c>
      <c r="G57" s="1">
        <v>430.52249999999998</v>
      </c>
      <c r="H57" s="1">
        <v>826.72649999999999</v>
      </c>
      <c r="I57" s="1">
        <v>570</v>
      </c>
      <c r="J57" s="1">
        <v>349.524</v>
      </c>
      <c r="K57" s="1">
        <v>900.15300000000002</v>
      </c>
      <c r="L57" s="1">
        <v>1610.5500000000002</v>
      </c>
      <c r="M57" s="1">
        <v>1522.9499999999998</v>
      </c>
      <c r="N57" s="1">
        <v>240.06</v>
      </c>
      <c r="O57" s="1">
        <v>787.47600000000011</v>
      </c>
      <c r="P57" s="1">
        <v>421.11300000000006</v>
      </c>
      <c r="Q57" s="4">
        <v>621.75600000000009</v>
      </c>
      <c r="R57" s="1">
        <v>657.60450000000003</v>
      </c>
      <c r="S57" s="1">
        <v>780.43499999999995</v>
      </c>
      <c r="T57" s="1">
        <v>2322.75</v>
      </c>
      <c r="U57" s="1">
        <v>1440.6405</v>
      </c>
      <c r="V57" s="1">
        <v>1316.952</v>
      </c>
      <c r="W57" s="1">
        <v>252.56849999999997</v>
      </c>
      <c r="X57" s="1">
        <v>1318.3664999999999</v>
      </c>
      <c r="Y57" s="1">
        <v>0</v>
      </c>
      <c r="Z57" s="1">
        <v>0</v>
      </c>
      <c r="AA57" s="3">
        <v>15000</v>
      </c>
      <c r="AB57" s="1">
        <v>14002.514999999999</v>
      </c>
    </row>
    <row r="58" spans="1:28" x14ac:dyDescent="0.25">
      <c r="A58" s="1">
        <v>57</v>
      </c>
      <c r="B58" s="2">
        <v>47331</v>
      </c>
      <c r="C58" s="1">
        <v>1700.8425</v>
      </c>
      <c r="D58" s="1">
        <v>387.30900000000003</v>
      </c>
      <c r="E58" s="1">
        <v>931.173</v>
      </c>
      <c r="F58" s="1">
        <v>1537.29</v>
      </c>
      <c r="G58" s="1">
        <v>415.98599999999999</v>
      </c>
      <c r="H58" s="1">
        <v>806.32499999999993</v>
      </c>
      <c r="I58" s="1">
        <v>567.96749999999997</v>
      </c>
      <c r="J58" s="1">
        <v>353.75850000000003</v>
      </c>
      <c r="K58" s="1">
        <v>880.54200000000003</v>
      </c>
      <c r="L58" s="1">
        <v>1612.6799999999998</v>
      </c>
      <c r="M58" s="1">
        <v>1501.4549999999999</v>
      </c>
      <c r="N58" s="1">
        <v>235.791</v>
      </c>
      <c r="O58" s="1">
        <v>776.78250000000003</v>
      </c>
      <c r="P58" s="1">
        <v>420.822</v>
      </c>
      <c r="Q58" s="4">
        <v>610.06499999999994</v>
      </c>
      <c r="R58" s="1">
        <v>630.29100000000005</v>
      </c>
      <c r="S58" s="1">
        <v>758.673</v>
      </c>
      <c r="T58" s="1">
        <v>2219.5050000000001</v>
      </c>
      <c r="U58" s="1">
        <v>1420.7294999999999</v>
      </c>
      <c r="V58" s="1">
        <v>1120.0155</v>
      </c>
      <c r="W58" s="1">
        <v>636.60450000000003</v>
      </c>
      <c r="X58" s="1">
        <v>1894.335</v>
      </c>
      <c r="Y58" s="1">
        <v>0</v>
      </c>
      <c r="Z58" s="1">
        <v>0</v>
      </c>
      <c r="AA58" s="3">
        <v>15000</v>
      </c>
      <c r="AB58" s="1">
        <v>14274.694</v>
      </c>
    </row>
    <row r="59" spans="1:28" x14ac:dyDescent="0.25">
      <c r="A59" s="1">
        <v>58</v>
      </c>
      <c r="B59" s="2">
        <v>47362</v>
      </c>
      <c r="C59" s="1">
        <v>1700.7915000000003</v>
      </c>
      <c r="D59" s="1">
        <v>376.923</v>
      </c>
      <c r="E59" s="1">
        <v>919.48049999999989</v>
      </c>
      <c r="F59" s="1">
        <v>1519.4850000000001</v>
      </c>
      <c r="G59" s="1">
        <v>413.80799999999999</v>
      </c>
      <c r="H59" s="1">
        <v>802.96949999999993</v>
      </c>
      <c r="I59" s="1">
        <v>567.4559999999999</v>
      </c>
      <c r="J59" s="1">
        <v>357.99149999999997</v>
      </c>
      <c r="K59" s="1">
        <v>857.22</v>
      </c>
      <c r="L59" s="1">
        <v>1614.03</v>
      </c>
      <c r="M59" s="1">
        <v>1455.1275000000001</v>
      </c>
      <c r="N59" s="1">
        <v>231.21449999999999</v>
      </c>
      <c r="O59" s="1">
        <v>764.08949999999993</v>
      </c>
      <c r="P59" s="1">
        <v>420.99149999999997</v>
      </c>
      <c r="Q59" s="4">
        <v>603.1635</v>
      </c>
      <c r="R59" s="1">
        <v>599.25</v>
      </c>
      <c r="S59" s="1">
        <v>736.5809999999999</v>
      </c>
      <c r="T59" s="1">
        <v>2102.16</v>
      </c>
      <c r="U59" s="1">
        <v>1393.1924999999999</v>
      </c>
      <c r="V59" s="1">
        <v>1090.4460000000001</v>
      </c>
      <c r="W59" s="1">
        <v>639.72300000000007</v>
      </c>
      <c r="X59" s="1">
        <v>1891.8150000000001</v>
      </c>
      <c r="Y59" s="1">
        <v>0</v>
      </c>
      <c r="Z59" s="1">
        <v>0</v>
      </c>
      <c r="AA59" s="3">
        <v>15000</v>
      </c>
      <c r="AB59" s="1">
        <v>14034.225000000002</v>
      </c>
    </row>
    <row r="60" spans="1:28" x14ac:dyDescent="0.25">
      <c r="A60" s="1">
        <v>59</v>
      </c>
      <c r="B60" s="2">
        <v>47392</v>
      </c>
      <c r="C60" s="1">
        <v>1700.7345</v>
      </c>
      <c r="D60" s="1">
        <v>366.03300000000002</v>
      </c>
      <c r="E60" s="1">
        <v>912.53549999999996</v>
      </c>
      <c r="F60" s="1">
        <v>1506.135</v>
      </c>
      <c r="G60" s="1">
        <v>409.60650000000004</v>
      </c>
      <c r="H60" s="1">
        <v>799.73399999999992</v>
      </c>
      <c r="I60" s="1">
        <v>566.44350000000009</v>
      </c>
      <c r="J60" s="1">
        <v>359.637</v>
      </c>
      <c r="K60" s="1">
        <v>842.74500000000012</v>
      </c>
      <c r="L60" s="1">
        <v>1606.125</v>
      </c>
      <c r="M60" s="1">
        <v>1418.6399999999999</v>
      </c>
      <c r="N60" s="1">
        <v>228.5085</v>
      </c>
      <c r="O60" s="1">
        <v>755.75850000000003</v>
      </c>
      <c r="P60" s="1">
        <v>421.11300000000006</v>
      </c>
      <c r="Q60" s="4">
        <v>596.59199999999998</v>
      </c>
      <c r="R60" s="1">
        <v>581.44350000000009</v>
      </c>
      <c r="S60" s="1">
        <v>726.03600000000006</v>
      </c>
      <c r="T60" s="1">
        <v>2034.405</v>
      </c>
      <c r="U60" s="1">
        <v>1377.3029999999999</v>
      </c>
      <c r="V60" s="1">
        <v>1090.5975000000001</v>
      </c>
      <c r="W60" s="1">
        <v>631.947</v>
      </c>
      <c r="X60" s="1">
        <v>1877.2649999999999</v>
      </c>
      <c r="Y60" s="1">
        <v>0</v>
      </c>
      <c r="Z60" s="1">
        <v>0</v>
      </c>
      <c r="AA60" s="3">
        <v>15000</v>
      </c>
      <c r="AB60" s="1">
        <v>13869.277000000002</v>
      </c>
    </row>
    <row r="61" spans="1:28" x14ac:dyDescent="0.25">
      <c r="A61" s="1">
        <v>60</v>
      </c>
      <c r="B61" s="2">
        <v>47423</v>
      </c>
      <c r="C61" s="1">
        <v>1700.6655000000001</v>
      </c>
      <c r="D61" s="1">
        <v>357.94650000000001</v>
      </c>
      <c r="E61" s="1">
        <v>905.08800000000008</v>
      </c>
      <c r="F61" s="1">
        <v>1490.5844999999999</v>
      </c>
      <c r="G61" s="1">
        <v>406.51800000000003</v>
      </c>
      <c r="H61" s="1">
        <v>796.6065000000001</v>
      </c>
      <c r="I61" s="1">
        <v>565.39949999999999</v>
      </c>
      <c r="J61" s="1">
        <v>361.20000000000005</v>
      </c>
      <c r="K61" s="1">
        <v>826.50900000000001</v>
      </c>
      <c r="L61" s="1">
        <v>1586.1750000000002</v>
      </c>
      <c r="M61" s="1">
        <v>1379.25</v>
      </c>
      <c r="N61" s="1">
        <v>225.58799999999999</v>
      </c>
      <c r="O61" s="1">
        <v>746.27549999999997</v>
      </c>
      <c r="P61" s="1">
        <v>421.15049999999997</v>
      </c>
      <c r="Q61" s="4">
        <v>591.16949999999997</v>
      </c>
      <c r="R61" s="1">
        <v>562.09950000000003</v>
      </c>
      <c r="S61" s="1">
        <v>715.27500000000009</v>
      </c>
      <c r="T61" s="1">
        <v>1963.8150000000001</v>
      </c>
      <c r="U61" s="1">
        <v>1360.8000000000002</v>
      </c>
      <c r="V61" s="1">
        <v>1093.7505000000001</v>
      </c>
      <c r="W61" s="1">
        <v>626.77500000000009</v>
      </c>
      <c r="X61" s="1">
        <v>1863.105</v>
      </c>
      <c r="Y61" s="1">
        <v>0</v>
      </c>
      <c r="Z61" s="1">
        <v>0</v>
      </c>
      <c r="AA61" s="3">
        <v>15000</v>
      </c>
      <c r="AB61" s="1">
        <v>13693.126</v>
      </c>
    </row>
    <row r="62" spans="1:28" x14ac:dyDescent="0.25">
      <c r="A62" s="1">
        <v>61</v>
      </c>
      <c r="B62" s="2">
        <v>47453</v>
      </c>
      <c r="C62" s="1">
        <v>1700.58</v>
      </c>
      <c r="D62" s="1">
        <v>350.12099999999998</v>
      </c>
      <c r="E62" s="1">
        <v>898.71450000000004</v>
      </c>
      <c r="F62" s="1">
        <v>1476.4470000000001</v>
      </c>
      <c r="G62" s="1">
        <v>402.44550000000004</v>
      </c>
      <c r="H62" s="1">
        <v>793.44900000000007</v>
      </c>
      <c r="I62" s="1">
        <v>565.06499999999994</v>
      </c>
      <c r="J62" s="1">
        <v>362.709</v>
      </c>
      <c r="K62" s="1">
        <v>812.80200000000013</v>
      </c>
      <c r="L62" s="1">
        <v>1569.8849999999998</v>
      </c>
      <c r="M62" s="1">
        <v>1346.1195</v>
      </c>
      <c r="N62" s="1">
        <v>223.089</v>
      </c>
      <c r="O62" s="1">
        <v>737.322</v>
      </c>
      <c r="P62" s="1">
        <v>421.20899999999995</v>
      </c>
      <c r="Q62" s="4">
        <v>585.11249999999995</v>
      </c>
      <c r="R62" s="1">
        <v>545.85450000000003</v>
      </c>
      <c r="S62" s="1">
        <v>707.02049999999997</v>
      </c>
      <c r="T62" s="1">
        <v>1905.96</v>
      </c>
      <c r="U62" s="1">
        <v>1347.4349999999999</v>
      </c>
      <c r="V62" s="1">
        <v>1097.6610000000001</v>
      </c>
      <c r="W62" s="1">
        <v>624.06000000000006</v>
      </c>
      <c r="X62" s="1">
        <v>1850.835</v>
      </c>
      <c r="Y62" s="1">
        <v>0</v>
      </c>
      <c r="Z62" s="1">
        <v>0</v>
      </c>
      <c r="AA62" s="3">
        <v>15000</v>
      </c>
      <c r="AB62" s="1">
        <v>13546.273999999999</v>
      </c>
    </row>
    <row r="63" spans="1:28" x14ac:dyDescent="0.25">
      <c r="A63" s="1">
        <v>62</v>
      </c>
      <c r="B63" s="2">
        <v>47484</v>
      </c>
      <c r="C63" s="1">
        <v>1700.4945</v>
      </c>
      <c r="D63" s="1">
        <v>343.5915</v>
      </c>
      <c r="E63" s="1">
        <v>892.28399999999999</v>
      </c>
      <c r="F63" s="1">
        <v>1461.0374999999999</v>
      </c>
      <c r="G63" s="1">
        <v>399.95100000000002</v>
      </c>
      <c r="H63" s="1">
        <v>790.69799999999987</v>
      </c>
      <c r="I63" s="1">
        <v>564.85050000000001</v>
      </c>
      <c r="J63" s="1">
        <v>364.20000000000005</v>
      </c>
      <c r="K63" s="1">
        <v>799.17599999999993</v>
      </c>
      <c r="L63" s="1">
        <v>1554.33</v>
      </c>
      <c r="M63" s="1">
        <v>1313.1465000000001</v>
      </c>
      <c r="N63" s="1">
        <v>220.52549999999999</v>
      </c>
      <c r="O63" s="1">
        <v>726.40049999999997</v>
      </c>
      <c r="P63" s="1">
        <v>421.20000000000005</v>
      </c>
      <c r="Q63" s="4">
        <v>580.62749999999994</v>
      </c>
      <c r="R63" s="1">
        <v>529.20000000000005</v>
      </c>
      <c r="S63" s="1">
        <v>699.51299999999992</v>
      </c>
      <c r="T63" s="1">
        <v>1848.4499999999998</v>
      </c>
      <c r="U63" s="1">
        <v>1334.2379999999998</v>
      </c>
      <c r="V63" s="1">
        <v>1101.7004999999999</v>
      </c>
      <c r="W63" s="1">
        <v>622.07549999999992</v>
      </c>
      <c r="X63" s="1">
        <v>1837.4549999999999</v>
      </c>
      <c r="Y63" s="1">
        <v>0</v>
      </c>
      <c r="Z63" s="1">
        <v>0</v>
      </c>
      <c r="AA63" s="3">
        <v>15000</v>
      </c>
      <c r="AB63" s="1">
        <v>13400.299000000001</v>
      </c>
    </row>
    <row r="64" spans="1:28" x14ac:dyDescent="0.25">
      <c r="A64" s="1">
        <v>63</v>
      </c>
      <c r="B64" s="2">
        <v>47515</v>
      </c>
      <c r="C64" s="1">
        <v>1700.4119999999998</v>
      </c>
      <c r="D64" s="1">
        <v>338.745</v>
      </c>
      <c r="E64" s="1">
        <v>886.88400000000001</v>
      </c>
      <c r="F64" s="1">
        <v>1447.0529999999999</v>
      </c>
      <c r="G64" s="1">
        <v>397.15049999999997</v>
      </c>
      <c r="H64" s="1">
        <v>788.0145</v>
      </c>
      <c r="I64" s="1">
        <v>564.29100000000005</v>
      </c>
      <c r="J64" s="1">
        <v>365.322</v>
      </c>
      <c r="K64" s="1">
        <v>787.53449999999998</v>
      </c>
      <c r="L64" s="1">
        <v>1539.585</v>
      </c>
      <c r="M64" s="1">
        <v>1285.098</v>
      </c>
      <c r="N64" s="1">
        <v>218.39550000000003</v>
      </c>
      <c r="O64" s="1">
        <v>716.49149999999997</v>
      </c>
      <c r="P64" s="1">
        <v>421.428</v>
      </c>
      <c r="Q64" s="4">
        <v>575.93100000000004</v>
      </c>
      <c r="R64" s="1">
        <v>514.452</v>
      </c>
      <c r="S64" s="1">
        <v>693.52049999999997</v>
      </c>
      <c r="T64" s="1">
        <v>1797.4349999999999</v>
      </c>
      <c r="U64" s="1">
        <v>1322.7465</v>
      </c>
      <c r="V64" s="1">
        <v>1105.0155</v>
      </c>
      <c r="W64" s="1">
        <v>620.73450000000003</v>
      </c>
      <c r="X64" s="1">
        <v>1825.095</v>
      </c>
      <c r="Y64" s="1">
        <v>0</v>
      </c>
      <c r="Z64" s="1">
        <v>0</v>
      </c>
      <c r="AA64" s="3">
        <v>15000</v>
      </c>
      <c r="AB64" s="1">
        <v>13271.159999999998</v>
      </c>
    </row>
    <row r="65" spans="1:28" x14ac:dyDescent="0.25">
      <c r="A65" s="1">
        <v>64</v>
      </c>
      <c r="B65" s="2">
        <v>47543</v>
      </c>
      <c r="C65" s="1">
        <v>1700.3235</v>
      </c>
      <c r="D65" s="1">
        <v>331.89300000000003</v>
      </c>
      <c r="E65" s="1">
        <v>881.86349999999993</v>
      </c>
      <c r="F65" s="1">
        <v>1433.625</v>
      </c>
      <c r="G65" s="1">
        <v>395.78550000000007</v>
      </c>
      <c r="H65" s="1">
        <v>785.36849999999993</v>
      </c>
      <c r="I65" s="1">
        <v>563.54100000000005</v>
      </c>
      <c r="J65" s="1">
        <v>366.26549999999997</v>
      </c>
      <c r="K65" s="1">
        <v>775.9815000000001</v>
      </c>
      <c r="L65" s="1">
        <v>1524.345</v>
      </c>
      <c r="M65" s="1">
        <v>1259.3775000000001</v>
      </c>
      <c r="N65" s="1">
        <v>216.315</v>
      </c>
      <c r="O65" s="1">
        <v>707.03250000000003</v>
      </c>
      <c r="P65" s="1">
        <v>421.548</v>
      </c>
      <c r="Q65" s="4">
        <v>571.3365</v>
      </c>
      <c r="R65" s="1">
        <v>499.524</v>
      </c>
      <c r="S65" s="1">
        <v>687.54449999999997</v>
      </c>
      <c r="T65" s="1">
        <v>1748.0249999999999</v>
      </c>
      <c r="U65" s="1">
        <v>1311.9435000000001</v>
      </c>
      <c r="V65" s="1">
        <v>1107.6779999999999</v>
      </c>
      <c r="W65" s="1">
        <v>619.66949999999997</v>
      </c>
      <c r="X65" s="1">
        <v>1813.41</v>
      </c>
      <c r="Y65" s="1">
        <v>0</v>
      </c>
      <c r="Z65" s="1">
        <v>0</v>
      </c>
      <c r="AA65" s="3">
        <v>15000</v>
      </c>
      <c r="AB65" s="1">
        <v>13145.199999999999</v>
      </c>
    </row>
    <row r="66" spans="1:28" x14ac:dyDescent="0.25">
      <c r="A66" s="1">
        <v>65</v>
      </c>
      <c r="B66" s="2">
        <v>47574</v>
      </c>
      <c r="C66" s="1">
        <v>1700.22</v>
      </c>
      <c r="D66" s="1">
        <v>328.05149999999998</v>
      </c>
      <c r="E66" s="1">
        <v>876.87149999999997</v>
      </c>
      <c r="F66" s="1">
        <v>1419.8744999999999</v>
      </c>
      <c r="G66" s="1">
        <v>394.5795</v>
      </c>
      <c r="H66" s="1">
        <v>782.88599999999997</v>
      </c>
      <c r="I66" s="1">
        <v>562.54950000000008</v>
      </c>
      <c r="J66" s="1">
        <v>367.07550000000003</v>
      </c>
      <c r="K66" s="1">
        <v>764.80500000000006</v>
      </c>
      <c r="L66" s="1">
        <v>1507.635</v>
      </c>
      <c r="M66" s="1">
        <v>1234.4445000000001</v>
      </c>
      <c r="N66" s="1">
        <v>214.24950000000001</v>
      </c>
      <c r="O66" s="1">
        <v>697.47450000000003</v>
      </c>
      <c r="P66" s="1">
        <v>421.62450000000001</v>
      </c>
      <c r="Q66" s="4">
        <v>566.7405</v>
      </c>
      <c r="R66" s="1">
        <v>484.67550000000006</v>
      </c>
      <c r="S66" s="1">
        <v>681.92550000000006</v>
      </c>
      <c r="T66" s="1">
        <v>1698.165</v>
      </c>
      <c r="U66" s="1">
        <v>1301.1374999999998</v>
      </c>
      <c r="V66" s="1">
        <v>1109.8004999999998</v>
      </c>
      <c r="W66" s="1">
        <v>618.73800000000006</v>
      </c>
      <c r="X66" s="1">
        <v>1802.1150000000002</v>
      </c>
      <c r="Y66" s="1">
        <v>0</v>
      </c>
      <c r="Z66" s="1">
        <v>0</v>
      </c>
      <c r="AA66" s="3">
        <v>15000</v>
      </c>
      <c r="AB66" s="1">
        <v>13020.678</v>
      </c>
    </row>
    <row r="67" spans="1:28" x14ac:dyDescent="0.25">
      <c r="A67" s="1">
        <v>66</v>
      </c>
      <c r="B67" s="2">
        <v>47604</v>
      </c>
      <c r="C67" s="1">
        <v>1700.1285000000003</v>
      </c>
      <c r="D67" s="1">
        <v>323.12850000000003</v>
      </c>
      <c r="E67" s="1">
        <v>872.50650000000007</v>
      </c>
      <c r="F67" s="1">
        <v>1407.8340000000001</v>
      </c>
      <c r="G67" s="1">
        <v>395.05949999999996</v>
      </c>
      <c r="H67" s="1">
        <v>780.43050000000005</v>
      </c>
      <c r="I67" s="1">
        <v>561.31499999999994</v>
      </c>
      <c r="J67" s="1">
        <v>367.66949999999997</v>
      </c>
      <c r="K67" s="1">
        <v>755.33699999999999</v>
      </c>
      <c r="L67" s="1">
        <v>1491.6134999999999</v>
      </c>
      <c r="M67" s="1">
        <v>1213.527</v>
      </c>
      <c r="N67" s="1">
        <v>212.3475</v>
      </c>
      <c r="O67" s="1">
        <v>689.10450000000003</v>
      </c>
      <c r="P67" s="1">
        <v>421.548</v>
      </c>
      <c r="Q67" s="4">
        <v>562.11899999999991</v>
      </c>
      <c r="R67" s="1">
        <v>472.04100000000005</v>
      </c>
      <c r="S67" s="1">
        <v>677.40750000000003</v>
      </c>
      <c r="T67" s="1">
        <v>1654.5749999999998</v>
      </c>
      <c r="U67" s="1">
        <v>1291.7774999999999</v>
      </c>
      <c r="V67" s="1">
        <v>1111.2090000000001</v>
      </c>
      <c r="W67" s="1">
        <v>617.976</v>
      </c>
      <c r="X67" s="1">
        <v>1792.83</v>
      </c>
      <c r="Y67" s="1">
        <v>0</v>
      </c>
      <c r="Z67" s="1">
        <v>0</v>
      </c>
      <c r="AA67" s="3">
        <v>15000</v>
      </c>
      <c r="AB67" s="1">
        <v>12911.633</v>
      </c>
    </row>
    <row r="68" spans="1:28" x14ac:dyDescent="0.25">
      <c r="A68" s="1">
        <v>67</v>
      </c>
      <c r="B68" s="2">
        <v>47635</v>
      </c>
      <c r="C68" s="1">
        <v>1700.0249999999999</v>
      </c>
      <c r="D68" s="1">
        <v>318.1635</v>
      </c>
      <c r="E68" s="1">
        <v>867.93450000000007</v>
      </c>
      <c r="F68" s="1">
        <v>1395.0255000000002</v>
      </c>
      <c r="G68" s="1">
        <v>395.54999999999995</v>
      </c>
      <c r="H68" s="1">
        <v>777.4665</v>
      </c>
      <c r="I68" s="1">
        <v>559.79999999999995</v>
      </c>
      <c r="J68" s="1">
        <v>367.875</v>
      </c>
      <c r="K68" s="1">
        <v>745.67700000000002</v>
      </c>
      <c r="L68" s="1">
        <v>1473.8910000000001</v>
      </c>
      <c r="M68" s="1">
        <v>1192.6995000000002</v>
      </c>
      <c r="N68" s="1">
        <v>210.40049999999999</v>
      </c>
      <c r="O68" s="1">
        <v>680.65049999999997</v>
      </c>
      <c r="P68" s="1">
        <v>421.34999999999997</v>
      </c>
      <c r="Q68" s="4">
        <v>558.08399999999995</v>
      </c>
      <c r="R68" s="1">
        <v>459.32549999999998</v>
      </c>
      <c r="S68" s="1">
        <v>673.06200000000001</v>
      </c>
      <c r="T68" s="1">
        <v>1610.88</v>
      </c>
      <c r="U68" s="1">
        <v>1281.9630000000002</v>
      </c>
      <c r="V68" s="1">
        <v>1112.1495</v>
      </c>
      <c r="W68" s="1">
        <v>617.27549999999997</v>
      </c>
      <c r="X68" s="1">
        <v>1783.1849999999999</v>
      </c>
      <c r="Y68" s="1">
        <v>0</v>
      </c>
      <c r="Z68" s="1">
        <v>0</v>
      </c>
      <c r="AA68" s="3">
        <v>15000</v>
      </c>
      <c r="AB68" s="1">
        <v>12798.858</v>
      </c>
    </row>
    <row r="69" spans="1:28" x14ac:dyDescent="0.25">
      <c r="A69" s="1">
        <v>68</v>
      </c>
      <c r="B69" s="2">
        <v>47665</v>
      </c>
      <c r="C69" s="1">
        <v>1699.9275000000002</v>
      </c>
      <c r="D69" s="1">
        <v>315.15449999999998</v>
      </c>
      <c r="E69" s="1">
        <v>864.423</v>
      </c>
      <c r="F69" s="1">
        <v>1384.2645</v>
      </c>
      <c r="G69" s="1">
        <v>395.05649999999997</v>
      </c>
      <c r="H69" s="1">
        <v>775.12649999999996</v>
      </c>
      <c r="I69" s="1">
        <v>558.774</v>
      </c>
      <c r="J69" s="1">
        <v>368.41949999999997</v>
      </c>
      <c r="K69" s="1">
        <v>737.89649999999995</v>
      </c>
      <c r="L69" s="1">
        <v>1456.0830000000001</v>
      </c>
      <c r="M69" s="1">
        <v>1175.5529999999999</v>
      </c>
      <c r="N69" s="1">
        <v>208.69349999999997</v>
      </c>
      <c r="O69" s="1">
        <v>674.00850000000003</v>
      </c>
      <c r="P69" s="1">
        <v>421.452</v>
      </c>
      <c r="Q69" s="4">
        <v>553.93799999999999</v>
      </c>
      <c r="R69" s="1">
        <v>448.69350000000003</v>
      </c>
      <c r="S69" s="1">
        <v>669.81000000000006</v>
      </c>
      <c r="T69" s="1">
        <v>1573.095</v>
      </c>
      <c r="U69" s="1">
        <v>1274.0325</v>
      </c>
      <c r="V69" s="1">
        <v>1113.7260000000001</v>
      </c>
      <c r="W69" s="1">
        <v>617.202</v>
      </c>
      <c r="X69" s="1">
        <v>1776.2550000000001</v>
      </c>
      <c r="Y69" s="1">
        <v>0</v>
      </c>
      <c r="Z69" s="1">
        <v>0</v>
      </c>
      <c r="AA69" s="3">
        <v>15000</v>
      </c>
      <c r="AB69" s="1">
        <v>12705.713</v>
      </c>
    </row>
    <row r="70" spans="1:28" x14ac:dyDescent="0.25">
      <c r="A70" s="1">
        <v>69</v>
      </c>
      <c r="B70" s="2">
        <v>47696</v>
      </c>
      <c r="C70" s="1">
        <v>1701.6405</v>
      </c>
      <c r="D70" s="1">
        <v>311.28000000000003</v>
      </c>
      <c r="E70" s="1">
        <v>860.64</v>
      </c>
      <c r="F70" s="1">
        <v>1373.7345</v>
      </c>
      <c r="G70" s="1">
        <v>394.89300000000003</v>
      </c>
      <c r="H70" s="1">
        <v>773.44950000000006</v>
      </c>
      <c r="I70" s="1">
        <v>557.78250000000003</v>
      </c>
      <c r="J70" s="1">
        <v>368.685</v>
      </c>
      <c r="K70" s="1">
        <v>730.524</v>
      </c>
      <c r="L70" s="1">
        <v>1437.1605</v>
      </c>
      <c r="M70" s="1">
        <v>1159.6845000000001</v>
      </c>
      <c r="N70" s="1">
        <v>206.976</v>
      </c>
      <c r="O70" s="1">
        <v>667.69350000000009</v>
      </c>
      <c r="P70" s="1">
        <v>421.13699999999994</v>
      </c>
      <c r="Q70" s="4">
        <v>550.923</v>
      </c>
      <c r="R70" s="1">
        <v>438.96749999999997</v>
      </c>
      <c r="S70" s="1">
        <v>666.43500000000006</v>
      </c>
      <c r="T70" s="1">
        <v>1537.6349999999998</v>
      </c>
      <c r="U70" s="1">
        <v>1265.9760000000001</v>
      </c>
      <c r="V70" s="1">
        <v>1114.3064999999999</v>
      </c>
      <c r="W70" s="1">
        <v>616.68149999999991</v>
      </c>
      <c r="X70" s="1">
        <v>1769.22</v>
      </c>
      <c r="Y70" s="1">
        <v>0</v>
      </c>
      <c r="Z70" s="1">
        <v>0</v>
      </c>
      <c r="AA70" s="3">
        <v>15000</v>
      </c>
      <c r="AB70" s="1">
        <v>12615.216</v>
      </c>
    </row>
    <row r="71" spans="1:28" x14ac:dyDescent="0.25">
      <c r="A71" s="1">
        <v>70</v>
      </c>
      <c r="B71" s="2">
        <v>47727</v>
      </c>
      <c r="C71" s="1">
        <v>1701.5595000000001</v>
      </c>
      <c r="D71" s="1">
        <v>308.70299999999997</v>
      </c>
      <c r="E71" s="1">
        <v>856.32899999999995</v>
      </c>
      <c r="F71" s="1">
        <v>1361.3969999999999</v>
      </c>
      <c r="G71" s="1">
        <v>394.81499999999994</v>
      </c>
      <c r="H71" s="1">
        <v>771.39750000000004</v>
      </c>
      <c r="I71" s="1">
        <v>556.5809999999999</v>
      </c>
      <c r="J71" s="1">
        <v>368.83949999999999</v>
      </c>
      <c r="K71" s="1">
        <v>722.27699999999993</v>
      </c>
      <c r="L71" s="1">
        <v>1413.0674999999999</v>
      </c>
      <c r="M71" s="1">
        <v>1142.076</v>
      </c>
      <c r="N71" s="1">
        <v>204.8835</v>
      </c>
      <c r="O71" s="1">
        <v>660.61649999999997</v>
      </c>
      <c r="P71" s="1">
        <v>420.50850000000003</v>
      </c>
      <c r="Q71" s="4">
        <v>548.322</v>
      </c>
      <c r="R71" s="1">
        <v>428.38350000000003</v>
      </c>
      <c r="S71" s="1">
        <v>662.49149999999997</v>
      </c>
      <c r="T71" s="1">
        <v>1497.6990000000001</v>
      </c>
      <c r="U71" s="1">
        <v>1256.652</v>
      </c>
      <c r="V71" s="1">
        <v>1114.6605</v>
      </c>
      <c r="W71" s="1">
        <v>615.87</v>
      </c>
      <c r="X71" s="1">
        <v>1761.165</v>
      </c>
      <c r="Y71" s="1">
        <v>0</v>
      </c>
      <c r="Z71" s="1">
        <v>0</v>
      </c>
      <c r="AA71" s="3">
        <v>15000</v>
      </c>
      <c r="AB71" s="1">
        <v>12510.138999999999</v>
      </c>
    </row>
    <row r="72" spans="1:28" x14ac:dyDescent="0.25">
      <c r="A72" s="1">
        <v>71</v>
      </c>
      <c r="B72" s="2">
        <v>47757</v>
      </c>
      <c r="C72" s="1">
        <v>1701.4634999999998</v>
      </c>
      <c r="D72" s="1">
        <v>305.56200000000001</v>
      </c>
      <c r="E72" s="1">
        <v>852.93450000000007</v>
      </c>
      <c r="F72" s="1">
        <v>1351.9904999999999</v>
      </c>
      <c r="G72" s="1">
        <v>394.31100000000004</v>
      </c>
      <c r="H72" s="1">
        <v>769.18499999999995</v>
      </c>
      <c r="I72" s="1">
        <v>555.50850000000003</v>
      </c>
      <c r="J72" s="1">
        <v>368.87850000000003</v>
      </c>
      <c r="K72" s="1">
        <v>716.06850000000009</v>
      </c>
      <c r="L72" s="1">
        <v>1392.798</v>
      </c>
      <c r="M72" s="1">
        <v>1128.9675</v>
      </c>
      <c r="N72" s="1">
        <v>203.226</v>
      </c>
      <c r="O72" s="1">
        <v>655.476</v>
      </c>
      <c r="P72" s="1">
        <v>419.928</v>
      </c>
      <c r="Q72" s="4">
        <v>545.23649999999998</v>
      </c>
      <c r="R72" s="1">
        <v>420.411</v>
      </c>
      <c r="S72" s="1">
        <v>659.35950000000003</v>
      </c>
      <c r="T72" s="1">
        <v>1466.0715</v>
      </c>
      <c r="U72" s="1">
        <v>1249.3425</v>
      </c>
      <c r="V72" s="1">
        <v>1114.7414999999999</v>
      </c>
      <c r="W72" s="1">
        <v>615.13350000000003</v>
      </c>
      <c r="X72" s="1">
        <v>1755.0450000000001</v>
      </c>
      <c r="Y72" s="1">
        <v>0</v>
      </c>
      <c r="Z72" s="1">
        <v>0</v>
      </c>
      <c r="AA72" s="3">
        <v>15000</v>
      </c>
      <c r="AB72" s="1">
        <v>12425.921000000002</v>
      </c>
    </row>
    <row r="73" spans="1:28" x14ac:dyDescent="0.25">
      <c r="A73" s="1">
        <v>72</v>
      </c>
      <c r="B73" s="2">
        <v>47788</v>
      </c>
      <c r="C73" s="1">
        <v>1701.3674999999998</v>
      </c>
      <c r="D73" s="1">
        <v>302.85599999999999</v>
      </c>
      <c r="E73" s="1">
        <v>849</v>
      </c>
      <c r="F73" s="1">
        <v>1341.2505000000001</v>
      </c>
      <c r="G73" s="1">
        <v>393.61500000000001</v>
      </c>
      <c r="H73" s="1">
        <v>767.07749999999999</v>
      </c>
      <c r="I73" s="1">
        <v>554.20049999999992</v>
      </c>
      <c r="J73" s="1">
        <v>368.87549999999999</v>
      </c>
      <c r="K73" s="1">
        <v>709.15049999999997</v>
      </c>
      <c r="L73" s="1">
        <v>1368.6089999999999</v>
      </c>
      <c r="M73" s="1">
        <v>1114.4625000000001</v>
      </c>
      <c r="N73" s="1">
        <v>201.32550000000003</v>
      </c>
      <c r="O73" s="1">
        <v>649.77449999999999</v>
      </c>
      <c r="P73" s="1">
        <v>419.12549999999999</v>
      </c>
      <c r="Q73" s="4">
        <v>542.47950000000003</v>
      </c>
      <c r="R73" s="1">
        <v>411.77549999999997</v>
      </c>
      <c r="S73" s="1">
        <v>655.78800000000001</v>
      </c>
      <c r="T73" s="1">
        <v>1429.4190000000001</v>
      </c>
      <c r="U73" s="1">
        <v>1240.9005000000002</v>
      </c>
      <c r="V73" s="1">
        <v>1114.7505000000001</v>
      </c>
      <c r="W73" s="1">
        <v>614.12549999999999</v>
      </c>
      <c r="X73" s="1">
        <v>1748.2049999999999</v>
      </c>
      <c r="Y73" s="1">
        <v>0</v>
      </c>
      <c r="Z73" s="1">
        <v>0</v>
      </c>
      <c r="AA73" s="3">
        <v>15000</v>
      </c>
      <c r="AB73" s="1">
        <v>12329.993999999997</v>
      </c>
    </row>
    <row r="74" spans="1:28" x14ac:dyDescent="0.25">
      <c r="A74" s="1">
        <v>73</v>
      </c>
      <c r="B74" s="2">
        <v>47818</v>
      </c>
      <c r="C74" s="1">
        <v>1701.2804999999998</v>
      </c>
      <c r="D74" s="1">
        <v>300.02100000000002</v>
      </c>
      <c r="E74" s="1">
        <v>845.50650000000007</v>
      </c>
      <c r="F74" s="1">
        <v>1331.7645</v>
      </c>
      <c r="G74" s="1">
        <v>392.3655</v>
      </c>
      <c r="H74" s="1">
        <v>764.94450000000006</v>
      </c>
      <c r="I74" s="1">
        <v>553.11300000000006</v>
      </c>
      <c r="J74" s="1">
        <v>368.73450000000003</v>
      </c>
      <c r="K74" s="1">
        <v>703.14300000000003</v>
      </c>
      <c r="L74" s="1">
        <v>1346.289</v>
      </c>
      <c r="M74" s="1">
        <v>1101.9974999999999</v>
      </c>
      <c r="N74" s="1">
        <v>199.548</v>
      </c>
      <c r="O74" s="1">
        <v>644.952</v>
      </c>
      <c r="P74" s="1">
        <v>418.161</v>
      </c>
      <c r="Q74" s="4">
        <v>539.33699999999999</v>
      </c>
      <c r="R74" s="1">
        <v>404.49149999999997</v>
      </c>
      <c r="S74" s="1">
        <v>652.53600000000006</v>
      </c>
      <c r="T74" s="1">
        <v>1396.578</v>
      </c>
      <c r="U74" s="1">
        <v>1233.1575</v>
      </c>
      <c r="V74" s="1">
        <v>1114.7414999999999</v>
      </c>
      <c r="W74" s="1">
        <v>613.13699999999994</v>
      </c>
      <c r="X74" s="1">
        <v>1741.98</v>
      </c>
      <c r="Y74" s="1">
        <v>0</v>
      </c>
      <c r="Z74" s="1">
        <v>0</v>
      </c>
      <c r="AA74" s="3">
        <v>15000</v>
      </c>
      <c r="AB74" s="1">
        <v>12243.297</v>
      </c>
    </row>
    <row r="75" spans="1:28" x14ac:dyDescent="0.25">
      <c r="A75" s="1">
        <v>74</v>
      </c>
      <c r="B75" s="2">
        <v>47849</v>
      </c>
      <c r="C75" s="1">
        <v>1701.1725000000001</v>
      </c>
      <c r="D75" s="1">
        <v>297.13200000000001</v>
      </c>
      <c r="E75" s="1">
        <v>841.84649999999999</v>
      </c>
      <c r="F75" s="1">
        <v>1321.6185</v>
      </c>
      <c r="G75" s="1">
        <v>390.61950000000002</v>
      </c>
      <c r="H75" s="1">
        <v>762.90300000000002</v>
      </c>
      <c r="I75" s="1">
        <v>551.92499999999995</v>
      </c>
      <c r="J75" s="1">
        <v>368.47500000000002</v>
      </c>
      <c r="K75" s="1">
        <v>696.91800000000001</v>
      </c>
      <c r="L75" s="1">
        <v>1322.3879999999999</v>
      </c>
      <c r="M75" s="1">
        <v>1089.306</v>
      </c>
      <c r="N75" s="1">
        <v>197.65049999999999</v>
      </c>
      <c r="O75" s="1">
        <v>640.15049999999997</v>
      </c>
      <c r="P75" s="1">
        <v>417.07500000000005</v>
      </c>
      <c r="Q75" s="4">
        <v>536.50350000000003</v>
      </c>
      <c r="R75" s="1">
        <v>397.20000000000005</v>
      </c>
      <c r="S75" s="1">
        <v>648.94949999999994</v>
      </c>
      <c r="T75" s="1">
        <v>1362.6</v>
      </c>
      <c r="U75" s="1">
        <v>1224.7379999999998</v>
      </c>
      <c r="V75" s="1">
        <v>1114.5495000000001</v>
      </c>
      <c r="W75" s="1">
        <v>611.87549999999999</v>
      </c>
      <c r="X75" s="1">
        <v>1735.4250000000002</v>
      </c>
      <c r="Y75" s="1">
        <v>0</v>
      </c>
      <c r="Z75" s="1">
        <v>0</v>
      </c>
      <c r="AA75" s="3">
        <v>15000</v>
      </c>
      <c r="AB75" s="1">
        <v>12152.094999999999</v>
      </c>
    </row>
    <row r="76" spans="1:28" x14ac:dyDescent="0.25">
      <c r="A76" s="1">
        <v>75</v>
      </c>
      <c r="B76" s="2">
        <v>47880</v>
      </c>
      <c r="C76" s="1">
        <v>1701.0675000000001</v>
      </c>
      <c r="D76" s="1">
        <v>294.39749999999998</v>
      </c>
      <c r="E76" s="1">
        <v>838.46399999999994</v>
      </c>
      <c r="F76" s="1">
        <v>1312.3185000000001</v>
      </c>
      <c r="G76" s="1">
        <v>388.74750000000006</v>
      </c>
      <c r="H76" s="1">
        <v>760.85699999999997</v>
      </c>
      <c r="I76" s="1">
        <v>550.71749999999997</v>
      </c>
      <c r="J76" s="1">
        <v>368.178</v>
      </c>
      <c r="K76" s="1">
        <v>691.34249999999997</v>
      </c>
      <c r="L76" s="1">
        <v>1300.4159999999999</v>
      </c>
      <c r="M76" s="1">
        <v>1078.3274999999999</v>
      </c>
      <c r="N76" s="1">
        <v>195.798</v>
      </c>
      <c r="O76" s="1">
        <v>635.90250000000003</v>
      </c>
      <c r="P76" s="1">
        <v>415.98449999999997</v>
      </c>
      <c r="Q76" s="4">
        <v>533.625</v>
      </c>
      <c r="R76" s="1">
        <v>390.774</v>
      </c>
      <c r="S76" s="1">
        <v>645.43500000000006</v>
      </c>
      <c r="T76" s="1">
        <v>1331.6669999999999</v>
      </c>
      <c r="U76" s="1">
        <v>1216.7535</v>
      </c>
      <c r="V76" s="1">
        <v>1114.3544999999999</v>
      </c>
      <c r="W76" s="1">
        <v>610.548</v>
      </c>
      <c r="X76" s="1">
        <v>1729.56</v>
      </c>
      <c r="Y76" s="1">
        <v>0</v>
      </c>
      <c r="Z76" s="1">
        <v>0</v>
      </c>
      <c r="AA76" s="3">
        <v>15000</v>
      </c>
      <c r="AB76" s="1">
        <v>12068.414999999997</v>
      </c>
    </row>
    <row r="77" spans="1:28" x14ac:dyDescent="0.25">
      <c r="A77" s="1">
        <v>76</v>
      </c>
      <c r="B77" s="2">
        <v>47908</v>
      </c>
      <c r="C77" s="1">
        <v>1700.9670000000001</v>
      </c>
      <c r="D77" s="1">
        <v>291.78750000000002</v>
      </c>
      <c r="E77" s="1">
        <v>835.09799999999996</v>
      </c>
      <c r="F77" s="1">
        <v>1303.1370000000002</v>
      </c>
      <c r="G77" s="1">
        <v>386.20799999999997</v>
      </c>
      <c r="H77" s="1">
        <v>758.8125</v>
      </c>
      <c r="I77" s="1">
        <v>549.55649999999991</v>
      </c>
      <c r="J77" s="1">
        <v>367.69349999999997</v>
      </c>
      <c r="K77" s="1">
        <v>686.08349999999996</v>
      </c>
      <c r="L77" s="1">
        <v>1279.2705000000001</v>
      </c>
      <c r="M77" s="1">
        <v>1068.1695</v>
      </c>
      <c r="N77" s="1">
        <v>193.98450000000003</v>
      </c>
      <c r="O77" s="1">
        <v>632.05649999999991</v>
      </c>
      <c r="P77" s="1">
        <v>414.75</v>
      </c>
      <c r="Q77" s="4">
        <v>531.01199999999994</v>
      </c>
      <c r="R77" s="1">
        <v>384.774</v>
      </c>
      <c r="S77" s="1">
        <v>641.86649999999997</v>
      </c>
      <c r="T77" s="1">
        <v>1301.7945</v>
      </c>
      <c r="U77" s="1">
        <v>1208.6610000000001</v>
      </c>
      <c r="V77" s="1">
        <v>1114.1610000000001</v>
      </c>
      <c r="W77" s="1">
        <v>609.12149999999997</v>
      </c>
      <c r="X77" s="1">
        <v>1723.9499999999998</v>
      </c>
      <c r="Y77" s="1">
        <v>0</v>
      </c>
      <c r="Z77" s="1">
        <v>0</v>
      </c>
      <c r="AA77" s="3">
        <v>15000</v>
      </c>
      <c r="AB77" s="1">
        <v>11986.883999999998</v>
      </c>
    </row>
    <row r="78" spans="1:28" x14ac:dyDescent="0.25">
      <c r="A78" s="1">
        <v>77</v>
      </c>
      <c r="B78" s="2">
        <v>47939</v>
      </c>
      <c r="C78" s="1">
        <v>1700.8425</v>
      </c>
      <c r="D78" s="1">
        <v>289.46550000000002</v>
      </c>
      <c r="E78" s="1">
        <v>831.56850000000009</v>
      </c>
      <c r="F78" s="1">
        <v>1293.4559999999999</v>
      </c>
      <c r="G78" s="1">
        <v>383.58450000000005</v>
      </c>
      <c r="H78" s="1">
        <v>756.88499999999999</v>
      </c>
      <c r="I78" s="1">
        <v>548.29950000000008</v>
      </c>
      <c r="J78" s="1">
        <v>367.15049999999997</v>
      </c>
      <c r="K78" s="1">
        <v>680.91300000000001</v>
      </c>
      <c r="L78" s="1">
        <v>1257.3195000000001</v>
      </c>
      <c r="M78" s="1">
        <v>1058.0369999999998</v>
      </c>
      <c r="N78" s="1">
        <v>192</v>
      </c>
      <c r="O78" s="1">
        <v>628.17450000000008</v>
      </c>
      <c r="P78" s="1">
        <v>413.40000000000003</v>
      </c>
      <c r="Q78" s="4">
        <v>528.423</v>
      </c>
      <c r="R78" s="1">
        <v>378.9255</v>
      </c>
      <c r="S78" s="1">
        <v>638.05050000000006</v>
      </c>
      <c r="T78" s="1">
        <v>1272.2505000000001</v>
      </c>
      <c r="U78" s="1">
        <v>1200</v>
      </c>
      <c r="V78" s="1">
        <v>1113.8505</v>
      </c>
      <c r="W78" s="1">
        <v>607.48800000000006</v>
      </c>
      <c r="X78" s="1">
        <v>1718.28</v>
      </c>
      <c r="Y78" s="1">
        <v>0</v>
      </c>
      <c r="Z78" s="1">
        <v>0</v>
      </c>
      <c r="AA78" s="3">
        <v>15000</v>
      </c>
      <c r="AB78" s="1">
        <v>11903.794000000004</v>
      </c>
    </row>
    <row r="79" spans="1:28" x14ac:dyDescent="0.25">
      <c r="A79" s="1">
        <v>78</v>
      </c>
      <c r="B79" s="2">
        <v>47969</v>
      </c>
      <c r="C79" s="1">
        <v>1700.7195000000002</v>
      </c>
      <c r="D79" s="1">
        <v>287.23950000000002</v>
      </c>
      <c r="E79" s="1">
        <v>829.22849999999994</v>
      </c>
      <c r="F79" s="1">
        <v>1288.6275000000001</v>
      </c>
      <c r="G79" s="1">
        <v>381.35550000000001</v>
      </c>
      <c r="H79" s="1">
        <v>754.90199999999993</v>
      </c>
      <c r="I79" s="1">
        <v>547.524</v>
      </c>
      <c r="J79" s="1">
        <v>366.89550000000003</v>
      </c>
      <c r="K79" s="1">
        <v>677.96100000000001</v>
      </c>
      <c r="L79" s="1">
        <v>1244.1224999999999</v>
      </c>
      <c r="M79" s="1">
        <v>1052.19</v>
      </c>
      <c r="N79" s="1">
        <v>190.2825</v>
      </c>
      <c r="O79" s="1">
        <v>626.10450000000003</v>
      </c>
      <c r="P79" s="1">
        <v>412.64549999999997</v>
      </c>
      <c r="Q79" s="4">
        <v>525.75</v>
      </c>
      <c r="R79" s="1">
        <v>281.298</v>
      </c>
      <c r="S79" s="1">
        <v>558.85950000000003</v>
      </c>
      <c r="T79" s="1">
        <v>1150.845</v>
      </c>
      <c r="U79" s="1">
        <v>1191.8955000000001</v>
      </c>
      <c r="V79" s="1">
        <v>1113.6779999999999</v>
      </c>
      <c r="W79" s="1">
        <v>604.803</v>
      </c>
      <c r="X79" s="1">
        <v>1669.2599999999998</v>
      </c>
      <c r="Y79" s="1">
        <v>197.40300000000002</v>
      </c>
      <c r="Z79" s="1">
        <v>1751.97</v>
      </c>
      <c r="AA79" s="3">
        <v>15000</v>
      </c>
      <c r="AB79" s="1">
        <v>12935.822</v>
      </c>
    </row>
    <row r="80" spans="1:28" x14ac:dyDescent="0.25">
      <c r="A80" s="1">
        <v>79</v>
      </c>
      <c r="B80" s="2">
        <v>48000</v>
      </c>
      <c r="C80" s="1">
        <v>1700.598</v>
      </c>
      <c r="D80" s="1">
        <v>284.5575</v>
      </c>
      <c r="E80" s="1">
        <v>824.71499999999992</v>
      </c>
      <c r="F80" s="1">
        <v>1277.8004999999998</v>
      </c>
      <c r="G80" s="1">
        <v>377.80799999999999</v>
      </c>
      <c r="H80" s="1">
        <v>753.02699999999993</v>
      </c>
      <c r="I80" s="1">
        <v>546.10050000000001</v>
      </c>
      <c r="J80" s="1">
        <v>366.10050000000001</v>
      </c>
      <c r="K80" s="1">
        <v>672.75300000000004</v>
      </c>
      <c r="L80" s="1">
        <v>1220.9069999999999</v>
      </c>
      <c r="M80" s="1">
        <v>1041.7244999999998</v>
      </c>
      <c r="N80" s="1">
        <v>186.1755</v>
      </c>
      <c r="O80" s="1">
        <v>622.52549999999997</v>
      </c>
      <c r="P80" s="1">
        <v>411.02549999999997</v>
      </c>
      <c r="Q80" s="4">
        <v>523.923</v>
      </c>
      <c r="R80" s="1">
        <v>258.40049999999997</v>
      </c>
      <c r="S80" s="1">
        <v>547.57500000000005</v>
      </c>
      <c r="T80" s="1">
        <v>1117.4625000000001</v>
      </c>
      <c r="U80" s="1">
        <v>1145.538</v>
      </c>
      <c r="V80" s="1">
        <v>1113.3494999999998</v>
      </c>
      <c r="W80" s="1">
        <v>581.52449999999999</v>
      </c>
      <c r="X80" s="1">
        <v>1496.8874999999998</v>
      </c>
      <c r="Y80" s="1">
        <v>941.61899999999991</v>
      </c>
      <c r="Z80" s="1">
        <v>2133.855</v>
      </c>
      <c r="AA80" s="3">
        <v>15000</v>
      </c>
      <c r="AB80" s="1">
        <v>13428.702999999998</v>
      </c>
    </row>
    <row r="81" spans="1:28" x14ac:dyDescent="0.25">
      <c r="A81" s="1">
        <v>80</v>
      </c>
      <c r="B81" s="2">
        <v>48030</v>
      </c>
      <c r="C81" s="1">
        <v>1700.4584999999997</v>
      </c>
      <c r="D81" s="1">
        <v>282.23099999999999</v>
      </c>
      <c r="E81" s="1">
        <v>821.9369999999999</v>
      </c>
      <c r="F81" s="1">
        <v>1269.297</v>
      </c>
      <c r="G81" s="1">
        <v>376.101</v>
      </c>
      <c r="H81" s="1">
        <v>751.11</v>
      </c>
      <c r="I81" s="1">
        <v>545.80649999999991</v>
      </c>
      <c r="J81" s="1">
        <v>365.78249999999997</v>
      </c>
      <c r="K81" s="1">
        <v>669.78600000000006</v>
      </c>
      <c r="L81" s="1">
        <v>1202.643</v>
      </c>
      <c r="M81" s="1">
        <v>1035.0975000000001</v>
      </c>
      <c r="N81" s="1">
        <v>182.9025</v>
      </c>
      <c r="O81" s="1">
        <v>621.12149999999997</v>
      </c>
      <c r="P81" s="1">
        <v>409.69350000000003</v>
      </c>
      <c r="Q81" s="4">
        <v>521.02500000000009</v>
      </c>
      <c r="R81" s="1">
        <v>258.315</v>
      </c>
      <c r="S81" s="1">
        <v>545.83050000000003</v>
      </c>
      <c r="T81" s="1">
        <v>1094.3955000000001</v>
      </c>
      <c r="U81" s="1">
        <v>1116.7739999999999</v>
      </c>
      <c r="V81" s="1">
        <v>1115.8064999999999</v>
      </c>
      <c r="W81" s="1">
        <v>572.85450000000003</v>
      </c>
      <c r="X81" s="1">
        <v>1495.5975000000001</v>
      </c>
      <c r="Y81" s="1">
        <v>945.22800000000007</v>
      </c>
      <c r="Z81" s="1">
        <v>2127.4349999999999</v>
      </c>
      <c r="AA81" s="3">
        <v>15000</v>
      </c>
      <c r="AB81" s="1">
        <v>13350.418000000001</v>
      </c>
    </row>
    <row r="82" spans="1:28" x14ac:dyDescent="0.25">
      <c r="A82" s="1">
        <v>81</v>
      </c>
      <c r="B82" s="2">
        <v>48061</v>
      </c>
      <c r="C82" s="1">
        <v>1689.5325</v>
      </c>
      <c r="D82" s="1">
        <v>277.50450000000001</v>
      </c>
      <c r="E82" s="1">
        <v>818.24099999999999</v>
      </c>
      <c r="F82" s="1">
        <v>1260.8039999999999</v>
      </c>
      <c r="G82" s="1">
        <v>371.70749999999998</v>
      </c>
      <c r="H82" s="1">
        <v>745.6875</v>
      </c>
      <c r="I82" s="1">
        <v>544.59749999999997</v>
      </c>
      <c r="J82" s="1">
        <v>364.791</v>
      </c>
      <c r="K82" s="1">
        <v>666.29100000000005</v>
      </c>
      <c r="L82" s="1">
        <v>1186.1849999999999</v>
      </c>
      <c r="M82" s="1">
        <v>1028.0205000000001</v>
      </c>
      <c r="N82" s="1">
        <v>180.1215</v>
      </c>
      <c r="O82" s="1">
        <v>618.58050000000003</v>
      </c>
      <c r="P82" s="1">
        <v>407.90250000000003</v>
      </c>
      <c r="Q82" s="4">
        <v>519.423</v>
      </c>
      <c r="R82" s="1">
        <v>257.322</v>
      </c>
      <c r="S82" s="1">
        <v>542.90250000000003</v>
      </c>
      <c r="T82" s="1">
        <v>1074.3810000000001</v>
      </c>
      <c r="U82" s="1">
        <v>1097.3595</v>
      </c>
      <c r="V82" s="1">
        <v>1115.5155</v>
      </c>
      <c r="W82" s="1">
        <v>568.25850000000003</v>
      </c>
      <c r="X82" s="1">
        <v>1491.2175</v>
      </c>
      <c r="Y82" s="1">
        <v>955.452</v>
      </c>
      <c r="Z82" s="1">
        <v>2122.0950000000003</v>
      </c>
      <c r="AA82" s="3">
        <v>15000</v>
      </c>
      <c r="AB82" s="1">
        <v>13267.730000000001</v>
      </c>
    </row>
    <row r="83" spans="1:28" x14ac:dyDescent="0.25">
      <c r="A83" s="1">
        <v>82</v>
      </c>
      <c r="B83" s="2">
        <v>48092</v>
      </c>
      <c r="C83" s="1">
        <v>1689.4094999999998</v>
      </c>
      <c r="D83" s="1">
        <v>274.55399999999997</v>
      </c>
      <c r="E83" s="1">
        <v>813.90449999999987</v>
      </c>
      <c r="F83" s="1">
        <v>1250.2905000000001</v>
      </c>
      <c r="G83" s="1">
        <v>368.79449999999997</v>
      </c>
      <c r="H83" s="1">
        <v>744.07500000000005</v>
      </c>
      <c r="I83" s="1">
        <v>542.83949999999993</v>
      </c>
      <c r="J83" s="1">
        <v>363.40199999999999</v>
      </c>
      <c r="K83" s="1">
        <v>662.00549999999998</v>
      </c>
      <c r="L83" s="1">
        <v>1167.6569999999999</v>
      </c>
      <c r="M83" s="1">
        <v>1019.8934999999999</v>
      </c>
      <c r="N83" s="1">
        <v>176.97300000000001</v>
      </c>
      <c r="O83" s="1">
        <v>615.2940000000001</v>
      </c>
      <c r="P83" s="1">
        <v>405.64349999999996</v>
      </c>
      <c r="Q83" s="4">
        <v>517.125</v>
      </c>
      <c r="R83" s="1">
        <v>254.83949999999999</v>
      </c>
      <c r="S83" s="1">
        <v>538.6875</v>
      </c>
      <c r="T83" s="1">
        <v>1052.6054999999999</v>
      </c>
      <c r="U83" s="1">
        <v>1079.2635</v>
      </c>
      <c r="V83" s="1">
        <v>1114.7684999999999</v>
      </c>
      <c r="W83" s="1">
        <v>564.05399999999997</v>
      </c>
      <c r="X83" s="1">
        <v>1485.6569999999999</v>
      </c>
      <c r="Y83" s="1">
        <v>959.97900000000004</v>
      </c>
      <c r="Z83" s="1">
        <v>2119.8000000000002</v>
      </c>
      <c r="AA83" s="3">
        <v>15000</v>
      </c>
      <c r="AB83" s="1">
        <v>13185.856000000002</v>
      </c>
    </row>
    <row r="84" spans="1:28" x14ac:dyDescent="0.25">
      <c r="A84" s="1">
        <v>83</v>
      </c>
      <c r="B84" s="2">
        <v>48122</v>
      </c>
      <c r="C84" s="1">
        <v>1689.2655</v>
      </c>
      <c r="D84" s="1">
        <v>272.27249999999998</v>
      </c>
      <c r="E84" s="1">
        <v>810.48450000000003</v>
      </c>
      <c r="F84" s="1">
        <v>1241.934</v>
      </c>
      <c r="G84" s="1">
        <v>365.66699999999997</v>
      </c>
      <c r="H84" s="1">
        <v>742.29750000000001</v>
      </c>
      <c r="I84" s="1">
        <v>541.30649999999991</v>
      </c>
      <c r="J84" s="1">
        <v>362.322</v>
      </c>
      <c r="K84" s="1">
        <v>658.42499999999995</v>
      </c>
      <c r="L84" s="1">
        <v>1153.3485000000001</v>
      </c>
      <c r="M84" s="1">
        <v>1013.595</v>
      </c>
      <c r="N84" s="1">
        <v>174.5085</v>
      </c>
      <c r="O84" s="1">
        <v>612.75</v>
      </c>
      <c r="P84" s="1">
        <v>403.88699999999994</v>
      </c>
      <c r="Q84" s="4">
        <v>514.3934999999999</v>
      </c>
      <c r="R84" s="1">
        <v>252.363</v>
      </c>
      <c r="S84" s="1">
        <v>535.16100000000006</v>
      </c>
      <c r="T84" s="1">
        <v>1035.75</v>
      </c>
      <c r="U84" s="1">
        <v>1067.0564999999999</v>
      </c>
      <c r="V84" s="1">
        <v>1114.1129999999998</v>
      </c>
      <c r="W84" s="1">
        <v>560.96399999999994</v>
      </c>
      <c r="X84" s="1">
        <v>1481.8544999999999</v>
      </c>
      <c r="Y84" s="1">
        <v>958.34850000000006</v>
      </c>
      <c r="Z84" s="1">
        <v>2096.9549999999999</v>
      </c>
      <c r="AA84" s="3">
        <v>15000</v>
      </c>
      <c r="AB84" s="1">
        <v>13104.674999999997</v>
      </c>
    </row>
    <row r="85" spans="1:28" x14ac:dyDescent="0.25">
      <c r="A85" s="1">
        <v>84</v>
      </c>
      <c r="B85" s="2">
        <v>48153</v>
      </c>
      <c r="C85" s="1">
        <v>1689.123</v>
      </c>
      <c r="D85" s="1">
        <v>269.8245</v>
      </c>
      <c r="E85" s="1">
        <v>806.55599999999993</v>
      </c>
      <c r="F85" s="1">
        <v>1232.1495</v>
      </c>
      <c r="G85" s="1">
        <v>362.76</v>
      </c>
      <c r="H85" s="1">
        <v>740.56349999999998</v>
      </c>
      <c r="I85" s="1">
        <v>539.50049999999999</v>
      </c>
      <c r="J85" s="1">
        <v>361.00049999999999</v>
      </c>
      <c r="K85" s="1">
        <v>654.59699999999998</v>
      </c>
      <c r="L85" s="1">
        <v>1137.144</v>
      </c>
      <c r="M85" s="1">
        <v>1006.4939999999999</v>
      </c>
      <c r="N85" s="1">
        <v>171.75</v>
      </c>
      <c r="O85" s="1">
        <v>609.82500000000005</v>
      </c>
      <c r="P85" s="1">
        <v>401.74950000000001</v>
      </c>
      <c r="Q85" s="4">
        <v>512.38350000000003</v>
      </c>
      <c r="R85" s="1">
        <v>249.62549999999999</v>
      </c>
      <c r="S85" s="1">
        <v>531.36300000000006</v>
      </c>
      <c r="T85" s="1">
        <v>1017.3119999999999</v>
      </c>
      <c r="U85" s="1">
        <v>1054.5374999999999</v>
      </c>
      <c r="V85" s="1">
        <v>1113.4499999999998</v>
      </c>
      <c r="W85" s="1">
        <v>557.41200000000003</v>
      </c>
      <c r="X85" s="1">
        <v>1477.7505000000001</v>
      </c>
      <c r="Y85" s="1">
        <v>951.6345</v>
      </c>
      <c r="Z85" s="1">
        <v>2008.8150000000001</v>
      </c>
      <c r="AA85" s="3">
        <v>15000</v>
      </c>
      <c r="AB85" s="1">
        <v>12969.983</v>
      </c>
    </row>
    <row r="86" spans="1:28" x14ac:dyDescent="0.25">
      <c r="A86" s="1">
        <v>85</v>
      </c>
      <c r="B86" s="2">
        <v>48183</v>
      </c>
      <c r="C86" s="1">
        <v>1688.9715000000001</v>
      </c>
      <c r="D86" s="1">
        <v>267.59399999999999</v>
      </c>
      <c r="E86" s="1">
        <v>803.02649999999994</v>
      </c>
      <c r="F86" s="1">
        <v>1223.3595</v>
      </c>
      <c r="G86" s="1">
        <v>359.34749999999997</v>
      </c>
      <c r="H86" s="1">
        <v>738.80099999999993</v>
      </c>
      <c r="I86" s="1">
        <v>537.91949999999997</v>
      </c>
      <c r="J86" s="1">
        <v>359.85449999999997</v>
      </c>
      <c r="K86" s="1">
        <v>651.28199999999993</v>
      </c>
      <c r="L86" s="1">
        <v>1122.828</v>
      </c>
      <c r="M86" s="1">
        <v>1000.2405</v>
      </c>
      <c r="N86" s="1">
        <v>169.3065</v>
      </c>
      <c r="O86" s="1">
        <v>607.20899999999995</v>
      </c>
      <c r="P86" s="1">
        <v>399.84749999999997</v>
      </c>
      <c r="Q86" s="4">
        <v>510.03749999999997</v>
      </c>
      <c r="R86" s="1">
        <v>248.298</v>
      </c>
      <c r="S86" s="1">
        <v>528.89549999999997</v>
      </c>
      <c r="T86" s="1">
        <v>1002.4349999999999</v>
      </c>
      <c r="U86" s="1">
        <v>1044.2294999999999</v>
      </c>
      <c r="V86" s="1">
        <v>1112.8064999999999</v>
      </c>
      <c r="W86" s="1">
        <v>554.14049999999997</v>
      </c>
      <c r="X86" s="1">
        <v>1474.3064999999999</v>
      </c>
      <c r="Y86" s="1">
        <v>941.51400000000012</v>
      </c>
      <c r="Z86" s="1">
        <v>1905.2550000000001</v>
      </c>
      <c r="AA86" s="3">
        <v>15000</v>
      </c>
      <c r="AB86" s="1">
        <v>12832.940999999995</v>
      </c>
    </row>
    <row r="87" spans="1:28" x14ac:dyDescent="0.25">
      <c r="A87" s="1">
        <v>86</v>
      </c>
      <c r="B87" s="2">
        <v>48214</v>
      </c>
      <c r="C87" s="1">
        <v>1688.8125</v>
      </c>
      <c r="D87" s="1">
        <v>265.29599999999999</v>
      </c>
      <c r="E87" s="1">
        <v>799.28699999999992</v>
      </c>
      <c r="F87" s="1">
        <v>1213.8945000000001</v>
      </c>
      <c r="G87" s="1">
        <v>356.08199999999999</v>
      </c>
      <c r="H87" s="1">
        <v>737.56050000000005</v>
      </c>
      <c r="I87" s="1">
        <v>536.14949999999999</v>
      </c>
      <c r="J87" s="1">
        <v>358.54949999999997</v>
      </c>
      <c r="K87" s="1">
        <v>647.8125</v>
      </c>
      <c r="L87" s="1">
        <v>1107.7620000000002</v>
      </c>
      <c r="M87" s="1">
        <v>993.70650000000001</v>
      </c>
      <c r="N87" s="1">
        <v>166.8</v>
      </c>
      <c r="O87" s="1">
        <v>604.30050000000006</v>
      </c>
      <c r="P87" s="1">
        <v>397.72499999999997</v>
      </c>
      <c r="Q87" s="4">
        <v>507.94350000000003</v>
      </c>
      <c r="R87" s="1">
        <v>246.9255</v>
      </c>
      <c r="S87" s="1">
        <v>526.125</v>
      </c>
      <c r="T87" s="1">
        <v>987.15600000000006</v>
      </c>
      <c r="U87" s="1">
        <v>1033.8494999999998</v>
      </c>
      <c r="V87" s="1">
        <v>1112.2004999999999</v>
      </c>
      <c r="W87" s="1">
        <v>550.57500000000005</v>
      </c>
      <c r="X87" s="1">
        <v>1470.7755000000002</v>
      </c>
      <c r="Y87" s="1">
        <v>926.92949999999996</v>
      </c>
      <c r="Z87" s="1">
        <v>1803.3600000000001</v>
      </c>
      <c r="AA87" s="3">
        <v>15000</v>
      </c>
      <c r="AB87" s="1">
        <v>12691.547999999999</v>
      </c>
    </row>
    <row r="88" spans="1:28" x14ac:dyDescent="0.25">
      <c r="A88" s="1">
        <v>87</v>
      </c>
      <c r="B88" s="2">
        <v>48245</v>
      </c>
      <c r="C88" s="1">
        <v>1688.652</v>
      </c>
      <c r="D88" s="1">
        <v>263.43599999999998</v>
      </c>
      <c r="E88" s="1">
        <v>795.87750000000005</v>
      </c>
      <c r="F88" s="1">
        <v>1205.0925</v>
      </c>
      <c r="G88" s="1">
        <v>353.67449999999997</v>
      </c>
      <c r="H88" s="1">
        <v>736.21350000000007</v>
      </c>
      <c r="I88" s="1">
        <v>534.50850000000003</v>
      </c>
      <c r="J88" s="1">
        <v>357.315</v>
      </c>
      <c r="K88" s="1">
        <v>644.64300000000003</v>
      </c>
      <c r="L88" s="1">
        <v>1093.9965</v>
      </c>
      <c r="M88" s="1">
        <v>987.84750000000008</v>
      </c>
      <c r="N88" s="1">
        <v>164.4915</v>
      </c>
      <c r="O88" s="1">
        <v>601.66949999999997</v>
      </c>
      <c r="P88" s="1">
        <v>395.68500000000006</v>
      </c>
      <c r="Q88" s="4">
        <v>505.6875</v>
      </c>
      <c r="R88" s="1">
        <v>245.37149999999997</v>
      </c>
      <c r="S88" s="1">
        <v>523.30649999999991</v>
      </c>
      <c r="T88" s="1">
        <v>973.34850000000006</v>
      </c>
      <c r="U88" s="1">
        <v>1024.56</v>
      </c>
      <c r="V88" s="1">
        <v>1111.548</v>
      </c>
      <c r="W88" s="1">
        <v>547.125</v>
      </c>
      <c r="X88" s="1">
        <v>1467.5805</v>
      </c>
      <c r="Y88" s="1">
        <v>910.67250000000001</v>
      </c>
      <c r="Z88" s="1">
        <v>1708.3650000000002</v>
      </c>
      <c r="AA88" s="3">
        <v>15000</v>
      </c>
      <c r="AB88" s="1">
        <v>12559.038</v>
      </c>
    </row>
    <row r="89" spans="1:28" x14ac:dyDescent="0.25">
      <c r="A89" s="1">
        <v>88</v>
      </c>
      <c r="B89" s="2">
        <v>48274</v>
      </c>
      <c r="C89" s="1">
        <v>1688.4869999999999</v>
      </c>
      <c r="D89" s="1">
        <v>260.8125</v>
      </c>
      <c r="E89" s="1">
        <v>792.55049999999994</v>
      </c>
      <c r="F89" s="1">
        <v>1196.4675</v>
      </c>
      <c r="G89" s="1">
        <v>350.32500000000005</v>
      </c>
      <c r="H89" s="1">
        <v>734.71350000000007</v>
      </c>
      <c r="I89" s="1">
        <v>532.88699999999994</v>
      </c>
      <c r="J89" s="1">
        <v>356.12850000000003</v>
      </c>
      <c r="K89" s="1">
        <v>641.56200000000001</v>
      </c>
      <c r="L89" s="1">
        <v>1080.672</v>
      </c>
      <c r="M89" s="1">
        <v>982.23450000000003</v>
      </c>
      <c r="N89" s="1">
        <v>162.315</v>
      </c>
      <c r="O89" s="1">
        <v>599.08050000000003</v>
      </c>
      <c r="P89" s="1">
        <v>393.702</v>
      </c>
      <c r="Q89" s="4">
        <v>503.577</v>
      </c>
      <c r="R89" s="1">
        <v>243.87149999999997</v>
      </c>
      <c r="S89" s="1">
        <v>520.53600000000006</v>
      </c>
      <c r="T89" s="1">
        <v>960.25350000000003</v>
      </c>
      <c r="U89" s="1">
        <v>1015.6455</v>
      </c>
      <c r="V89" s="1">
        <v>1110.8715</v>
      </c>
      <c r="W89" s="1">
        <v>543.64049999999997</v>
      </c>
      <c r="X89" s="1">
        <v>1464.4845</v>
      </c>
      <c r="Y89" s="1">
        <v>892.77</v>
      </c>
      <c r="Z89" s="1">
        <v>1621.6799999999998</v>
      </c>
      <c r="AA89" s="3">
        <v>15000</v>
      </c>
      <c r="AB89" s="1">
        <v>12431.482</v>
      </c>
    </row>
    <row r="90" spans="1:28" x14ac:dyDescent="0.25">
      <c r="A90" s="1">
        <v>89</v>
      </c>
      <c r="B90" s="2">
        <v>48305</v>
      </c>
      <c r="C90" s="1">
        <v>1688.3235</v>
      </c>
      <c r="D90" s="1">
        <v>257.88600000000002</v>
      </c>
      <c r="E90" s="1">
        <v>789.1244999999999</v>
      </c>
      <c r="F90" s="1">
        <v>1187.5815</v>
      </c>
      <c r="G90" s="1">
        <v>346.45650000000001</v>
      </c>
      <c r="H90" s="1">
        <v>733.15499999999997</v>
      </c>
      <c r="I90" s="1">
        <v>531.25049999999999</v>
      </c>
      <c r="J90" s="1">
        <v>354.79949999999997</v>
      </c>
      <c r="K90" s="1">
        <v>638.41800000000001</v>
      </c>
      <c r="L90" s="1">
        <v>1067.0564999999999</v>
      </c>
      <c r="M90" s="1">
        <v>976.55550000000005</v>
      </c>
      <c r="N90" s="1">
        <v>160.05000000000001</v>
      </c>
      <c r="O90" s="1">
        <v>596.44949999999994</v>
      </c>
      <c r="P90" s="1">
        <v>391.5</v>
      </c>
      <c r="Q90" s="4">
        <v>501.53250000000003</v>
      </c>
      <c r="R90" s="1">
        <v>241.84950000000001</v>
      </c>
      <c r="S90" s="1">
        <v>517.33799999999997</v>
      </c>
      <c r="T90" s="1">
        <v>946.74300000000005</v>
      </c>
      <c r="U90" s="1">
        <v>1006.6005</v>
      </c>
      <c r="V90" s="1">
        <v>1110.2505000000001</v>
      </c>
      <c r="W90" s="1">
        <v>539.93700000000001</v>
      </c>
      <c r="X90" s="1">
        <v>1461.2249999999999</v>
      </c>
      <c r="Y90" s="1">
        <v>873.0809999999999</v>
      </c>
      <c r="Z90" s="1">
        <v>1539.5099999999998</v>
      </c>
      <c r="AA90" s="3">
        <v>15000</v>
      </c>
      <c r="AB90" s="1">
        <v>12303.052</v>
      </c>
    </row>
    <row r="91" spans="1:28" x14ac:dyDescent="0.25">
      <c r="A91" s="1">
        <v>90</v>
      </c>
      <c r="B91" s="2">
        <v>48335</v>
      </c>
      <c r="C91" s="1">
        <v>1688.1554999999998</v>
      </c>
      <c r="D91" s="1">
        <v>256.17</v>
      </c>
      <c r="E91" s="1">
        <v>786.09750000000008</v>
      </c>
      <c r="F91" s="1">
        <v>1179.6164999999999</v>
      </c>
      <c r="G91" s="1">
        <v>343.25549999999998</v>
      </c>
      <c r="H91" s="1">
        <v>731.47649999999999</v>
      </c>
      <c r="I91" s="1">
        <v>529.83899999999994</v>
      </c>
      <c r="J91" s="1">
        <v>353.589</v>
      </c>
      <c r="K91" s="1">
        <v>635.65800000000002</v>
      </c>
      <c r="L91" s="1">
        <v>1054.8689999999999</v>
      </c>
      <c r="M91" s="1">
        <v>971.58299999999997</v>
      </c>
      <c r="N91" s="1">
        <v>158.1045</v>
      </c>
      <c r="O91" s="1">
        <v>594.12149999999997</v>
      </c>
      <c r="P91" s="1">
        <v>389.51550000000003</v>
      </c>
      <c r="Q91" s="4">
        <v>499.43700000000001</v>
      </c>
      <c r="R91" s="1">
        <v>239.709</v>
      </c>
      <c r="S91" s="1">
        <v>514.06499999999994</v>
      </c>
      <c r="T91" s="1">
        <v>934.44600000000014</v>
      </c>
      <c r="U91" s="1">
        <v>998.45549999999992</v>
      </c>
      <c r="V91" s="1">
        <v>1109.5650000000001</v>
      </c>
      <c r="W91" s="1">
        <v>536.49149999999997</v>
      </c>
      <c r="X91" s="1">
        <v>1458.2655</v>
      </c>
      <c r="Y91" s="1">
        <v>855.12599999999998</v>
      </c>
      <c r="Z91" s="1">
        <v>1471.7730000000001</v>
      </c>
      <c r="AA91" s="3">
        <v>15000</v>
      </c>
      <c r="AB91" s="1">
        <v>12191.682999999999</v>
      </c>
    </row>
    <row r="92" spans="1:28" x14ac:dyDescent="0.25">
      <c r="A92" s="1">
        <v>91</v>
      </c>
      <c r="B92" s="2">
        <v>48366</v>
      </c>
      <c r="C92" s="1">
        <v>1687.9949999999999</v>
      </c>
      <c r="D92" s="1">
        <v>253.88249999999999</v>
      </c>
      <c r="E92" s="1">
        <v>782.85599999999999</v>
      </c>
      <c r="F92" s="1">
        <v>1171.038</v>
      </c>
      <c r="G92" s="1">
        <v>339.51150000000001</v>
      </c>
      <c r="H92" s="1">
        <v>729.846</v>
      </c>
      <c r="I92" s="1">
        <v>528.22499999999991</v>
      </c>
      <c r="J92" s="1">
        <v>352.27499999999998</v>
      </c>
      <c r="K92" s="1">
        <v>632.74950000000001</v>
      </c>
      <c r="L92" s="1">
        <v>1041.9870000000001</v>
      </c>
      <c r="M92" s="1">
        <v>966.2940000000001</v>
      </c>
      <c r="N92" s="1">
        <v>156</v>
      </c>
      <c r="O92" s="1">
        <v>591.70049999999992</v>
      </c>
      <c r="P92" s="1">
        <v>387.32549999999998</v>
      </c>
      <c r="Q92" s="4">
        <v>497.577</v>
      </c>
      <c r="R92" s="1">
        <v>237.29999999999998</v>
      </c>
      <c r="S92" s="1">
        <v>510.46199999999999</v>
      </c>
      <c r="T92" s="1">
        <v>921.53699999999992</v>
      </c>
      <c r="U92" s="1">
        <v>989.6880000000001</v>
      </c>
      <c r="V92" s="1">
        <v>1108.8494999999998</v>
      </c>
      <c r="W92" s="1">
        <v>532.71299999999997</v>
      </c>
      <c r="X92" s="1">
        <v>1454.7869999999998</v>
      </c>
      <c r="Y92" s="1">
        <v>836.38350000000014</v>
      </c>
      <c r="Z92" s="1">
        <v>1409.9265</v>
      </c>
      <c r="AA92" s="3">
        <v>15000</v>
      </c>
      <c r="AB92" s="1">
        <v>12079.295999999998</v>
      </c>
    </row>
    <row r="93" spans="1:28" x14ac:dyDescent="0.25">
      <c r="A93" s="1">
        <v>92</v>
      </c>
      <c r="B93" s="2">
        <v>48396</v>
      </c>
      <c r="C93" s="1">
        <v>1687.8255000000001</v>
      </c>
      <c r="D93" s="1">
        <v>251.37450000000001</v>
      </c>
      <c r="E93" s="1">
        <v>776.78250000000003</v>
      </c>
      <c r="F93" s="1">
        <v>1159.0035</v>
      </c>
      <c r="G93" s="1">
        <v>335.12400000000002</v>
      </c>
      <c r="H93" s="1">
        <v>728.21699999999998</v>
      </c>
      <c r="I93" s="1">
        <v>524.75850000000003</v>
      </c>
      <c r="J93" s="1">
        <v>349.452</v>
      </c>
      <c r="K93" s="1">
        <v>626.94299999999998</v>
      </c>
      <c r="L93" s="1">
        <v>1025.3475000000001</v>
      </c>
      <c r="M93" s="1">
        <v>956.80049999999994</v>
      </c>
      <c r="N93" s="1">
        <v>153.387</v>
      </c>
      <c r="O93" s="1">
        <v>586.08899999999994</v>
      </c>
      <c r="P93" s="1">
        <v>383.51549999999997</v>
      </c>
      <c r="Q93" s="4">
        <v>495.61200000000002</v>
      </c>
      <c r="R93" s="1">
        <v>233.80650000000003</v>
      </c>
      <c r="S93" s="1">
        <v>504.97950000000003</v>
      </c>
      <c r="T93" s="1">
        <v>906.32100000000014</v>
      </c>
      <c r="U93" s="1">
        <v>977.89049999999997</v>
      </c>
      <c r="V93" s="1">
        <v>1103.3715</v>
      </c>
      <c r="W93" s="1">
        <v>526.70550000000003</v>
      </c>
      <c r="X93" s="1">
        <v>1446.423</v>
      </c>
      <c r="Y93" s="1">
        <v>816.58049999999992</v>
      </c>
      <c r="Z93" s="1">
        <v>1355.3025</v>
      </c>
      <c r="AA93" s="3">
        <v>15000</v>
      </c>
      <c r="AB93" s="1">
        <v>11938.441000000001</v>
      </c>
    </row>
    <row r="94" spans="1:28" x14ac:dyDescent="0.25">
      <c r="A94" s="1">
        <v>93</v>
      </c>
      <c r="B94" s="2">
        <v>48427</v>
      </c>
      <c r="C94" s="1">
        <v>1678.6695</v>
      </c>
      <c r="D94" s="1">
        <v>248.25599999999997</v>
      </c>
      <c r="E94" s="1">
        <v>773.64299999999992</v>
      </c>
      <c r="F94" s="1">
        <v>1151.1960000000001</v>
      </c>
      <c r="G94" s="1">
        <v>330.01800000000003</v>
      </c>
      <c r="H94" s="1">
        <v>723.70349999999996</v>
      </c>
      <c r="I94" s="1">
        <v>523.11300000000006</v>
      </c>
      <c r="J94" s="1">
        <v>348.072</v>
      </c>
      <c r="K94" s="1">
        <v>624.2115</v>
      </c>
      <c r="L94" s="1">
        <v>1013.673</v>
      </c>
      <c r="M94" s="1">
        <v>951.72600000000011</v>
      </c>
      <c r="N94" s="1">
        <v>151.572</v>
      </c>
      <c r="O94" s="1">
        <v>583.62149999999997</v>
      </c>
      <c r="P94" s="1">
        <v>381.48450000000003</v>
      </c>
      <c r="Q94" s="4">
        <v>491.661</v>
      </c>
      <c r="R94" s="1">
        <v>231.072</v>
      </c>
      <c r="S94" s="1">
        <v>501.60450000000003</v>
      </c>
      <c r="T94" s="1">
        <v>895.41599999999994</v>
      </c>
      <c r="U94" s="1">
        <v>969.73799999999994</v>
      </c>
      <c r="V94" s="1">
        <v>1102.2585000000001</v>
      </c>
      <c r="W94" s="1">
        <v>522.99149999999997</v>
      </c>
      <c r="X94" s="1">
        <v>1442.5035</v>
      </c>
      <c r="Y94" s="1">
        <v>801.16350000000011</v>
      </c>
      <c r="Z94" s="1">
        <v>1311.5445</v>
      </c>
      <c r="AA94" s="3">
        <v>15000</v>
      </c>
      <c r="AB94" s="1">
        <v>11833.969000000001</v>
      </c>
    </row>
    <row r="95" spans="1:28" x14ac:dyDescent="0.25">
      <c r="A95" s="1">
        <v>94</v>
      </c>
      <c r="B95" s="2">
        <v>48458</v>
      </c>
      <c r="C95" s="1">
        <v>1678.5209999999997</v>
      </c>
      <c r="D95" s="1">
        <v>246.40949999999998</v>
      </c>
      <c r="E95" s="1">
        <v>770.41199999999992</v>
      </c>
      <c r="F95" s="1">
        <v>1143.0060000000001</v>
      </c>
      <c r="G95" s="1">
        <v>327.04199999999997</v>
      </c>
      <c r="H95" s="1">
        <v>722.25600000000009</v>
      </c>
      <c r="I95" s="1">
        <v>521.71500000000003</v>
      </c>
      <c r="J95" s="1">
        <v>346.73250000000002</v>
      </c>
      <c r="K95" s="1">
        <v>621.56850000000009</v>
      </c>
      <c r="L95" s="1">
        <v>1001.4765</v>
      </c>
      <c r="M95" s="1">
        <v>946.64850000000001</v>
      </c>
      <c r="N95" s="1">
        <v>149.68965</v>
      </c>
      <c r="O95" s="1">
        <v>581.30099999999993</v>
      </c>
      <c r="P95" s="1">
        <v>379.42200000000003</v>
      </c>
      <c r="Q95" s="4">
        <v>489.702</v>
      </c>
      <c r="R95" s="1">
        <v>228.36150000000004</v>
      </c>
      <c r="S95" s="1">
        <v>498.05099999999999</v>
      </c>
      <c r="T95" s="1">
        <v>884.08800000000008</v>
      </c>
      <c r="U95" s="1">
        <v>961.07400000000007</v>
      </c>
      <c r="V95" s="1">
        <v>1101.672</v>
      </c>
      <c r="W95" s="1">
        <v>519.15449999999998</v>
      </c>
      <c r="X95" s="1">
        <v>1438.9259999999999</v>
      </c>
      <c r="Y95" s="1">
        <v>785.83349999999996</v>
      </c>
      <c r="Z95" s="1">
        <v>1268.421</v>
      </c>
      <c r="AA95" s="3">
        <v>15000</v>
      </c>
      <c r="AB95" s="1">
        <v>11739.797099999996</v>
      </c>
    </row>
    <row r="96" spans="1:28" x14ac:dyDescent="0.25">
      <c r="A96" s="1">
        <v>95</v>
      </c>
      <c r="B96" s="2">
        <v>48488</v>
      </c>
      <c r="C96" s="1">
        <v>1678.356</v>
      </c>
      <c r="D96" s="1">
        <v>244.65300000000002</v>
      </c>
      <c r="E96" s="1">
        <v>767.64300000000003</v>
      </c>
      <c r="F96" s="1">
        <v>1136.1224999999999</v>
      </c>
      <c r="G96" s="1">
        <v>323.988</v>
      </c>
      <c r="H96" s="1">
        <v>720.69150000000002</v>
      </c>
      <c r="I96" s="1">
        <v>520.548</v>
      </c>
      <c r="J96" s="1">
        <v>345.58050000000003</v>
      </c>
      <c r="K96" s="1">
        <v>619.30949999999996</v>
      </c>
      <c r="L96" s="1">
        <v>991.22849999999994</v>
      </c>
      <c r="M96" s="1">
        <v>942.32100000000014</v>
      </c>
      <c r="N96" s="1">
        <v>148.11285000000001</v>
      </c>
      <c r="O96" s="1">
        <v>579.38699999999994</v>
      </c>
      <c r="P96" s="1">
        <v>377.685</v>
      </c>
      <c r="Q96" s="4">
        <v>487.91399999999999</v>
      </c>
      <c r="R96" s="1">
        <v>226.161</v>
      </c>
      <c r="S96" s="1">
        <v>495</v>
      </c>
      <c r="T96" s="1">
        <v>874.66350000000011</v>
      </c>
      <c r="U96" s="1">
        <v>953.54099999999994</v>
      </c>
      <c r="V96" s="1">
        <v>1101</v>
      </c>
      <c r="W96" s="1">
        <v>515.85450000000003</v>
      </c>
      <c r="X96" s="1">
        <v>1435.7535</v>
      </c>
      <c r="Y96" s="1">
        <v>773.75549999999998</v>
      </c>
      <c r="Z96" s="1">
        <v>1234.7055</v>
      </c>
      <c r="AA96" s="3">
        <v>15000</v>
      </c>
      <c r="AB96" s="1">
        <v>11661.663900000001</v>
      </c>
    </row>
    <row r="97" spans="1:28" x14ac:dyDescent="0.25">
      <c r="A97" s="1">
        <v>96</v>
      </c>
      <c r="B97" s="2">
        <v>48519</v>
      </c>
      <c r="C97" s="1">
        <v>1678.2105000000001</v>
      </c>
      <c r="D97" s="1">
        <v>243.29850000000002</v>
      </c>
      <c r="E97" s="1">
        <v>764.55600000000004</v>
      </c>
      <c r="F97" s="1">
        <v>1128.4304999999999</v>
      </c>
      <c r="G97" s="1">
        <v>321.92700000000002</v>
      </c>
      <c r="H97" s="1">
        <v>719.15250000000003</v>
      </c>
      <c r="I97" s="1">
        <v>519.22499999999991</v>
      </c>
      <c r="J97" s="1">
        <v>344.27549999999997</v>
      </c>
      <c r="K97" s="1">
        <v>616.803</v>
      </c>
      <c r="L97" s="1">
        <v>979.93050000000005</v>
      </c>
      <c r="M97" s="1">
        <v>937.29299999999989</v>
      </c>
      <c r="N97" s="1">
        <v>146.29995</v>
      </c>
      <c r="O97" s="1">
        <v>577.22550000000001</v>
      </c>
      <c r="P97" s="1">
        <v>375.75</v>
      </c>
      <c r="Q97" s="4">
        <v>486.43500000000006</v>
      </c>
      <c r="R97" s="1">
        <v>223.75049999999999</v>
      </c>
      <c r="S97" s="1">
        <v>491.54999999999995</v>
      </c>
      <c r="T97" s="1">
        <v>864.33750000000009</v>
      </c>
      <c r="U97" s="1">
        <v>945.11250000000007</v>
      </c>
      <c r="V97" s="1">
        <v>1100.0999999999999</v>
      </c>
      <c r="W97" s="1">
        <v>512.16300000000001</v>
      </c>
      <c r="X97" s="1">
        <v>1432.1129999999998</v>
      </c>
      <c r="Y97" s="1">
        <v>761.35799999999995</v>
      </c>
      <c r="Z97" s="1">
        <v>1199.694</v>
      </c>
      <c r="AA97" s="3">
        <v>15000</v>
      </c>
      <c r="AB97" s="1">
        <v>11578.195300000003</v>
      </c>
    </row>
    <row r="98" spans="1:28" x14ac:dyDescent="0.25">
      <c r="A98" s="1">
        <v>97</v>
      </c>
      <c r="B98" s="2">
        <v>48549</v>
      </c>
      <c r="C98" s="1">
        <v>1678.038</v>
      </c>
      <c r="D98" s="1">
        <v>241.12050000000002</v>
      </c>
      <c r="E98" s="1">
        <v>761.75850000000003</v>
      </c>
      <c r="F98" s="1">
        <v>1121.4555</v>
      </c>
      <c r="G98" s="1">
        <v>318.41699999999997</v>
      </c>
      <c r="H98" s="1">
        <v>717.58500000000004</v>
      </c>
      <c r="I98" s="1">
        <v>518.03250000000003</v>
      </c>
      <c r="J98" s="1">
        <v>343.089</v>
      </c>
      <c r="K98" s="1">
        <v>614.55600000000004</v>
      </c>
      <c r="L98" s="1">
        <v>969.73799999999994</v>
      </c>
      <c r="M98" s="1">
        <v>932.83049999999992</v>
      </c>
      <c r="N98" s="1">
        <v>144.60480000000001</v>
      </c>
      <c r="O98" s="1">
        <v>575.298</v>
      </c>
      <c r="P98" s="1">
        <v>373.428</v>
      </c>
      <c r="Q98" s="4">
        <v>484.73700000000002</v>
      </c>
      <c r="R98" s="1">
        <v>221.541</v>
      </c>
      <c r="S98" s="1">
        <v>488.45550000000003</v>
      </c>
      <c r="T98" s="1">
        <v>855.27150000000006</v>
      </c>
      <c r="U98" s="1">
        <v>937.452</v>
      </c>
      <c r="V98" s="1">
        <v>1099.2090000000001</v>
      </c>
      <c r="W98" s="1">
        <v>508.79100000000005</v>
      </c>
      <c r="X98" s="1">
        <v>1428.6285</v>
      </c>
      <c r="Y98" s="1">
        <v>751.03649999999993</v>
      </c>
      <c r="Z98" s="1">
        <v>1170.3989999999999</v>
      </c>
      <c r="AA98" s="3">
        <v>15000</v>
      </c>
      <c r="AB98" s="1">
        <v>11502.6432</v>
      </c>
    </row>
    <row r="99" spans="1:28" x14ac:dyDescent="0.25">
      <c r="A99" s="1">
        <v>98</v>
      </c>
      <c r="B99" s="2">
        <v>48580</v>
      </c>
      <c r="C99" s="1">
        <v>1677.8685</v>
      </c>
      <c r="D99" s="1">
        <v>239.83199999999999</v>
      </c>
      <c r="E99" s="1">
        <v>758.71199999999999</v>
      </c>
      <c r="F99" s="1">
        <v>1113.8820000000001</v>
      </c>
      <c r="G99" s="1">
        <v>315.99149999999997</v>
      </c>
      <c r="H99" s="1">
        <v>716.06399999999996</v>
      </c>
      <c r="I99" s="1">
        <v>516.75</v>
      </c>
      <c r="J99" s="1">
        <v>341.8245</v>
      </c>
      <c r="K99" s="1">
        <v>612.15300000000002</v>
      </c>
      <c r="L99" s="1">
        <v>958.86299999999994</v>
      </c>
      <c r="M99" s="1">
        <v>928.21800000000007</v>
      </c>
      <c r="N99" s="1">
        <v>142.64999999999998</v>
      </c>
      <c r="O99" s="1">
        <v>573.27449999999999</v>
      </c>
      <c r="P99" s="1">
        <v>370.3245</v>
      </c>
      <c r="Q99" s="4">
        <v>483.22950000000003</v>
      </c>
      <c r="R99" s="1">
        <v>219.1995</v>
      </c>
      <c r="S99" s="1">
        <v>485.08799999999997</v>
      </c>
      <c r="T99" s="1">
        <v>845.76900000000001</v>
      </c>
      <c r="U99" s="1">
        <v>929.23799999999994</v>
      </c>
      <c r="V99" s="1">
        <v>1098.1995000000002</v>
      </c>
      <c r="W99" s="1">
        <v>505.16249999999997</v>
      </c>
      <c r="X99" s="1">
        <v>1424.7375000000002</v>
      </c>
      <c r="Y99" s="1">
        <v>740.92049999999995</v>
      </c>
      <c r="Z99" s="1">
        <v>1141.2465</v>
      </c>
      <c r="AA99" s="3">
        <v>15000</v>
      </c>
      <c r="AB99" s="1">
        <v>11425.037</v>
      </c>
    </row>
    <row r="100" spans="1:28" x14ac:dyDescent="0.25">
      <c r="A100" s="1">
        <v>99</v>
      </c>
      <c r="B100" s="2">
        <v>48611</v>
      </c>
      <c r="C100" s="1">
        <v>1677.7305000000001</v>
      </c>
      <c r="D100" s="1">
        <v>237.54149999999998</v>
      </c>
      <c r="E100" s="1">
        <v>755.85450000000003</v>
      </c>
      <c r="F100" s="1">
        <v>1106.8125</v>
      </c>
      <c r="G100" s="1">
        <v>313.09800000000001</v>
      </c>
      <c r="H100" s="1">
        <v>714.51299999999992</v>
      </c>
      <c r="I100" s="1">
        <v>515.58899999999994</v>
      </c>
      <c r="J100" s="1">
        <v>340.572</v>
      </c>
      <c r="K100" s="1">
        <v>609.9375</v>
      </c>
      <c r="L100" s="1">
        <v>948.70799999999997</v>
      </c>
      <c r="M100" s="1">
        <v>924.08999999999992</v>
      </c>
      <c r="N100" s="1">
        <v>140.83064999999999</v>
      </c>
      <c r="O100" s="1">
        <v>571.33050000000003</v>
      </c>
      <c r="P100" s="1">
        <v>367.33050000000003</v>
      </c>
      <c r="Q100" s="4">
        <v>481.58699999999999</v>
      </c>
      <c r="R100" s="1">
        <v>217.065</v>
      </c>
      <c r="S100" s="1">
        <v>481.947</v>
      </c>
      <c r="T100" s="1">
        <v>837.1395</v>
      </c>
      <c r="U100" s="1">
        <v>921.59249999999997</v>
      </c>
      <c r="V100" s="1">
        <v>1096.9349999999999</v>
      </c>
      <c r="W100" s="1">
        <v>501.73800000000006</v>
      </c>
      <c r="X100" s="1">
        <v>1420.9470000000001</v>
      </c>
      <c r="Y100" s="1">
        <v>732.2835</v>
      </c>
      <c r="Z100" s="1">
        <v>1116.4784999999999</v>
      </c>
      <c r="AA100" s="3">
        <v>15000</v>
      </c>
      <c r="AB100" s="1">
        <v>11353.4321</v>
      </c>
    </row>
    <row r="101" spans="1:28" x14ac:dyDescent="0.25">
      <c r="A101" s="1">
        <v>100</v>
      </c>
      <c r="B101" s="2">
        <v>48639</v>
      </c>
      <c r="C101" s="1">
        <v>1677.5535</v>
      </c>
      <c r="D101" s="1">
        <v>235.899</v>
      </c>
      <c r="E101" s="1">
        <v>753.00600000000009</v>
      </c>
      <c r="F101" s="1">
        <v>1099.845</v>
      </c>
      <c r="G101" s="1">
        <v>310.16250000000002</v>
      </c>
      <c r="H101" s="1">
        <v>712.97699999999998</v>
      </c>
      <c r="I101" s="1">
        <v>514.476</v>
      </c>
      <c r="J101" s="1">
        <v>339.363</v>
      </c>
      <c r="K101" s="1">
        <v>607.76250000000005</v>
      </c>
      <c r="L101" s="1">
        <v>938.75850000000014</v>
      </c>
      <c r="M101" s="1">
        <v>920.0625</v>
      </c>
      <c r="N101" s="1">
        <v>139.11285000000001</v>
      </c>
      <c r="O101" s="1">
        <v>569.49149999999997</v>
      </c>
      <c r="P101" s="1">
        <v>364.37850000000003</v>
      </c>
      <c r="Q101" s="4">
        <v>480.08399999999995</v>
      </c>
      <c r="R101" s="1">
        <v>214.887</v>
      </c>
      <c r="S101" s="1">
        <v>478.851</v>
      </c>
      <c r="T101" s="1">
        <v>828.79200000000003</v>
      </c>
      <c r="U101" s="1">
        <v>914.04450000000008</v>
      </c>
      <c r="V101" s="1">
        <v>1095.6779999999999</v>
      </c>
      <c r="W101" s="1">
        <v>498.351</v>
      </c>
      <c r="X101" s="1">
        <v>1417.0409999999999</v>
      </c>
      <c r="Y101" s="1">
        <v>724.39649999999995</v>
      </c>
      <c r="Z101" s="1">
        <v>1093.7294999999999</v>
      </c>
      <c r="AA101" s="3">
        <v>15000</v>
      </c>
      <c r="AB101" s="1">
        <v>11284.818900000002</v>
      </c>
    </row>
    <row r="102" spans="1:28" x14ac:dyDescent="0.25">
      <c r="A102" s="1">
        <v>101</v>
      </c>
      <c r="B102" s="2">
        <v>48670</v>
      </c>
      <c r="C102" s="1">
        <v>1677.405</v>
      </c>
      <c r="D102" s="1">
        <v>234.30149999999998</v>
      </c>
      <c r="E102" s="1">
        <v>750.03749999999991</v>
      </c>
      <c r="F102" s="1">
        <v>1092.6374999999998</v>
      </c>
      <c r="G102" s="1">
        <v>307.59899999999999</v>
      </c>
      <c r="H102" s="1">
        <v>711.48749999999995</v>
      </c>
      <c r="I102" s="1">
        <v>513.29999999999995</v>
      </c>
      <c r="J102" s="1">
        <v>338.0745</v>
      </c>
      <c r="K102" s="1">
        <v>605.50350000000003</v>
      </c>
      <c r="L102" s="1">
        <v>928.53749999999991</v>
      </c>
      <c r="M102" s="1">
        <v>915.77550000000008</v>
      </c>
      <c r="N102" s="1">
        <v>137.25</v>
      </c>
      <c r="O102" s="1">
        <v>567.49950000000001</v>
      </c>
      <c r="P102" s="1">
        <v>361.35</v>
      </c>
      <c r="Q102" s="4">
        <v>478.60949999999997</v>
      </c>
      <c r="R102" s="1">
        <v>212.59950000000001</v>
      </c>
      <c r="S102" s="1">
        <v>475.57500000000005</v>
      </c>
      <c r="T102" s="1">
        <v>820.34999999999991</v>
      </c>
      <c r="U102" s="1">
        <v>906.27449999999999</v>
      </c>
      <c r="V102" s="1">
        <v>1094.2004999999999</v>
      </c>
      <c r="W102" s="1">
        <v>494.80050000000006</v>
      </c>
      <c r="X102" s="1">
        <v>1412.9250000000002</v>
      </c>
      <c r="Y102" s="1">
        <v>716.88149999999996</v>
      </c>
      <c r="Z102" s="1">
        <v>1071.4725000000001</v>
      </c>
      <c r="AA102" s="3">
        <v>15000</v>
      </c>
      <c r="AB102" s="1">
        <v>11215.282999999999</v>
      </c>
    </row>
    <row r="103" spans="1:28" x14ac:dyDescent="0.25">
      <c r="A103" s="1">
        <v>102</v>
      </c>
      <c r="B103" s="2">
        <v>48700</v>
      </c>
      <c r="C103" s="1">
        <v>1677.258</v>
      </c>
      <c r="D103" s="1">
        <v>232.76850000000002</v>
      </c>
      <c r="E103" s="1">
        <v>747.303</v>
      </c>
      <c r="F103" s="1">
        <v>1086.1575</v>
      </c>
      <c r="G103" s="1">
        <v>305.01599999999996</v>
      </c>
      <c r="H103" s="1">
        <v>709.96500000000003</v>
      </c>
      <c r="I103" s="1">
        <v>512.274</v>
      </c>
      <c r="J103" s="1">
        <v>336.91949999999997</v>
      </c>
      <c r="K103" s="1">
        <v>603.4559999999999</v>
      </c>
      <c r="L103" s="1">
        <v>919.39049999999997</v>
      </c>
      <c r="M103" s="1">
        <v>911.70299999999997</v>
      </c>
      <c r="N103" s="1">
        <v>135.67740000000001</v>
      </c>
      <c r="O103" s="1">
        <v>565.71749999999997</v>
      </c>
      <c r="P103" s="1">
        <v>358.572</v>
      </c>
      <c r="Q103" s="4">
        <v>477.08699999999999</v>
      </c>
      <c r="R103" s="1">
        <v>210.435</v>
      </c>
      <c r="S103" s="1">
        <v>472.548</v>
      </c>
      <c r="T103" s="1">
        <v>812.77049999999997</v>
      </c>
      <c r="U103" s="1">
        <v>899.23799999999994</v>
      </c>
      <c r="V103" s="1">
        <v>1092.5805</v>
      </c>
      <c r="W103" s="1">
        <v>491.63699999999994</v>
      </c>
      <c r="X103" s="1">
        <v>1409.0805</v>
      </c>
      <c r="Y103" s="1">
        <v>710.625</v>
      </c>
      <c r="Z103" s="1">
        <v>1052.0595000000001</v>
      </c>
      <c r="AA103" s="3">
        <v>15000</v>
      </c>
      <c r="AB103" s="1">
        <v>11152.587599999999</v>
      </c>
    </row>
    <row r="104" spans="1:28" x14ac:dyDescent="0.25">
      <c r="A104" s="1">
        <v>103</v>
      </c>
      <c r="B104" s="2">
        <v>48731</v>
      </c>
      <c r="C104" s="1">
        <v>1677.0990000000002</v>
      </c>
      <c r="D104" s="1">
        <v>231.21299999999999</v>
      </c>
      <c r="E104" s="1">
        <v>744.33150000000001</v>
      </c>
      <c r="F104" s="1">
        <v>1079.1690000000001</v>
      </c>
      <c r="G104" s="1">
        <v>302.88750000000005</v>
      </c>
      <c r="H104" s="1">
        <v>708.49649999999997</v>
      </c>
      <c r="I104" s="1">
        <v>511.20000000000005</v>
      </c>
      <c r="J104" s="1">
        <v>335.625</v>
      </c>
      <c r="K104" s="1">
        <v>601.2405</v>
      </c>
      <c r="L104" s="1">
        <v>909.64949999999999</v>
      </c>
      <c r="M104" s="1">
        <v>907.3755000000001</v>
      </c>
      <c r="N104" s="1">
        <v>133.92495</v>
      </c>
      <c r="O104" s="1">
        <v>563.74950000000001</v>
      </c>
      <c r="P104" s="1">
        <v>355.57500000000005</v>
      </c>
      <c r="Q104" s="4">
        <v>475.72950000000003</v>
      </c>
      <c r="R104" s="1">
        <v>208.09950000000001</v>
      </c>
      <c r="S104" s="1">
        <v>469.39949999999999</v>
      </c>
      <c r="T104" s="1">
        <v>804.75600000000009</v>
      </c>
      <c r="U104" s="1">
        <v>891.75</v>
      </c>
      <c r="V104" s="1">
        <v>1090.8494999999998</v>
      </c>
      <c r="W104" s="1">
        <v>488.16300000000001</v>
      </c>
      <c r="X104" s="1">
        <v>1404.9254999999998</v>
      </c>
      <c r="Y104" s="1">
        <v>704.45249999999999</v>
      </c>
      <c r="Z104" s="1">
        <v>1031.9594999999999</v>
      </c>
      <c r="AA104" s="3">
        <v>15000</v>
      </c>
      <c r="AB104" s="1">
        <v>11086.769300000002</v>
      </c>
    </row>
    <row r="105" spans="1:28" x14ac:dyDescent="0.25">
      <c r="A105" s="1">
        <v>104</v>
      </c>
      <c r="B105" s="2">
        <v>48761</v>
      </c>
      <c r="C105" s="1">
        <v>1676.9505000000001</v>
      </c>
      <c r="D105" s="1">
        <v>229.74450000000002</v>
      </c>
      <c r="E105" s="1">
        <v>735.66</v>
      </c>
      <c r="F105" s="1">
        <v>1065.0419999999999</v>
      </c>
      <c r="G105" s="1">
        <v>300.23400000000004</v>
      </c>
      <c r="H105" s="1">
        <v>707.01150000000007</v>
      </c>
      <c r="I105" s="1">
        <v>506.15250000000003</v>
      </c>
      <c r="J105" s="1">
        <v>331.428</v>
      </c>
      <c r="K105" s="1">
        <v>593.16</v>
      </c>
      <c r="L105" s="1">
        <v>892.04700000000003</v>
      </c>
      <c r="M105" s="1">
        <v>894.55649999999991</v>
      </c>
      <c r="N105" s="1">
        <v>131.0565</v>
      </c>
      <c r="O105" s="1">
        <v>555.45899999999995</v>
      </c>
      <c r="P105" s="1">
        <v>349.37850000000003</v>
      </c>
      <c r="Q105" s="4">
        <v>474.26250000000005</v>
      </c>
      <c r="R105" s="1">
        <v>203.976</v>
      </c>
      <c r="S105" s="1">
        <v>462.64050000000003</v>
      </c>
      <c r="T105" s="1">
        <v>791.33999999999992</v>
      </c>
      <c r="U105" s="1">
        <v>878.38350000000014</v>
      </c>
      <c r="V105" s="1">
        <v>1079.3220000000001</v>
      </c>
      <c r="W105" s="1">
        <v>480.47249999999997</v>
      </c>
      <c r="X105" s="1">
        <v>1391.3835000000001</v>
      </c>
      <c r="Y105" s="1">
        <v>693.77699999999993</v>
      </c>
      <c r="Z105" s="1">
        <v>1006.1189999999999</v>
      </c>
      <c r="AA105" s="3">
        <v>15000</v>
      </c>
      <c r="AB105" s="1">
        <v>10949.395</v>
      </c>
    </row>
    <row r="106" spans="1:28" x14ac:dyDescent="0.25">
      <c r="A106" s="1">
        <v>105</v>
      </c>
      <c r="B106" s="2">
        <v>48792</v>
      </c>
      <c r="C106" s="1">
        <v>1651.6934999999999</v>
      </c>
      <c r="D106" s="1">
        <v>225.04199999999997</v>
      </c>
      <c r="E106" s="1">
        <v>732.678</v>
      </c>
      <c r="F106" s="1">
        <v>1058.8605</v>
      </c>
      <c r="G106" s="1">
        <v>294.28649999999999</v>
      </c>
      <c r="H106" s="1">
        <v>697.596</v>
      </c>
      <c r="I106" s="1">
        <v>504.678</v>
      </c>
      <c r="J106" s="1">
        <v>330.024</v>
      </c>
      <c r="K106" s="1">
        <v>590.70899999999995</v>
      </c>
      <c r="L106" s="1">
        <v>882.9375</v>
      </c>
      <c r="M106" s="1">
        <v>890.10450000000003</v>
      </c>
      <c r="N106" s="1">
        <v>129.43545</v>
      </c>
      <c r="O106" s="1">
        <v>553.08899999999994</v>
      </c>
      <c r="P106" s="1">
        <v>346.35449999999997</v>
      </c>
      <c r="Q106" s="4">
        <v>468.798</v>
      </c>
      <c r="R106" s="1">
        <v>201.339</v>
      </c>
      <c r="S106" s="1">
        <v>459.87150000000003</v>
      </c>
      <c r="T106" s="1">
        <v>784.51200000000006</v>
      </c>
      <c r="U106" s="1">
        <v>871.86299999999994</v>
      </c>
      <c r="V106" s="1">
        <v>1076.8544999999999</v>
      </c>
      <c r="W106" s="1">
        <v>477.036</v>
      </c>
      <c r="X106" s="1">
        <v>1386.81</v>
      </c>
      <c r="Y106" s="1">
        <v>688.71900000000005</v>
      </c>
      <c r="Z106" s="1">
        <v>989.19299999999998</v>
      </c>
      <c r="AA106" s="3">
        <v>15000</v>
      </c>
      <c r="AB106" s="1">
        <v>10860.559300000001</v>
      </c>
    </row>
    <row r="107" spans="1:28" x14ac:dyDescent="0.25">
      <c r="A107" s="1">
        <v>106</v>
      </c>
      <c r="B107" s="2">
        <v>48823</v>
      </c>
      <c r="C107" s="1">
        <v>1651.5720000000001</v>
      </c>
      <c r="D107" s="1">
        <v>223.87199999999999</v>
      </c>
      <c r="E107" s="1">
        <v>729.77699999999993</v>
      </c>
      <c r="F107" s="1">
        <v>1052.4314999999999</v>
      </c>
      <c r="G107" s="1">
        <v>291.94799999999998</v>
      </c>
      <c r="H107" s="1">
        <v>696.4815000000001</v>
      </c>
      <c r="I107" s="1">
        <v>503.75850000000003</v>
      </c>
      <c r="J107" s="1">
        <v>328.79399999999998</v>
      </c>
      <c r="K107" s="1">
        <v>588.55200000000002</v>
      </c>
      <c r="L107" s="1">
        <v>873.32850000000008</v>
      </c>
      <c r="M107" s="1">
        <v>885.99749999999995</v>
      </c>
      <c r="N107" s="1">
        <v>127.7946</v>
      </c>
      <c r="O107" s="1">
        <v>550.9815000000001</v>
      </c>
      <c r="P107" s="1">
        <v>343.71449999999999</v>
      </c>
      <c r="Q107" s="4">
        <v>467.15250000000003</v>
      </c>
      <c r="R107" s="1">
        <v>198.8835</v>
      </c>
      <c r="S107" s="1">
        <v>457.1925</v>
      </c>
      <c r="T107" s="1">
        <v>777.16049999999996</v>
      </c>
      <c r="U107" s="1">
        <v>865.07100000000014</v>
      </c>
      <c r="V107" s="1">
        <v>1074.9645</v>
      </c>
      <c r="W107" s="1">
        <v>473.54400000000004</v>
      </c>
      <c r="X107" s="1">
        <v>1383.402</v>
      </c>
      <c r="Y107" s="1">
        <v>684.14850000000001</v>
      </c>
      <c r="Z107" s="1">
        <v>971.3130000000001</v>
      </c>
      <c r="AA107" s="3">
        <v>15000</v>
      </c>
      <c r="AB107" s="1">
        <v>10800.4584</v>
      </c>
    </row>
    <row r="108" spans="1:28" x14ac:dyDescent="0.25">
      <c r="A108" s="1">
        <v>107</v>
      </c>
      <c r="B108" s="2">
        <v>48853</v>
      </c>
      <c r="C108" s="1">
        <v>1651.4459999999999</v>
      </c>
      <c r="D108" s="1">
        <v>222.846</v>
      </c>
      <c r="E108" s="1">
        <v>727.47</v>
      </c>
      <c r="F108" s="1">
        <v>1047.2294999999999</v>
      </c>
      <c r="G108" s="1">
        <v>289.47149999999999</v>
      </c>
      <c r="H108" s="1">
        <v>695.12699999999995</v>
      </c>
      <c r="I108" s="1">
        <v>503.08050000000003</v>
      </c>
      <c r="J108" s="1">
        <v>327.87149999999997</v>
      </c>
      <c r="K108" s="1">
        <v>586.75649999999996</v>
      </c>
      <c r="L108" s="1">
        <v>865.70549999999992</v>
      </c>
      <c r="M108" s="1">
        <v>882.34500000000003</v>
      </c>
      <c r="N108" s="1">
        <v>126.48389999999999</v>
      </c>
      <c r="O108" s="1">
        <v>549.31499999999994</v>
      </c>
      <c r="P108" s="1">
        <v>341.51549999999997</v>
      </c>
      <c r="Q108" s="4">
        <v>466.005</v>
      </c>
      <c r="R108" s="1">
        <v>197.1525</v>
      </c>
      <c r="S108" s="1">
        <v>455.08050000000003</v>
      </c>
      <c r="T108" s="1">
        <v>771.28500000000008</v>
      </c>
      <c r="U108" s="1">
        <v>859.572</v>
      </c>
      <c r="V108" s="1">
        <v>1073.2260000000001</v>
      </c>
      <c r="W108" s="1">
        <v>470.75850000000003</v>
      </c>
      <c r="X108" s="1">
        <v>1380.7139999999999</v>
      </c>
      <c r="Y108" s="1">
        <v>680.78550000000007</v>
      </c>
      <c r="Z108" s="1">
        <v>957.35100000000011</v>
      </c>
      <c r="AA108" s="3">
        <v>15000</v>
      </c>
      <c r="AB108" s="1">
        <v>10751.798600000002</v>
      </c>
    </row>
    <row r="109" spans="1:28" x14ac:dyDescent="0.25">
      <c r="A109" s="1">
        <v>108</v>
      </c>
      <c r="B109" s="2">
        <v>48884</v>
      </c>
      <c r="C109" s="1">
        <v>1651.2945</v>
      </c>
      <c r="D109" s="1">
        <v>221.19150000000002</v>
      </c>
      <c r="E109" s="1">
        <v>724.82549999999992</v>
      </c>
      <c r="F109" s="1">
        <v>1041.144</v>
      </c>
      <c r="G109" s="1">
        <v>284.91149999999999</v>
      </c>
      <c r="H109" s="1">
        <v>693.83550000000002</v>
      </c>
      <c r="I109" s="1">
        <v>502.20000000000005</v>
      </c>
      <c r="J109" s="1">
        <v>326.8005</v>
      </c>
      <c r="K109" s="1">
        <v>584.61899999999991</v>
      </c>
      <c r="L109" s="1">
        <v>856.875</v>
      </c>
      <c r="M109" s="1">
        <v>877.34999999999991</v>
      </c>
      <c r="N109" s="1">
        <v>125.02499999999999</v>
      </c>
      <c r="O109" s="1">
        <v>547.27500000000009</v>
      </c>
      <c r="P109" s="1">
        <v>339.02549999999997</v>
      </c>
      <c r="Q109" s="4">
        <v>465.10949999999997</v>
      </c>
      <c r="R109" s="1">
        <v>195.12450000000001</v>
      </c>
      <c r="S109" s="1">
        <v>452.67450000000002</v>
      </c>
      <c r="T109" s="1">
        <v>764.59349999999995</v>
      </c>
      <c r="U109" s="1">
        <v>853.30049999999994</v>
      </c>
      <c r="V109" s="1">
        <v>1071</v>
      </c>
      <c r="W109" s="1">
        <v>467.52449999999999</v>
      </c>
      <c r="X109" s="1">
        <v>1377.5880000000002</v>
      </c>
      <c r="Y109" s="1">
        <v>677.10599999999999</v>
      </c>
      <c r="Z109" s="1">
        <v>941.7405</v>
      </c>
      <c r="AA109" s="3">
        <v>15000</v>
      </c>
      <c r="AB109" s="1">
        <v>10694.033000000003</v>
      </c>
    </row>
    <row r="110" spans="1:28" x14ac:dyDescent="0.25">
      <c r="A110" s="1">
        <v>109</v>
      </c>
      <c r="B110" s="2">
        <v>48914</v>
      </c>
      <c r="C110" s="1">
        <v>1651.1744999999999</v>
      </c>
      <c r="D110" s="1">
        <v>219.92699999999999</v>
      </c>
      <c r="E110" s="1">
        <v>722.40149999999994</v>
      </c>
      <c r="F110" s="1">
        <v>1035.6044999999999</v>
      </c>
      <c r="G110" s="1">
        <v>281.988</v>
      </c>
      <c r="H110" s="1">
        <v>692.45699999999999</v>
      </c>
      <c r="I110" s="1">
        <v>501.45899999999995</v>
      </c>
      <c r="J110" s="1">
        <v>325.791</v>
      </c>
      <c r="K110" s="1">
        <v>582.62850000000003</v>
      </c>
      <c r="L110" s="1">
        <v>848.8605</v>
      </c>
      <c r="M110" s="1">
        <v>873.13350000000014</v>
      </c>
      <c r="N110" s="1">
        <v>123.70155</v>
      </c>
      <c r="O110" s="1">
        <v>545.39549999999997</v>
      </c>
      <c r="P110" s="1">
        <v>336.726</v>
      </c>
      <c r="Q110" s="4">
        <v>464.02500000000003</v>
      </c>
      <c r="R110" s="1">
        <v>193.2585</v>
      </c>
      <c r="S110" s="1">
        <v>450.53250000000003</v>
      </c>
      <c r="T110" s="1">
        <v>758.66100000000006</v>
      </c>
      <c r="U110" s="1">
        <v>847.62149999999997</v>
      </c>
      <c r="V110" s="1">
        <v>1068.7739999999999</v>
      </c>
      <c r="W110" s="1">
        <v>464.589</v>
      </c>
      <c r="X110" s="1">
        <v>1374.7379999999998</v>
      </c>
      <c r="Y110" s="1">
        <v>673.98450000000003</v>
      </c>
      <c r="Z110" s="1">
        <v>927.87149999999997</v>
      </c>
      <c r="AA110" s="3">
        <v>15000</v>
      </c>
      <c r="AB110" s="1">
        <v>10642.911700000002</v>
      </c>
    </row>
    <row r="111" spans="1:28" x14ac:dyDescent="0.25">
      <c r="A111" s="1">
        <v>110</v>
      </c>
      <c r="B111" s="2">
        <v>48945</v>
      </c>
      <c r="C111" s="1">
        <v>1651.038</v>
      </c>
      <c r="D111" s="1">
        <v>218.72550000000001</v>
      </c>
      <c r="E111" s="1">
        <v>719.78700000000003</v>
      </c>
      <c r="F111" s="1">
        <v>1029.6374999999998</v>
      </c>
      <c r="G111" s="1">
        <v>278.67449999999997</v>
      </c>
      <c r="H111" s="1">
        <v>691.16249999999991</v>
      </c>
      <c r="I111" s="1">
        <v>500.57549999999998</v>
      </c>
      <c r="J111" s="1">
        <v>324.75</v>
      </c>
      <c r="K111" s="1">
        <v>580.48800000000006</v>
      </c>
      <c r="L111" s="1">
        <v>840.27449999999999</v>
      </c>
      <c r="M111" s="1">
        <v>868.77449999999999</v>
      </c>
      <c r="N111" s="1">
        <v>122.27504999999999</v>
      </c>
      <c r="O111" s="1">
        <v>543.29999999999995</v>
      </c>
      <c r="P111" s="1">
        <v>334.27499999999998</v>
      </c>
      <c r="Q111" s="4">
        <v>463.089</v>
      </c>
      <c r="R111" s="1">
        <v>191.35049999999998</v>
      </c>
      <c r="S111" s="1">
        <v>448.32449999999994</v>
      </c>
      <c r="T111" s="1">
        <v>752.37450000000001</v>
      </c>
      <c r="U111" s="1">
        <v>841.54950000000008</v>
      </c>
      <c r="V111" s="1">
        <v>1066.2494999999999</v>
      </c>
      <c r="W111" s="1">
        <v>461.41200000000003</v>
      </c>
      <c r="X111" s="1">
        <v>1371.6495</v>
      </c>
      <c r="Y111" s="1">
        <v>670.83150000000001</v>
      </c>
      <c r="Z111" s="1">
        <v>913.51200000000006</v>
      </c>
      <c r="AA111" s="3">
        <v>15000</v>
      </c>
      <c r="AB111" s="1">
        <v>10588.6777</v>
      </c>
    </row>
    <row r="112" spans="1:28" x14ac:dyDescent="0.25">
      <c r="A112" s="1">
        <v>111</v>
      </c>
      <c r="B112" s="2">
        <v>48976</v>
      </c>
      <c r="C112" s="1">
        <v>1650.8910000000001</v>
      </c>
      <c r="D112" s="1">
        <v>217.46999999999997</v>
      </c>
      <c r="E112" s="1">
        <v>717.31499999999994</v>
      </c>
      <c r="F112" s="1">
        <v>1024.077</v>
      </c>
      <c r="G112" s="1">
        <v>275.65649999999999</v>
      </c>
      <c r="H112" s="1">
        <v>689.81100000000004</v>
      </c>
      <c r="I112" s="1">
        <v>499.76550000000003</v>
      </c>
      <c r="J112" s="1">
        <v>323.78249999999997</v>
      </c>
      <c r="K112" s="1">
        <v>578.47950000000003</v>
      </c>
      <c r="L112" s="1">
        <v>832.36649999999986</v>
      </c>
      <c r="M112" s="1">
        <v>864.74399999999991</v>
      </c>
      <c r="N112" s="1">
        <v>121.01610000000001</v>
      </c>
      <c r="O112" s="1">
        <v>541.25850000000003</v>
      </c>
      <c r="P112" s="1">
        <v>331.959</v>
      </c>
      <c r="Q112" s="4">
        <v>462.02549999999997</v>
      </c>
      <c r="R112" s="1">
        <v>189.5565</v>
      </c>
      <c r="S112" s="1">
        <v>446.298</v>
      </c>
      <c r="T112" s="1">
        <v>746.60699999999997</v>
      </c>
      <c r="U112" s="1">
        <v>835.93499999999995</v>
      </c>
      <c r="V112" s="1">
        <v>1063.6935000000001</v>
      </c>
      <c r="W112" s="1">
        <v>458.46749999999997</v>
      </c>
      <c r="X112" s="1">
        <v>1368.81</v>
      </c>
      <c r="Y112" s="1">
        <v>668.05949999999996</v>
      </c>
      <c r="Z112" s="1">
        <v>900.6690000000001</v>
      </c>
      <c r="AA112" s="3">
        <v>15000</v>
      </c>
      <c r="AB112" s="1">
        <v>10538.528399999999</v>
      </c>
    </row>
    <row r="113" spans="1:28" x14ac:dyDescent="0.25">
      <c r="A113" s="1">
        <v>112</v>
      </c>
      <c r="B113" s="2">
        <v>49004</v>
      </c>
      <c r="C113" s="1">
        <v>1650.7725</v>
      </c>
      <c r="D113" s="1">
        <v>216.10050000000001</v>
      </c>
      <c r="E113" s="1">
        <v>714.84749999999997</v>
      </c>
      <c r="F113" s="1">
        <v>1018.5239999999999</v>
      </c>
      <c r="G113" s="1">
        <v>273.14550000000003</v>
      </c>
      <c r="H113" s="1">
        <v>688.476</v>
      </c>
      <c r="I113" s="1">
        <v>498.96749999999997</v>
      </c>
      <c r="J113" s="1">
        <v>322.791</v>
      </c>
      <c r="K113" s="1">
        <v>576.47249999999997</v>
      </c>
      <c r="L113" s="1">
        <v>824.67899999999986</v>
      </c>
      <c r="M113" s="1">
        <v>860.44350000000009</v>
      </c>
      <c r="N113" s="1">
        <v>119.78219999999999</v>
      </c>
      <c r="O113" s="1">
        <v>539.10450000000003</v>
      </c>
      <c r="P113" s="1">
        <v>329.637</v>
      </c>
      <c r="Q113" s="4">
        <v>461.10450000000003</v>
      </c>
      <c r="R113" s="1">
        <v>187.7655</v>
      </c>
      <c r="S113" s="1">
        <v>444.375</v>
      </c>
      <c r="T113" s="1">
        <v>741.00600000000009</v>
      </c>
      <c r="U113" s="1">
        <v>830.37149999999997</v>
      </c>
      <c r="V113" s="1">
        <v>1060.9845</v>
      </c>
      <c r="W113" s="1">
        <v>455.553</v>
      </c>
      <c r="X113" s="1">
        <v>1365.9435000000001</v>
      </c>
      <c r="Y113" s="1">
        <v>665.43149999999991</v>
      </c>
      <c r="Z113" s="1">
        <v>888.42</v>
      </c>
      <c r="AA113" s="3">
        <v>15000</v>
      </c>
      <c r="AB113" s="1">
        <v>10489.193799999999</v>
      </c>
    </row>
    <row r="114" spans="1:28" x14ac:dyDescent="0.25">
      <c r="A114" s="1">
        <v>113</v>
      </c>
      <c r="B114" s="2">
        <v>49035</v>
      </c>
      <c r="C114" s="1">
        <v>1650.6345000000001</v>
      </c>
      <c r="D114" s="1">
        <v>214.90500000000003</v>
      </c>
      <c r="E114" s="1">
        <v>712.26299999999992</v>
      </c>
      <c r="F114" s="1">
        <v>1012.6005</v>
      </c>
      <c r="G114" s="1">
        <v>270.91050000000001</v>
      </c>
      <c r="H114" s="1">
        <v>687.18299999999999</v>
      </c>
      <c r="I114" s="1">
        <v>498.07500000000005</v>
      </c>
      <c r="J114" s="1">
        <v>321.77549999999997</v>
      </c>
      <c r="K114" s="1">
        <v>574.35599999999999</v>
      </c>
      <c r="L114" s="1">
        <v>816.66300000000001</v>
      </c>
      <c r="M114" s="1">
        <v>854.89949999999999</v>
      </c>
      <c r="N114" s="1">
        <v>118.45005</v>
      </c>
      <c r="O114" s="1">
        <v>536.77500000000009</v>
      </c>
      <c r="P114" s="1">
        <v>327.25049999999999</v>
      </c>
      <c r="Q114" s="4">
        <v>460.197</v>
      </c>
      <c r="R114" s="1">
        <v>185.97450000000001</v>
      </c>
      <c r="S114" s="1">
        <v>442.43700000000001</v>
      </c>
      <c r="T114" s="1">
        <v>735.21900000000005</v>
      </c>
      <c r="U114" s="1">
        <v>824.625</v>
      </c>
      <c r="V114" s="1">
        <v>1057.9499999999998</v>
      </c>
      <c r="W114" s="1">
        <v>452.51250000000005</v>
      </c>
      <c r="X114" s="1">
        <v>1363.0245</v>
      </c>
      <c r="Y114" s="1">
        <v>662.77200000000005</v>
      </c>
      <c r="Z114" s="1">
        <v>876.25350000000003</v>
      </c>
      <c r="AA114" s="3">
        <v>15000</v>
      </c>
      <c r="AB114" s="1">
        <v>10437.8397</v>
      </c>
    </row>
    <row r="115" spans="1:28" x14ac:dyDescent="0.25">
      <c r="A115" s="1">
        <v>114</v>
      </c>
      <c r="B115" s="2">
        <v>49065</v>
      </c>
      <c r="C115" s="1">
        <v>1650.5010000000002</v>
      </c>
      <c r="D115" s="1">
        <v>213.89099999999999</v>
      </c>
      <c r="E115" s="1">
        <v>709.91700000000003</v>
      </c>
      <c r="F115" s="1">
        <v>1007.2139999999999</v>
      </c>
      <c r="G115" s="1">
        <v>269.26499999999999</v>
      </c>
      <c r="H115" s="1">
        <v>685.86599999999999</v>
      </c>
      <c r="I115" s="1">
        <v>497.274</v>
      </c>
      <c r="J115" s="1">
        <v>320.87850000000003</v>
      </c>
      <c r="K115" s="1">
        <v>572.4135</v>
      </c>
      <c r="L115" s="1">
        <v>809.34750000000008</v>
      </c>
      <c r="M115" s="1">
        <v>850.05899999999997</v>
      </c>
      <c r="N115" s="1">
        <v>117.29040000000001</v>
      </c>
      <c r="O115" s="1">
        <v>534.50850000000003</v>
      </c>
      <c r="P115" s="1">
        <v>325.089</v>
      </c>
      <c r="Q115" s="4">
        <v>459.25049999999999</v>
      </c>
      <c r="R115" s="1">
        <v>184.065</v>
      </c>
      <c r="S115" s="1">
        <v>440.45550000000003</v>
      </c>
      <c r="T115" s="1">
        <v>729.702</v>
      </c>
      <c r="U115" s="1">
        <v>819.45900000000006</v>
      </c>
      <c r="V115" s="1">
        <v>1055.1285</v>
      </c>
      <c r="W115" s="1">
        <v>449.72249999999997</v>
      </c>
      <c r="X115" s="1">
        <v>1360.2585000000001</v>
      </c>
      <c r="Y115" s="1">
        <v>660.38400000000001</v>
      </c>
      <c r="Z115" s="1">
        <v>865.15200000000004</v>
      </c>
      <c r="AA115" s="3">
        <v>15000</v>
      </c>
      <c r="AB115" s="1">
        <v>10390.8406</v>
      </c>
    </row>
    <row r="116" spans="1:28" x14ac:dyDescent="0.25">
      <c r="A116" s="1">
        <v>115</v>
      </c>
      <c r="B116" s="2">
        <v>49096</v>
      </c>
      <c r="C116" s="1">
        <v>1650.366</v>
      </c>
      <c r="D116" s="1">
        <v>212.58599999999998</v>
      </c>
      <c r="E116" s="1">
        <v>707.44350000000009</v>
      </c>
      <c r="F116" s="1">
        <v>1001.3249999999999</v>
      </c>
      <c r="G116" s="1">
        <v>267.20550000000003</v>
      </c>
      <c r="H116" s="1">
        <v>684.59400000000005</v>
      </c>
      <c r="I116" s="1">
        <v>496.42499999999995</v>
      </c>
      <c r="J116" s="1">
        <v>319.90049999999997</v>
      </c>
      <c r="K116" s="1">
        <v>570.30600000000004</v>
      </c>
      <c r="L116" s="1">
        <v>801.55049999999994</v>
      </c>
      <c r="M116" s="1">
        <v>844.93050000000005</v>
      </c>
      <c r="N116" s="1">
        <v>115.94999999999999</v>
      </c>
      <c r="O116" s="1">
        <v>531.90000000000009</v>
      </c>
      <c r="P116" s="1">
        <v>322.84950000000003</v>
      </c>
      <c r="Q116" s="4">
        <v>458.41949999999997</v>
      </c>
      <c r="R116" s="1">
        <v>181.95</v>
      </c>
      <c r="S116" s="1">
        <v>438.375</v>
      </c>
      <c r="T116" s="1">
        <v>723.85050000000001</v>
      </c>
      <c r="U116" s="1">
        <v>813.97499999999991</v>
      </c>
      <c r="V116" s="1">
        <v>1051.8000000000002</v>
      </c>
      <c r="W116" s="1">
        <v>446.73749999999995</v>
      </c>
      <c r="X116" s="1">
        <v>1357.3245000000002</v>
      </c>
      <c r="Y116" s="1">
        <v>657.85950000000003</v>
      </c>
      <c r="Z116" s="1">
        <v>853.65899999999999</v>
      </c>
      <c r="AA116" s="3">
        <v>15000</v>
      </c>
      <c r="AB116" s="1">
        <v>10340.292000000001</v>
      </c>
    </row>
    <row r="117" spans="1:28" x14ac:dyDescent="0.25">
      <c r="A117" s="1">
        <v>116</v>
      </c>
      <c r="B117" s="2">
        <v>49126</v>
      </c>
      <c r="C117" s="1">
        <v>1650.2415000000001</v>
      </c>
      <c r="D117" s="1">
        <v>211.209</v>
      </c>
      <c r="E117" s="1">
        <v>705.14549999999997</v>
      </c>
      <c r="F117" s="1">
        <v>995.94</v>
      </c>
      <c r="G117" s="1">
        <v>264.53399999999999</v>
      </c>
      <c r="H117" s="1">
        <v>683.27850000000001</v>
      </c>
      <c r="I117" s="1">
        <v>495.53250000000003</v>
      </c>
      <c r="J117" s="1">
        <v>318.99149999999997</v>
      </c>
      <c r="K117" s="1">
        <v>568.31850000000009</v>
      </c>
      <c r="L117" s="1">
        <v>794.26200000000006</v>
      </c>
      <c r="M117" s="1">
        <v>840.1395</v>
      </c>
      <c r="N117" s="1">
        <v>114.79845</v>
      </c>
      <c r="O117" s="1">
        <v>529.37850000000003</v>
      </c>
      <c r="P117" s="1">
        <v>320.73450000000003</v>
      </c>
      <c r="Q117" s="4">
        <v>457.57500000000005</v>
      </c>
      <c r="R117" s="1">
        <v>180.048</v>
      </c>
      <c r="S117" s="1">
        <v>436.51199999999994</v>
      </c>
      <c r="T117" s="1">
        <v>718.476</v>
      </c>
      <c r="U117" s="1">
        <v>808.88700000000006</v>
      </c>
      <c r="V117" s="1">
        <v>1048.6935000000001</v>
      </c>
      <c r="W117" s="1">
        <v>443.91600000000005</v>
      </c>
      <c r="X117" s="1">
        <v>1354.6695</v>
      </c>
      <c r="Y117" s="1">
        <v>655.61249999999995</v>
      </c>
      <c r="Z117" s="1">
        <v>843.36599999999999</v>
      </c>
      <c r="AA117" s="3">
        <v>15000</v>
      </c>
      <c r="AB117" s="1">
        <v>10292.980300000001</v>
      </c>
    </row>
    <row r="118" spans="1:28" x14ac:dyDescent="0.25">
      <c r="A118" s="1">
        <v>117</v>
      </c>
      <c r="B118" s="2">
        <v>49157</v>
      </c>
      <c r="C118" s="1">
        <v>1641.1334999999999</v>
      </c>
      <c r="D118" s="1">
        <v>208.78800000000001</v>
      </c>
      <c r="E118" s="1">
        <v>702.99149999999997</v>
      </c>
      <c r="F118" s="1">
        <v>990.89549999999997</v>
      </c>
      <c r="G118" s="1">
        <v>260.26349999999996</v>
      </c>
      <c r="H118" s="1">
        <v>679.19100000000003</v>
      </c>
      <c r="I118" s="1">
        <v>494.78250000000003</v>
      </c>
      <c r="J118" s="1">
        <v>318.14550000000003</v>
      </c>
      <c r="K118" s="1">
        <v>566.43149999999991</v>
      </c>
      <c r="L118" s="1">
        <v>787.24649999999997</v>
      </c>
      <c r="M118" s="1">
        <v>835.6395</v>
      </c>
      <c r="N118" s="1">
        <v>113.68545</v>
      </c>
      <c r="O118" s="1">
        <v>526.88699999999994</v>
      </c>
      <c r="P118" s="1">
        <v>318.702</v>
      </c>
      <c r="Q118" s="4">
        <v>456.786</v>
      </c>
      <c r="R118" s="1">
        <v>178.209</v>
      </c>
      <c r="S118" s="1">
        <v>434.85450000000003</v>
      </c>
      <c r="T118" s="1">
        <v>713.52149999999995</v>
      </c>
      <c r="U118" s="1">
        <v>804.24149999999986</v>
      </c>
      <c r="V118" s="1">
        <v>1045.5975000000001</v>
      </c>
      <c r="W118" s="1">
        <v>441.29100000000005</v>
      </c>
      <c r="X118" s="1">
        <v>1352.2739999999999</v>
      </c>
      <c r="Y118" s="1">
        <v>653.56200000000001</v>
      </c>
      <c r="Z118" s="1">
        <v>833.98799999999994</v>
      </c>
      <c r="AA118" s="3">
        <v>15000</v>
      </c>
      <c r="AB118" s="1">
        <v>10238.954299999999</v>
      </c>
    </row>
    <row r="119" spans="1:28" x14ac:dyDescent="0.25">
      <c r="A119" s="1">
        <v>118</v>
      </c>
      <c r="B119" s="2">
        <v>49188</v>
      </c>
      <c r="C119" s="1">
        <v>1641.03</v>
      </c>
      <c r="D119" s="1">
        <v>207.786</v>
      </c>
      <c r="E119" s="1">
        <v>700.47300000000007</v>
      </c>
      <c r="F119" s="1">
        <v>984.97800000000007</v>
      </c>
      <c r="G119" s="1">
        <v>257.75400000000002</v>
      </c>
      <c r="H119" s="1">
        <v>678.0915</v>
      </c>
      <c r="I119" s="1">
        <v>493.79400000000004</v>
      </c>
      <c r="J119" s="1">
        <v>317.16899999999998</v>
      </c>
      <c r="K119" s="1">
        <v>564.17399999999998</v>
      </c>
      <c r="L119" s="1">
        <v>779.25</v>
      </c>
      <c r="M119" s="1">
        <v>830.20949999999993</v>
      </c>
      <c r="N119" s="1">
        <v>112.4196</v>
      </c>
      <c r="O119" s="1">
        <v>523.74149999999997</v>
      </c>
      <c r="P119" s="1">
        <v>316.47300000000001</v>
      </c>
      <c r="Q119" s="4">
        <v>456.10949999999997</v>
      </c>
      <c r="R119" s="1">
        <v>176.14350000000002</v>
      </c>
      <c r="S119" s="1">
        <v>433.07100000000003</v>
      </c>
      <c r="T119" s="1">
        <v>707.9190000000001</v>
      </c>
      <c r="U119" s="1">
        <v>798.88350000000014</v>
      </c>
      <c r="V119" s="1">
        <v>1041.8565000000001</v>
      </c>
      <c r="W119" s="1">
        <v>438.14700000000005</v>
      </c>
      <c r="X119" s="1">
        <v>1349.598</v>
      </c>
      <c r="Y119" s="1">
        <v>651.22050000000002</v>
      </c>
      <c r="Z119" s="1">
        <v>823.56</v>
      </c>
      <c r="AA119" s="3">
        <v>15000</v>
      </c>
      <c r="AB119" s="1">
        <v>10188.706400000003</v>
      </c>
    </row>
    <row r="120" spans="1:28" x14ac:dyDescent="0.25">
      <c r="A120" s="1">
        <v>119</v>
      </c>
      <c r="B120" s="2">
        <v>49218</v>
      </c>
      <c r="C120" s="1">
        <v>1640.8845000000001</v>
      </c>
      <c r="D120" s="1">
        <v>206.673</v>
      </c>
      <c r="E120" s="1">
        <v>698.42550000000006</v>
      </c>
      <c r="F120" s="1">
        <v>980.27399999999989</v>
      </c>
      <c r="G120" s="1">
        <v>254.94749999999999</v>
      </c>
      <c r="H120" s="1">
        <v>676.85249999999996</v>
      </c>
      <c r="I120" s="1">
        <v>493.01550000000003</v>
      </c>
      <c r="J120" s="1">
        <v>316.40250000000003</v>
      </c>
      <c r="K120" s="1">
        <v>562.36649999999997</v>
      </c>
      <c r="L120" s="1">
        <v>773.14650000000006</v>
      </c>
      <c r="M120" s="1">
        <v>825.85349999999994</v>
      </c>
      <c r="N120" s="1">
        <v>111.38714999999999</v>
      </c>
      <c r="O120" s="1">
        <v>521.08050000000003</v>
      </c>
      <c r="P120" s="1">
        <v>314.565</v>
      </c>
      <c r="Q120" s="4">
        <v>455.3175</v>
      </c>
      <c r="R120" s="1">
        <v>174.5565</v>
      </c>
      <c r="S120" s="1">
        <v>431.77049999999997</v>
      </c>
      <c r="T120" s="1">
        <v>703.476</v>
      </c>
      <c r="U120" s="1">
        <v>794.66100000000006</v>
      </c>
      <c r="V120" s="1">
        <v>1038.7739999999999</v>
      </c>
      <c r="W120" s="1">
        <v>435.58050000000003</v>
      </c>
      <c r="X120" s="1">
        <v>1347.4590000000001</v>
      </c>
      <c r="Y120" s="1">
        <v>649.38750000000005</v>
      </c>
      <c r="Z120" s="1">
        <v>815.298</v>
      </c>
      <c r="AA120" s="3">
        <v>15000</v>
      </c>
      <c r="AB120" s="1">
        <v>10147.711099999999</v>
      </c>
    </row>
    <row r="121" spans="1:28" x14ac:dyDescent="0.25">
      <c r="A121" s="1">
        <v>120</v>
      </c>
      <c r="B121" s="2">
        <v>49249</v>
      </c>
      <c r="C121" s="1">
        <v>1640.7599999999998</v>
      </c>
      <c r="D121" s="1">
        <v>205.6155</v>
      </c>
      <c r="E121" s="1">
        <v>696.03150000000005</v>
      </c>
      <c r="F121" s="1">
        <v>974.80049999999994</v>
      </c>
      <c r="G121" s="1">
        <v>252.80700000000002</v>
      </c>
      <c r="H121" s="1">
        <v>675.64649999999995</v>
      </c>
      <c r="I121" s="1">
        <v>492.07500000000005</v>
      </c>
      <c r="J121" s="1">
        <v>315.47550000000001</v>
      </c>
      <c r="K121" s="1">
        <v>560.23050000000001</v>
      </c>
      <c r="L121" s="1">
        <v>766.19399999999996</v>
      </c>
      <c r="M121" s="1">
        <v>820.7940000000001</v>
      </c>
      <c r="N121" s="1">
        <v>110.20005</v>
      </c>
      <c r="O121" s="1">
        <v>517.84950000000003</v>
      </c>
      <c r="P121" s="1">
        <v>312.34950000000003</v>
      </c>
      <c r="Q121" s="4">
        <v>454.72950000000003</v>
      </c>
      <c r="R121" s="1">
        <v>172.6995</v>
      </c>
      <c r="S121" s="1">
        <v>430.34999999999997</v>
      </c>
      <c r="T121" s="1">
        <v>698.40599999999995</v>
      </c>
      <c r="U121" s="1">
        <v>789.77550000000008</v>
      </c>
      <c r="V121" s="1">
        <v>1035</v>
      </c>
      <c r="W121" s="1">
        <v>432.67499999999995</v>
      </c>
      <c r="X121" s="1">
        <v>1345.0245</v>
      </c>
      <c r="Y121" s="1">
        <v>647.28150000000005</v>
      </c>
      <c r="Z121" s="1">
        <v>806.01900000000001</v>
      </c>
      <c r="AA121" s="3">
        <v>15000</v>
      </c>
      <c r="AB121" s="1">
        <v>10101.3817</v>
      </c>
    </row>
    <row r="122" spans="1:28" x14ac:dyDescent="0.25">
      <c r="A122" s="1">
        <v>121</v>
      </c>
      <c r="B122" s="2">
        <v>49279</v>
      </c>
      <c r="C122" s="1">
        <v>1634.9790000000003</v>
      </c>
      <c r="D122" s="1">
        <v>204.46350000000001</v>
      </c>
      <c r="E122" s="1">
        <v>693.85350000000005</v>
      </c>
      <c r="F122" s="1">
        <v>969.822</v>
      </c>
      <c r="G122" s="1">
        <v>250.64849999999998</v>
      </c>
      <c r="H122" s="1">
        <v>674.40750000000003</v>
      </c>
      <c r="I122" s="1">
        <v>491.202</v>
      </c>
      <c r="J122" s="1">
        <v>314.685</v>
      </c>
      <c r="K122" s="1">
        <v>558.32100000000003</v>
      </c>
      <c r="L122" s="1">
        <v>759.81600000000003</v>
      </c>
      <c r="M122" s="1">
        <v>816.29099999999994</v>
      </c>
      <c r="N122" s="1">
        <v>109.08870000000002</v>
      </c>
      <c r="O122" s="1">
        <v>514.74149999999997</v>
      </c>
      <c r="P122" s="1">
        <v>310.30650000000003</v>
      </c>
      <c r="Q122" s="4">
        <v>454.01250000000005</v>
      </c>
      <c r="R122" s="1">
        <v>170.976</v>
      </c>
      <c r="S122" s="1">
        <v>429.19350000000003</v>
      </c>
      <c r="T122" s="1">
        <v>693.8655</v>
      </c>
      <c r="U122" s="1">
        <v>785.41950000000008</v>
      </c>
      <c r="V122" s="1">
        <v>1031.4195</v>
      </c>
      <c r="W122" s="1">
        <v>430.06499999999994</v>
      </c>
      <c r="X122" s="1">
        <v>1342.7909999999999</v>
      </c>
      <c r="Y122" s="1">
        <v>645.38400000000001</v>
      </c>
      <c r="Z122" s="1">
        <v>797.77649999999994</v>
      </c>
      <c r="AA122" s="3">
        <v>15000</v>
      </c>
      <c r="AB122" s="1">
        <v>10055.268800000002</v>
      </c>
    </row>
    <row r="123" spans="1:28" x14ac:dyDescent="0.25">
      <c r="A123" s="1">
        <v>122</v>
      </c>
      <c r="B123" s="2">
        <v>49310</v>
      </c>
      <c r="C123" s="1">
        <v>1630.2614999999998</v>
      </c>
      <c r="D123" s="1">
        <v>203.38200000000001</v>
      </c>
      <c r="E123" s="1">
        <v>691.51949999999999</v>
      </c>
      <c r="F123" s="1">
        <v>964.45049999999992</v>
      </c>
      <c r="G123" s="1">
        <v>248.67000000000002</v>
      </c>
      <c r="H123" s="1">
        <v>673.2059999999999</v>
      </c>
      <c r="I123" s="1">
        <v>490.30050000000006</v>
      </c>
      <c r="J123" s="1">
        <v>313.79999999999995</v>
      </c>
      <c r="K123" s="1">
        <v>556.13699999999994</v>
      </c>
      <c r="L123" s="1">
        <v>753.06299999999999</v>
      </c>
      <c r="M123" s="1">
        <v>811.36800000000005</v>
      </c>
      <c r="N123" s="1">
        <v>107.92500000000001</v>
      </c>
      <c r="O123" s="1">
        <v>511.27500000000003</v>
      </c>
      <c r="P123" s="1">
        <v>308.0745</v>
      </c>
      <c r="Q123" s="4">
        <v>453.38699999999994</v>
      </c>
      <c r="R123" s="1">
        <v>169.17449999999999</v>
      </c>
      <c r="S123" s="1">
        <v>428.05050000000006</v>
      </c>
      <c r="T123" s="1">
        <v>689.05649999999991</v>
      </c>
      <c r="U123" s="1">
        <v>780.67500000000007</v>
      </c>
      <c r="V123" s="1">
        <v>1027.5</v>
      </c>
      <c r="W123" s="1">
        <v>427.27500000000003</v>
      </c>
      <c r="X123" s="1">
        <v>1340.4</v>
      </c>
      <c r="Y123" s="1">
        <v>643.33799999999997</v>
      </c>
      <c r="Z123" s="1">
        <v>789.25650000000007</v>
      </c>
      <c r="AA123" s="3">
        <v>15000</v>
      </c>
      <c r="AB123" s="1">
        <v>10007.264000000001</v>
      </c>
    </row>
    <row r="124" spans="1:28" x14ac:dyDescent="0.25">
      <c r="A124" s="1">
        <v>123</v>
      </c>
      <c r="B124" s="2">
        <v>49341</v>
      </c>
      <c r="C124" s="1">
        <v>1625.5515</v>
      </c>
      <c r="D124" s="1">
        <v>202.30199999999999</v>
      </c>
      <c r="E124" s="1">
        <v>689.33399999999995</v>
      </c>
      <c r="F124" s="1">
        <v>959.44350000000009</v>
      </c>
      <c r="G124" s="1">
        <v>246.75</v>
      </c>
      <c r="H124" s="1">
        <v>671.97300000000007</v>
      </c>
      <c r="I124" s="1">
        <v>489.38699999999994</v>
      </c>
      <c r="J124" s="1">
        <v>312.96750000000003</v>
      </c>
      <c r="K124" s="1">
        <v>554.1105</v>
      </c>
      <c r="L124" s="1">
        <v>747.048</v>
      </c>
      <c r="M124" s="1">
        <v>806.78250000000003</v>
      </c>
      <c r="N124" s="1">
        <v>106.76610000000001</v>
      </c>
      <c r="O124" s="1">
        <v>507.94350000000003</v>
      </c>
      <c r="P124" s="1">
        <v>305.976</v>
      </c>
      <c r="Q124" s="4">
        <v>452.73749999999995</v>
      </c>
      <c r="R124" s="1">
        <v>167.4915</v>
      </c>
      <c r="S124" s="1">
        <v>427.125</v>
      </c>
      <c r="T124" s="1">
        <v>684.6345</v>
      </c>
      <c r="U124" s="1">
        <v>776.34750000000008</v>
      </c>
      <c r="V124" s="1">
        <v>1023.7739999999999</v>
      </c>
      <c r="W124" s="1">
        <v>424.72950000000003</v>
      </c>
      <c r="X124" s="1">
        <v>1338.1935000000001</v>
      </c>
      <c r="Y124" s="1">
        <v>641.45849999999996</v>
      </c>
      <c r="Z124" s="1">
        <v>781.46399999999994</v>
      </c>
      <c r="AA124" s="3">
        <v>15000</v>
      </c>
      <c r="AB124" s="1">
        <v>9962.4794000000002</v>
      </c>
    </row>
    <row r="125" spans="1:28" x14ac:dyDescent="0.25">
      <c r="A125" s="1">
        <v>124</v>
      </c>
      <c r="B125" s="2">
        <v>49369</v>
      </c>
      <c r="C125" s="1">
        <v>1621.0155</v>
      </c>
      <c r="D125" s="1">
        <v>201.23849999999999</v>
      </c>
      <c r="E125" s="1">
        <v>687.1875</v>
      </c>
      <c r="F125" s="1">
        <v>954.447</v>
      </c>
      <c r="G125" s="1">
        <v>244.79399999999998</v>
      </c>
      <c r="H125" s="1">
        <v>670.73249999999996</v>
      </c>
      <c r="I125" s="1">
        <v>488.49149999999997</v>
      </c>
      <c r="J125" s="1">
        <v>312.14550000000003</v>
      </c>
      <c r="K125" s="1">
        <v>552.07799999999997</v>
      </c>
      <c r="L125" s="1">
        <v>741.09749999999997</v>
      </c>
      <c r="M125" s="1">
        <v>802.2405</v>
      </c>
      <c r="N125" s="1">
        <v>105.70155</v>
      </c>
      <c r="O125" s="1">
        <v>504.58050000000003</v>
      </c>
      <c r="P125" s="1">
        <v>303.87149999999997</v>
      </c>
      <c r="Q125" s="4">
        <v>452.16600000000005</v>
      </c>
      <c r="R125" s="1">
        <v>165.822</v>
      </c>
      <c r="S125" s="1">
        <v>426.26550000000003</v>
      </c>
      <c r="T125" s="1">
        <v>680.28600000000006</v>
      </c>
      <c r="U125" s="1">
        <v>772.04099999999994</v>
      </c>
      <c r="V125" s="1">
        <v>1019.9024999999999</v>
      </c>
      <c r="W125" s="1">
        <v>422.214</v>
      </c>
      <c r="X125" s="1">
        <v>1335.9914999999999</v>
      </c>
      <c r="Y125" s="1">
        <v>639.59249999999997</v>
      </c>
      <c r="Z125" s="1">
        <v>773.91000000000008</v>
      </c>
      <c r="AA125" s="3">
        <v>15000</v>
      </c>
      <c r="AB125" s="1">
        <v>9918.1786999999986</v>
      </c>
    </row>
    <row r="126" spans="1:28" x14ac:dyDescent="0.25">
      <c r="A126" s="1">
        <v>125</v>
      </c>
      <c r="B126" s="2">
        <v>49400</v>
      </c>
      <c r="C126" s="1">
        <v>1616.7360000000001</v>
      </c>
      <c r="D126" s="1">
        <v>200.1705</v>
      </c>
      <c r="E126" s="1">
        <v>684.97499999999991</v>
      </c>
      <c r="F126" s="1">
        <v>949.22550000000001</v>
      </c>
      <c r="G126" s="1">
        <v>243.048</v>
      </c>
      <c r="H126" s="1">
        <v>669.56850000000009</v>
      </c>
      <c r="I126" s="1">
        <v>487.52549999999997</v>
      </c>
      <c r="J126" s="1">
        <v>311.29949999999997</v>
      </c>
      <c r="K126" s="1">
        <v>549.92550000000006</v>
      </c>
      <c r="L126" s="1">
        <v>734.8934999999999</v>
      </c>
      <c r="M126" s="1">
        <v>797.5184999999999</v>
      </c>
      <c r="N126" s="1">
        <v>104.57505</v>
      </c>
      <c r="O126" s="1">
        <v>501.04950000000002</v>
      </c>
      <c r="P126" s="1">
        <v>301.75049999999999</v>
      </c>
      <c r="Q126" s="4">
        <v>451.62150000000003</v>
      </c>
      <c r="R126" s="1">
        <v>164.14950000000002</v>
      </c>
      <c r="S126" s="1">
        <v>425.53800000000001</v>
      </c>
      <c r="T126" s="1">
        <v>675.8565000000001</v>
      </c>
      <c r="U126" s="1">
        <v>767.59950000000003</v>
      </c>
      <c r="V126" s="1">
        <v>1015.7505000000001</v>
      </c>
      <c r="W126" s="1">
        <v>419.56200000000001</v>
      </c>
      <c r="X126" s="1">
        <v>1333.6995000000002</v>
      </c>
      <c r="Y126" s="1">
        <v>637.65899999999999</v>
      </c>
      <c r="Z126" s="1">
        <v>766.32449999999994</v>
      </c>
      <c r="AA126" s="3">
        <v>15000</v>
      </c>
      <c r="AB126" s="1">
        <v>9872.9247000000014</v>
      </c>
    </row>
    <row r="127" spans="1:28" x14ac:dyDescent="0.25">
      <c r="A127" s="1">
        <v>126</v>
      </c>
      <c r="B127" s="2">
        <v>49430</v>
      </c>
      <c r="C127" s="1">
        <v>1612.4505000000001</v>
      </c>
      <c r="D127" s="1">
        <v>199.077</v>
      </c>
      <c r="E127" s="1">
        <v>682.91700000000003</v>
      </c>
      <c r="F127" s="1">
        <v>944.45549999999992</v>
      </c>
      <c r="G127" s="1">
        <v>241.33350000000002</v>
      </c>
      <c r="H127" s="1">
        <v>668.34749999999997</v>
      </c>
      <c r="I127" s="1">
        <v>486.65250000000003</v>
      </c>
      <c r="J127" s="1">
        <v>310.5</v>
      </c>
      <c r="K127" s="1">
        <v>547.947</v>
      </c>
      <c r="L127" s="1">
        <v>729.35699999999997</v>
      </c>
      <c r="M127" s="1">
        <v>793.2405</v>
      </c>
      <c r="N127" s="1">
        <v>103.52414999999999</v>
      </c>
      <c r="O127" s="1">
        <v>497.85450000000003</v>
      </c>
      <c r="P127" s="1">
        <v>299.709</v>
      </c>
      <c r="Q127" s="4">
        <v>450.98700000000002</v>
      </c>
      <c r="R127" s="1">
        <v>162.5805</v>
      </c>
      <c r="S127" s="1">
        <v>424.947</v>
      </c>
      <c r="T127" s="1">
        <v>671.89049999999997</v>
      </c>
      <c r="U127" s="1">
        <v>763.548</v>
      </c>
      <c r="V127" s="1">
        <v>1011.8715</v>
      </c>
      <c r="W127" s="1">
        <v>417.21749999999997</v>
      </c>
      <c r="X127" s="1">
        <v>1331.6370000000002</v>
      </c>
      <c r="Y127" s="1">
        <v>635.92200000000003</v>
      </c>
      <c r="Z127" s="1">
        <v>759.56850000000009</v>
      </c>
      <c r="AA127" s="3">
        <v>15000</v>
      </c>
      <c r="AB127" s="1">
        <v>9831.3631000000005</v>
      </c>
    </row>
    <row r="128" spans="1:28" x14ac:dyDescent="0.25">
      <c r="A128" s="1">
        <v>127</v>
      </c>
      <c r="B128" s="2">
        <v>49461</v>
      </c>
      <c r="C128" s="1">
        <v>1608.4109999999998</v>
      </c>
      <c r="D128" s="1">
        <v>198.03449999999998</v>
      </c>
      <c r="E128" s="1">
        <v>680.67450000000008</v>
      </c>
      <c r="F128" s="1">
        <v>939.28800000000001</v>
      </c>
      <c r="G128" s="1">
        <v>239.40450000000001</v>
      </c>
      <c r="H128" s="1">
        <v>667.17599999999993</v>
      </c>
      <c r="I128" s="1">
        <v>485.67450000000002</v>
      </c>
      <c r="J128" s="1">
        <v>309.67499999999995</v>
      </c>
      <c r="K128" s="1">
        <v>545.77500000000009</v>
      </c>
      <c r="L128" s="1">
        <v>723.42450000000008</v>
      </c>
      <c r="M128" s="1">
        <v>788.65050000000008</v>
      </c>
      <c r="N128" s="1">
        <v>102.44999999999999</v>
      </c>
      <c r="O128" s="1">
        <v>494.44949999999994</v>
      </c>
      <c r="P128" s="1">
        <v>297.60000000000002</v>
      </c>
      <c r="Q128" s="4">
        <v>450.49650000000003</v>
      </c>
      <c r="R128" s="1">
        <v>160.97549999999998</v>
      </c>
      <c r="S128" s="1">
        <v>424.42499999999995</v>
      </c>
      <c r="T128" s="1">
        <v>667.75049999999999</v>
      </c>
      <c r="U128" s="1">
        <v>759.25049999999999</v>
      </c>
      <c r="V128" s="1">
        <v>1007.5500000000001</v>
      </c>
      <c r="W128" s="1">
        <v>414.71250000000003</v>
      </c>
      <c r="X128" s="1">
        <v>1329.4005000000002</v>
      </c>
      <c r="Y128" s="1">
        <v>634.04700000000003</v>
      </c>
      <c r="Z128" s="1">
        <v>752.50649999999996</v>
      </c>
      <c r="AA128" s="3">
        <v>15000</v>
      </c>
      <c r="AB128" s="1">
        <v>9787.52</v>
      </c>
    </row>
    <row r="129" spans="1:28" x14ac:dyDescent="0.25">
      <c r="A129" s="1">
        <v>128</v>
      </c>
      <c r="B129" s="2">
        <v>49491</v>
      </c>
      <c r="C129" s="1">
        <v>1604.346</v>
      </c>
      <c r="D129" s="1">
        <v>196.99799999999999</v>
      </c>
      <c r="E129" s="1">
        <v>678.56850000000009</v>
      </c>
      <c r="F129" s="1">
        <v>934.548</v>
      </c>
      <c r="G129" s="1">
        <v>237.642</v>
      </c>
      <c r="H129" s="1">
        <v>665.97300000000007</v>
      </c>
      <c r="I129" s="1">
        <v>484.839</v>
      </c>
      <c r="J129" s="1">
        <v>308.90250000000003</v>
      </c>
      <c r="K129" s="1">
        <v>543.72</v>
      </c>
      <c r="L129" s="1">
        <v>717.65250000000003</v>
      </c>
      <c r="M129" s="1">
        <v>784.37249999999995</v>
      </c>
      <c r="N129" s="1">
        <v>101.41934999999999</v>
      </c>
      <c r="O129" s="1">
        <v>491.202</v>
      </c>
      <c r="P129" s="1">
        <v>295.59749999999997</v>
      </c>
      <c r="Q129" s="4">
        <v>449.97450000000003</v>
      </c>
      <c r="R129" s="1">
        <v>159.435</v>
      </c>
      <c r="S129" s="1">
        <v>423.96749999999997</v>
      </c>
      <c r="T129" s="1">
        <v>663.9615</v>
      </c>
      <c r="U129" s="1">
        <v>755.25</v>
      </c>
      <c r="V129" s="1">
        <v>1003.5</v>
      </c>
      <c r="W129" s="1">
        <v>412.40250000000003</v>
      </c>
      <c r="X129" s="1">
        <v>1327.4024999999999</v>
      </c>
      <c r="Y129" s="1">
        <v>632.34300000000007</v>
      </c>
      <c r="Z129" s="1">
        <v>746.02649999999994</v>
      </c>
      <c r="AA129" s="3">
        <v>15000</v>
      </c>
      <c r="AB129" s="1">
        <v>9746.4149000000016</v>
      </c>
    </row>
    <row r="130" spans="1:28" x14ac:dyDescent="0.25">
      <c r="A130" s="1">
        <v>129</v>
      </c>
      <c r="B130" s="2">
        <v>49522</v>
      </c>
      <c r="C130" s="1">
        <v>1594.3530000000001</v>
      </c>
      <c r="D130" s="1">
        <v>195.15450000000001</v>
      </c>
      <c r="E130" s="1">
        <v>676.572</v>
      </c>
      <c r="F130" s="1">
        <v>930.072</v>
      </c>
      <c r="G130" s="1">
        <v>234.98400000000001</v>
      </c>
      <c r="H130" s="1">
        <v>662.60550000000001</v>
      </c>
      <c r="I130" s="1">
        <v>484.089</v>
      </c>
      <c r="J130" s="1">
        <v>308.178</v>
      </c>
      <c r="K130" s="1">
        <v>541.77149999999995</v>
      </c>
      <c r="L130" s="1">
        <v>712.11300000000006</v>
      </c>
      <c r="M130" s="1">
        <v>780.375</v>
      </c>
      <c r="N130" s="1">
        <v>100.42740000000001</v>
      </c>
      <c r="O130" s="1">
        <v>488.226</v>
      </c>
      <c r="P130" s="1">
        <v>293.661</v>
      </c>
      <c r="Q130" s="4">
        <v>449.553</v>
      </c>
      <c r="R130" s="1">
        <v>158.0085</v>
      </c>
      <c r="S130" s="1">
        <v>423.59249999999997</v>
      </c>
      <c r="T130" s="1">
        <v>660.45299999999997</v>
      </c>
      <c r="U130" s="1">
        <v>751.524</v>
      </c>
      <c r="V130" s="1">
        <v>999.53250000000003</v>
      </c>
      <c r="W130" s="1">
        <v>410.25</v>
      </c>
      <c r="X130" s="1">
        <v>1325.5409999999999</v>
      </c>
      <c r="Y130" s="1">
        <v>630.77099999999996</v>
      </c>
      <c r="Z130" s="1">
        <v>739.99649999999997</v>
      </c>
      <c r="AA130" s="3">
        <v>15000</v>
      </c>
      <c r="AB130" s="1">
        <v>9700.9445999999989</v>
      </c>
    </row>
    <row r="131" spans="1:28" x14ac:dyDescent="0.25">
      <c r="A131" s="1">
        <v>130</v>
      </c>
      <c r="B131" s="2">
        <v>49553</v>
      </c>
      <c r="C131" s="1">
        <v>1591.1609999999998</v>
      </c>
      <c r="D131" s="1">
        <v>194.24849999999998</v>
      </c>
      <c r="E131" s="1">
        <v>674.23050000000001</v>
      </c>
      <c r="F131" s="1">
        <v>924.81749999999988</v>
      </c>
      <c r="G131" s="1">
        <v>233.67599999999999</v>
      </c>
      <c r="H131" s="1">
        <v>661.57349999999997</v>
      </c>
      <c r="I131" s="1">
        <v>483.13350000000003</v>
      </c>
      <c r="J131" s="1">
        <v>307.28550000000001</v>
      </c>
      <c r="K131" s="1">
        <v>539.48400000000004</v>
      </c>
      <c r="L131" s="1">
        <v>705.8309999999999</v>
      </c>
      <c r="M131" s="1">
        <v>775.72050000000013</v>
      </c>
      <c r="N131" s="1">
        <v>99.348150000000004</v>
      </c>
      <c r="O131" s="1">
        <v>484.63350000000003</v>
      </c>
      <c r="P131" s="1">
        <v>291.50850000000003</v>
      </c>
      <c r="Q131" s="4">
        <v>449.16600000000005</v>
      </c>
      <c r="R131" s="1">
        <v>156.375</v>
      </c>
      <c r="S131" s="1">
        <v>423.28199999999998</v>
      </c>
      <c r="T131" s="1">
        <v>656.46449999999993</v>
      </c>
      <c r="U131" s="1">
        <v>747.21449999999993</v>
      </c>
      <c r="V131" s="1">
        <v>994.7684999999999</v>
      </c>
      <c r="W131" s="1">
        <v>407.77200000000005</v>
      </c>
      <c r="X131" s="1">
        <v>1323.4289999999999</v>
      </c>
      <c r="Y131" s="1">
        <v>628.9425</v>
      </c>
      <c r="Z131" s="1">
        <v>733.25249999999994</v>
      </c>
      <c r="AA131" s="3">
        <v>15000</v>
      </c>
      <c r="AB131" s="1">
        <v>9657.9200999999994</v>
      </c>
    </row>
    <row r="132" spans="1:28" x14ac:dyDescent="0.25">
      <c r="A132" s="1">
        <v>131</v>
      </c>
      <c r="B132" s="2">
        <v>49583</v>
      </c>
      <c r="C132" s="1">
        <v>1587.5954999999999</v>
      </c>
      <c r="D132" s="1">
        <v>193.2405</v>
      </c>
      <c r="E132" s="1">
        <v>672.33899999999994</v>
      </c>
      <c r="F132" s="1">
        <v>920.625</v>
      </c>
      <c r="G132" s="1">
        <v>232.11900000000003</v>
      </c>
      <c r="H132" s="1">
        <v>660.44399999999996</v>
      </c>
      <c r="I132" s="1">
        <v>482.34749999999997</v>
      </c>
      <c r="J132" s="1">
        <v>306.62850000000003</v>
      </c>
      <c r="K132" s="1">
        <v>537.62850000000003</v>
      </c>
      <c r="L132" s="1">
        <v>701.03250000000003</v>
      </c>
      <c r="M132" s="1">
        <v>772.06500000000005</v>
      </c>
      <c r="N132" s="1">
        <v>98.4435</v>
      </c>
      <c r="O132" s="1">
        <v>481.71749999999997</v>
      </c>
      <c r="P132" s="1">
        <v>289.71750000000003</v>
      </c>
      <c r="Q132" s="4">
        <v>448.72799999999995</v>
      </c>
      <c r="R132" s="1">
        <v>155.0805</v>
      </c>
      <c r="S132" s="1">
        <v>423.048</v>
      </c>
      <c r="T132" s="1">
        <v>653.31600000000003</v>
      </c>
      <c r="U132" s="1">
        <v>743.80649999999991</v>
      </c>
      <c r="V132" s="1">
        <v>990.91950000000008</v>
      </c>
      <c r="W132" s="1">
        <v>405.798</v>
      </c>
      <c r="X132" s="1">
        <v>1321.7414999999999</v>
      </c>
      <c r="Y132" s="1">
        <v>627.48450000000003</v>
      </c>
      <c r="Z132" s="1">
        <v>727.923</v>
      </c>
      <c r="AA132" s="3">
        <v>15000</v>
      </c>
      <c r="AB132" s="1">
        <v>9622.3090000000011</v>
      </c>
    </row>
    <row r="133" spans="1:28" x14ac:dyDescent="0.25">
      <c r="A133" s="1">
        <v>132</v>
      </c>
      <c r="B133" s="2">
        <v>49614</v>
      </c>
      <c r="C133" s="1">
        <v>1584.192</v>
      </c>
      <c r="D133" s="1">
        <v>192.27299999999997</v>
      </c>
      <c r="E133" s="1">
        <v>670.09950000000003</v>
      </c>
      <c r="F133" s="1">
        <v>915.76200000000006</v>
      </c>
      <c r="G133" s="1">
        <v>230.02950000000001</v>
      </c>
      <c r="H133" s="1">
        <v>659.31449999999995</v>
      </c>
      <c r="I133" s="1">
        <v>481.42499999999995</v>
      </c>
      <c r="J133" s="1">
        <v>305.8245</v>
      </c>
      <c r="K133" s="1">
        <v>535.46849999999995</v>
      </c>
      <c r="L133" s="1">
        <v>695.42550000000006</v>
      </c>
      <c r="M133" s="1">
        <v>767.79300000000001</v>
      </c>
      <c r="N133" s="1">
        <v>97.399950000000004</v>
      </c>
      <c r="O133" s="1">
        <v>478.42499999999995</v>
      </c>
      <c r="P133" s="1">
        <v>287.70000000000005</v>
      </c>
      <c r="Q133" s="4">
        <v>448.40250000000003</v>
      </c>
      <c r="R133" s="1">
        <v>153.5745</v>
      </c>
      <c r="S133" s="1">
        <v>422.83799999999997</v>
      </c>
      <c r="T133" s="1">
        <v>649.73099999999999</v>
      </c>
      <c r="U133" s="1">
        <v>739.90049999999997</v>
      </c>
      <c r="V133" s="1">
        <v>986.29950000000008</v>
      </c>
      <c r="W133" s="1">
        <v>403.36200000000002</v>
      </c>
      <c r="X133" s="1">
        <v>1319.7494999999999</v>
      </c>
      <c r="Y133" s="1">
        <v>625.78499999999997</v>
      </c>
      <c r="Z133" s="1">
        <v>721.91849999999999</v>
      </c>
      <c r="AA133" s="3">
        <v>15000</v>
      </c>
      <c r="AB133" s="1">
        <v>9581.5183000000015</v>
      </c>
    </row>
    <row r="134" spans="1:28" x14ac:dyDescent="0.25">
      <c r="A134" s="1">
        <v>133</v>
      </c>
      <c r="B134" s="2">
        <v>49644</v>
      </c>
      <c r="C134" s="1">
        <v>1580.7314999999999</v>
      </c>
      <c r="D134" s="1">
        <v>191.44499999999999</v>
      </c>
      <c r="E134" s="1">
        <v>668.03250000000003</v>
      </c>
      <c r="F134" s="1">
        <v>911.31</v>
      </c>
      <c r="G134" s="1">
        <v>228.47399999999999</v>
      </c>
      <c r="H134" s="1">
        <v>658.16399999999999</v>
      </c>
      <c r="I134" s="1">
        <v>480.60450000000003</v>
      </c>
      <c r="J134" s="1">
        <v>305.12850000000003</v>
      </c>
      <c r="K134" s="1">
        <v>533.47350000000006</v>
      </c>
      <c r="L134" s="1">
        <v>690.49649999999997</v>
      </c>
      <c r="M134" s="1">
        <v>763.92899999999997</v>
      </c>
      <c r="N134" s="1">
        <v>96.459599999999995</v>
      </c>
      <c r="O134" s="1">
        <v>475.428</v>
      </c>
      <c r="P134" s="1">
        <v>285.774</v>
      </c>
      <c r="Q134" s="4">
        <v>447.98700000000002</v>
      </c>
      <c r="R134" s="1">
        <v>152.202</v>
      </c>
      <c r="S134" s="1">
        <v>422.697</v>
      </c>
      <c r="T134" s="1">
        <v>646.548</v>
      </c>
      <c r="U134" s="1">
        <v>736.30649999999991</v>
      </c>
      <c r="V134" s="1">
        <v>982.01549999999997</v>
      </c>
      <c r="W134" s="1">
        <v>401.08050000000003</v>
      </c>
      <c r="X134" s="1">
        <v>1317.8955000000001</v>
      </c>
      <c r="Y134" s="1">
        <v>624.23849999999993</v>
      </c>
      <c r="Z134" s="1">
        <v>716.53499999999997</v>
      </c>
      <c r="AA134" s="3">
        <v>15000</v>
      </c>
      <c r="AB134" s="1">
        <v>9544.4233999999997</v>
      </c>
    </row>
    <row r="135" spans="1:28" x14ac:dyDescent="0.25">
      <c r="A135" s="1">
        <v>134</v>
      </c>
      <c r="B135" s="2">
        <v>49675</v>
      </c>
      <c r="C135" s="1">
        <v>1577.442</v>
      </c>
      <c r="D135" s="1">
        <v>190.2225</v>
      </c>
      <c r="E135" s="1">
        <v>665.77500000000009</v>
      </c>
      <c r="F135" s="1">
        <v>906.4994999999999</v>
      </c>
      <c r="G135" s="1">
        <v>225.94050000000001</v>
      </c>
      <c r="H135" s="1">
        <v>657.07950000000005</v>
      </c>
      <c r="I135" s="1">
        <v>479.625</v>
      </c>
      <c r="J135" s="1">
        <v>304.35000000000002</v>
      </c>
      <c r="K135" s="1">
        <v>531.29999999999995</v>
      </c>
      <c r="L135" s="1">
        <v>685.46250000000009</v>
      </c>
      <c r="M135" s="1">
        <v>759.75</v>
      </c>
      <c r="N135" s="1">
        <v>95.449950000000001</v>
      </c>
      <c r="O135" s="1">
        <v>472.17450000000002</v>
      </c>
      <c r="P135" s="1">
        <v>283.84950000000003</v>
      </c>
      <c r="Q135" s="4">
        <v>447.66600000000005</v>
      </c>
      <c r="R135" s="1">
        <v>150.77549999999999</v>
      </c>
      <c r="S135" s="1">
        <v>422.53800000000001</v>
      </c>
      <c r="T135" s="1">
        <v>643.20000000000005</v>
      </c>
      <c r="U135" s="1">
        <v>732.57449999999994</v>
      </c>
      <c r="V135" s="1">
        <v>977.35050000000001</v>
      </c>
      <c r="W135" s="1">
        <v>398.73749999999995</v>
      </c>
      <c r="X135" s="1">
        <v>1315.9245000000001</v>
      </c>
      <c r="Y135" s="1">
        <v>622.57500000000005</v>
      </c>
      <c r="Z135" s="1">
        <v>710.84400000000005</v>
      </c>
      <c r="AA135" s="3">
        <v>15000</v>
      </c>
      <c r="AB135" s="1">
        <v>9504.4513000000006</v>
      </c>
    </row>
    <row r="136" spans="1:28" x14ac:dyDescent="0.25">
      <c r="A136" s="1">
        <v>135</v>
      </c>
      <c r="B136" s="2">
        <v>49706</v>
      </c>
      <c r="C136" s="1">
        <v>1574.0684999999999</v>
      </c>
      <c r="D136" s="1">
        <v>189.21299999999999</v>
      </c>
      <c r="E136" s="1">
        <v>663.66600000000005</v>
      </c>
      <c r="F136" s="1">
        <v>902.03250000000003</v>
      </c>
      <c r="G136" s="1">
        <v>224.23949999999999</v>
      </c>
      <c r="H136" s="1">
        <v>655.93049999999994</v>
      </c>
      <c r="I136" s="1">
        <v>478.71749999999997</v>
      </c>
      <c r="J136" s="1">
        <v>303.62850000000003</v>
      </c>
      <c r="K136" s="1">
        <v>529.2405</v>
      </c>
      <c r="L136" s="1">
        <v>680.91600000000005</v>
      </c>
      <c r="M136" s="1">
        <v>755.86649999999997</v>
      </c>
      <c r="N136" s="1">
        <v>94.572599999999994</v>
      </c>
      <c r="O136" s="1">
        <v>469.11300000000006</v>
      </c>
      <c r="P136" s="1">
        <v>281.976</v>
      </c>
      <c r="Q136" s="4">
        <v>447.23700000000002</v>
      </c>
      <c r="R136" s="1">
        <v>149.46780000000001</v>
      </c>
      <c r="S136" s="1">
        <v>422.39549999999997</v>
      </c>
      <c r="T136" s="1">
        <v>640.101</v>
      </c>
      <c r="U136" s="1">
        <v>729</v>
      </c>
      <c r="V136" s="1">
        <v>972.87149999999997</v>
      </c>
      <c r="W136" s="1">
        <v>396.58050000000003</v>
      </c>
      <c r="X136" s="1">
        <v>1314.048</v>
      </c>
      <c r="Y136" s="1">
        <v>621.00900000000001</v>
      </c>
      <c r="Z136" s="1">
        <v>705.61649999999997</v>
      </c>
      <c r="AA136" s="3">
        <v>15000</v>
      </c>
      <c r="AB136" s="1">
        <v>9467.4245999999985</v>
      </c>
    </row>
    <row r="137" spans="1:28" x14ac:dyDescent="0.25">
      <c r="A137" s="1">
        <v>136</v>
      </c>
      <c r="B137" s="2">
        <v>49735</v>
      </c>
      <c r="C137" s="1">
        <v>1570.761</v>
      </c>
      <c r="D137" s="1">
        <v>188.232</v>
      </c>
      <c r="E137" s="1">
        <v>661.56000000000006</v>
      </c>
      <c r="F137" s="1">
        <v>897.58049999999992</v>
      </c>
      <c r="G137" s="1">
        <v>222.46199999999999</v>
      </c>
      <c r="H137" s="1">
        <v>654.83249999999998</v>
      </c>
      <c r="I137" s="1">
        <v>477.798</v>
      </c>
      <c r="J137" s="1">
        <v>302.90250000000003</v>
      </c>
      <c r="K137" s="1">
        <v>527.18999999999994</v>
      </c>
      <c r="L137" s="1">
        <v>676.28250000000003</v>
      </c>
      <c r="M137" s="1">
        <v>752.05649999999991</v>
      </c>
      <c r="N137" s="1">
        <v>93.629100000000008</v>
      </c>
      <c r="O137" s="1">
        <v>466.01550000000003</v>
      </c>
      <c r="P137" s="1">
        <v>280.113</v>
      </c>
      <c r="Q137" s="4">
        <v>446.86649999999997</v>
      </c>
      <c r="R137" s="1">
        <v>148.08870000000002</v>
      </c>
      <c r="S137" s="1">
        <v>422.25</v>
      </c>
      <c r="T137" s="1">
        <v>637.101</v>
      </c>
      <c r="U137" s="1">
        <v>725.39549999999997</v>
      </c>
      <c r="V137" s="1">
        <v>968.37149999999997</v>
      </c>
      <c r="W137" s="1">
        <v>394.428</v>
      </c>
      <c r="X137" s="1">
        <v>1312.1370000000002</v>
      </c>
      <c r="Y137" s="1">
        <v>619.47300000000007</v>
      </c>
      <c r="Z137" s="1">
        <v>700.50600000000009</v>
      </c>
      <c r="AA137" s="3">
        <v>15000</v>
      </c>
      <c r="AB137" s="1">
        <v>9430.4382000000023</v>
      </c>
    </row>
    <row r="138" spans="1:28" x14ac:dyDescent="0.25">
      <c r="A138" s="1">
        <v>137</v>
      </c>
      <c r="B138" s="2">
        <v>49766</v>
      </c>
      <c r="C138" s="1">
        <v>1567.6019999999999</v>
      </c>
      <c r="D138" s="1">
        <v>187.28100000000001</v>
      </c>
      <c r="E138" s="1">
        <v>659.36850000000004</v>
      </c>
      <c r="F138" s="1">
        <v>892.88700000000006</v>
      </c>
      <c r="G138" s="1">
        <v>220.79399999999998</v>
      </c>
      <c r="H138" s="1">
        <v>653.72249999999997</v>
      </c>
      <c r="I138" s="1">
        <v>476.84999999999997</v>
      </c>
      <c r="J138" s="1">
        <v>302.17499999999995</v>
      </c>
      <c r="K138" s="1">
        <v>525</v>
      </c>
      <c r="L138" s="1">
        <v>670.63799999999992</v>
      </c>
      <c r="M138" s="1">
        <v>748.125</v>
      </c>
      <c r="N138" s="1">
        <v>92.674949999999995</v>
      </c>
      <c r="O138" s="1">
        <v>462.77549999999997</v>
      </c>
      <c r="P138" s="1">
        <v>278.22450000000003</v>
      </c>
      <c r="Q138" s="4">
        <v>446.49149999999997</v>
      </c>
      <c r="R138" s="1">
        <v>146.74994999999998</v>
      </c>
      <c r="S138" s="1">
        <v>422.07449999999994</v>
      </c>
      <c r="T138" s="1">
        <v>634.01250000000005</v>
      </c>
      <c r="U138" s="1">
        <v>721.60050000000001</v>
      </c>
      <c r="V138" s="1">
        <v>963.59999999999991</v>
      </c>
      <c r="W138" s="1">
        <v>392.21250000000003</v>
      </c>
      <c r="X138" s="1">
        <v>1310.1750000000002</v>
      </c>
      <c r="Y138" s="1">
        <v>617.87250000000006</v>
      </c>
      <c r="Z138" s="1">
        <v>695.29349999999999</v>
      </c>
      <c r="AA138" s="3">
        <v>15000</v>
      </c>
      <c r="AB138" s="1">
        <v>9391.8646000000008</v>
      </c>
    </row>
    <row r="139" spans="1:28" x14ac:dyDescent="0.25">
      <c r="A139" s="1">
        <v>138</v>
      </c>
      <c r="B139" s="2">
        <v>49796</v>
      </c>
      <c r="C139" s="1">
        <v>1564.3815</v>
      </c>
      <c r="D139" s="1">
        <v>186.3075</v>
      </c>
      <c r="E139" s="1">
        <v>657.36300000000006</v>
      </c>
      <c r="F139" s="1">
        <v>888.65249999999992</v>
      </c>
      <c r="G139" s="1">
        <v>219.03000000000003</v>
      </c>
      <c r="H139" s="1">
        <v>652.61099999999999</v>
      </c>
      <c r="I139" s="1">
        <v>475.95899999999995</v>
      </c>
      <c r="J139" s="1">
        <v>301.524</v>
      </c>
      <c r="K139" s="1">
        <v>522.9855</v>
      </c>
      <c r="L139" s="1">
        <v>665.93999999999994</v>
      </c>
      <c r="M139" s="1">
        <v>744.60450000000003</v>
      </c>
      <c r="N139" s="1">
        <v>91.790400000000005</v>
      </c>
      <c r="O139" s="1">
        <v>459.822</v>
      </c>
      <c r="P139" s="1">
        <v>276.435</v>
      </c>
      <c r="Q139" s="4">
        <v>446.08799999999997</v>
      </c>
      <c r="R139" s="1">
        <v>145.5</v>
      </c>
      <c r="S139" s="1">
        <v>421.875</v>
      </c>
      <c r="T139" s="1">
        <v>631.28250000000003</v>
      </c>
      <c r="U139" s="1">
        <v>718.28250000000003</v>
      </c>
      <c r="V139" s="1">
        <v>959.178</v>
      </c>
      <c r="W139" s="1">
        <v>390.19350000000003</v>
      </c>
      <c r="X139" s="1">
        <v>1308.2909999999999</v>
      </c>
      <c r="Y139" s="1">
        <v>616.42499999999995</v>
      </c>
      <c r="Z139" s="1">
        <v>690.5625</v>
      </c>
      <c r="AA139" s="3">
        <v>15000</v>
      </c>
      <c r="AB139" s="1">
        <v>9356.4915999999994</v>
      </c>
    </row>
    <row r="140" spans="1:28" x14ac:dyDescent="0.25">
      <c r="A140" s="1">
        <v>139</v>
      </c>
      <c r="B140" s="2">
        <v>49827</v>
      </c>
      <c r="C140" s="1">
        <v>1561.3035</v>
      </c>
      <c r="D140" s="1">
        <v>185.523</v>
      </c>
      <c r="E140" s="1">
        <v>655.17450000000008</v>
      </c>
      <c r="F140" s="1">
        <v>884.02500000000009</v>
      </c>
      <c r="G140" s="1">
        <v>217.79850000000002</v>
      </c>
      <c r="H140" s="1">
        <v>651.52649999999994</v>
      </c>
      <c r="I140" s="1">
        <v>475.00049999999999</v>
      </c>
      <c r="J140" s="1">
        <v>300.79949999999997</v>
      </c>
      <c r="K140" s="1">
        <v>520.7940000000001</v>
      </c>
      <c r="L140" s="1">
        <v>660.86249999999995</v>
      </c>
      <c r="M140" s="1">
        <v>740.80050000000006</v>
      </c>
      <c r="N140" s="1">
        <v>90.874949999999998</v>
      </c>
      <c r="O140" s="1">
        <v>456.57449999999994</v>
      </c>
      <c r="P140" s="1">
        <v>274.57500000000005</v>
      </c>
      <c r="Q140" s="4">
        <v>445.74149999999997</v>
      </c>
      <c r="R140" s="1">
        <v>144.19995</v>
      </c>
      <c r="S140" s="1">
        <v>421.60050000000001</v>
      </c>
      <c r="T140" s="1">
        <v>628.36200000000008</v>
      </c>
      <c r="U140" s="1">
        <v>714.64949999999999</v>
      </c>
      <c r="V140" s="1">
        <v>954.30000000000007</v>
      </c>
      <c r="W140" s="1">
        <v>388.03800000000001</v>
      </c>
      <c r="X140" s="1">
        <v>1306.3004999999998</v>
      </c>
      <c r="Y140" s="1">
        <v>614.84699999999998</v>
      </c>
      <c r="Z140" s="1">
        <v>685.51199999999994</v>
      </c>
      <c r="AA140" s="3">
        <v>15000</v>
      </c>
      <c r="AB140" s="1">
        <v>9319.2025999999987</v>
      </c>
    </row>
    <row r="141" spans="1:28" x14ac:dyDescent="0.25">
      <c r="A141" s="1">
        <v>140</v>
      </c>
      <c r="B141" s="2">
        <v>49857</v>
      </c>
      <c r="C141" s="1">
        <v>1558.1685</v>
      </c>
      <c r="D141" s="1">
        <v>184.416</v>
      </c>
      <c r="E141" s="1">
        <v>653.11649999999997</v>
      </c>
      <c r="F141" s="1">
        <v>879.81</v>
      </c>
      <c r="G141" s="1">
        <v>216.07649999999998</v>
      </c>
      <c r="H141" s="1">
        <v>650.44949999999994</v>
      </c>
      <c r="I141" s="1">
        <v>474.12150000000003</v>
      </c>
      <c r="J141" s="1">
        <v>300.12149999999997</v>
      </c>
      <c r="K141" s="1">
        <v>518.7405</v>
      </c>
      <c r="L141" s="1">
        <v>655.923</v>
      </c>
      <c r="M141" s="1">
        <v>737.298</v>
      </c>
      <c r="N141" s="1">
        <v>89.951549999999997</v>
      </c>
      <c r="O141" s="1">
        <v>453.55649999999997</v>
      </c>
      <c r="P141" s="1">
        <v>272.85449999999997</v>
      </c>
      <c r="Q141" s="4">
        <v>445.36200000000002</v>
      </c>
      <c r="R141" s="1">
        <v>142.91129999999998</v>
      </c>
      <c r="S141" s="1">
        <v>421.28250000000003</v>
      </c>
      <c r="T141" s="1">
        <v>625.69350000000009</v>
      </c>
      <c r="U141" s="1">
        <v>711.41100000000006</v>
      </c>
      <c r="V141" s="1">
        <v>949.69350000000009</v>
      </c>
      <c r="W141" s="1">
        <v>385.98449999999997</v>
      </c>
      <c r="X141" s="1">
        <v>1304.5409999999999</v>
      </c>
      <c r="Y141" s="1">
        <v>613.428</v>
      </c>
      <c r="Z141" s="1">
        <v>680.928</v>
      </c>
      <c r="AA141" s="3">
        <v>15000</v>
      </c>
      <c r="AB141" s="1">
        <v>9283.6538999999993</v>
      </c>
    </row>
    <row r="142" spans="1:28" x14ac:dyDescent="0.25">
      <c r="A142" s="1">
        <v>141</v>
      </c>
      <c r="B142" s="2">
        <v>49888</v>
      </c>
      <c r="C142" s="1">
        <v>1547.7495000000001</v>
      </c>
      <c r="D142" s="1">
        <v>182.32650000000001</v>
      </c>
      <c r="E142" s="1">
        <v>651.10350000000005</v>
      </c>
      <c r="F142" s="1">
        <v>875.73450000000003</v>
      </c>
      <c r="G142" s="1">
        <v>213.43049999999999</v>
      </c>
      <c r="H142" s="1">
        <v>646.65750000000003</v>
      </c>
      <c r="I142" s="1">
        <v>473.25</v>
      </c>
      <c r="J142" s="1">
        <v>299.51549999999997</v>
      </c>
      <c r="K142" s="1">
        <v>516.74399999999991</v>
      </c>
      <c r="L142" s="1">
        <v>650.86649999999997</v>
      </c>
      <c r="M142" s="1">
        <v>733.86300000000006</v>
      </c>
      <c r="N142" s="1">
        <v>89.080649999999991</v>
      </c>
      <c r="O142" s="1">
        <v>450.62849999999997</v>
      </c>
      <c r="P142" s="1">
        <v>271.137</v>
      </c>
      <c r="Q142" s="4">
        <v>445.00349999999997</v>
      </c>
      <c r="R142" s="1">
        <v>141.70155</v>
      </c>
      <c r="S142" s="1">
        <v>420.89549999999997</v>
      </c>
      <c r="T142" s="1">
        <v>623.202</v>
      </c>
      <c r="U142" s="1">
        <v>708.26549999999997</v>
      </c>
      <c r="V142" s="1">
        <v>945.33899999999994</v>
      </c>
      <c r="W142" s="1">
        <v>384.036</v>
      </c>
      <c r="X142" s="1">
        <v>1302.7739999999999</v>
      </c>
      <c r="Y142" s="1">
        <v>612.07500000000005</v>
      </c>
      <c r="Z142" s="1">
        <v>676.572</v>
      </c>
      <c r="AA142" s="3">
        <v>15000</v>
      </c>
      <c r="AB142" s="1">
        <v>9241.0997999999981</v>
      </c>
    </row>
    <row r="143" spans="1:28" x14ac:dyDescent="0.25">
      <c r="A143" s="1">
        <v>142</v>
      </c>
      <c r="B143" s="2">
        <v>49919</v>
      </c>
      <c r="C143" s="1">
        <v>1545.2460000000001</v>
      </c>
      <c r="D143" s="1">
        <v>181.476</v>
      </c>
      <c r="E143" s="1">
        <v>648.89850000000001</v>
      </c>
      <c r="F143" s="1">
        <v>871.21499999999992</v>
      </c>
      <c r="G143" s="1">
        <v>212.02349999999998</v>
      </c>
      <c r="H143" s="1">
        <v>645.70500000000004</v>
      </c>
      <c r="I143" s="1">
        <v>472.26750000000004</v>
      </c>
      <c r="J143" s="1">
        <v>298.78499999999997</v>
      </c>
      <c r="K143" s="1">
        <v>514.53899999999999</v>
      </c>
      <c r="L143" s="1">
        <v>645.29700000000003</v>
      </c>
      <c r="M143" s="1">
        <v>729.99599999999998</v>
      </c>
      <c r="N143" s="1">
        <v>88.137900000000002</v>
      </c>
      <c r="O143" s="1">
        <v>447.33600000000001</v>
      </c>
      <c r="P143" s="1">
        <v>269.3535</v>
      </c>
      <c r="Q143" s="4">
        <v>444.702</v>
      </c>
      <c r="R143" s="1">
        <v>140.3793</v>
      </c>
      <c r="S143" s="1">
        <v>420.38850000000002</v>
      </c>
      <c r="T143" s="1">
        <v>620.47050000000002</v>
      </c>
      <c r="U143" s="1">
        <v>704.89649999999995</v>
      </c>
      <c r="V143" s="1">
        <v>940.34550000000013</v>
      </c>
      <c r="W143" s="1">
        <v>381.87900000000002</v>
      </c>
      <c r="X143" s="1">
        <v>1300.9395</v>
      </c>
      <c r="Y143" s="1">
        <v>610.58399999999995</v>
      </c>
      <c r="Z143" s="1">
        <v>671.83199999999999</v>
      </c>
      <c r="AA143" s="3">
        <v>15000</v>
      </c>
      <c r="AB143" s="1">
        <v>9204.2178000000022</v>
      </c>
    </row>
    <row r="144" spans="1:28" x14ac:dyDescent="0.25">
      <c r="A144" s="1">
        <v>143</v>
      </c>
      <c r="B144" s="2">
        <v>49949</v>
      </c>
      <c r="C144" s="1">
        <v>1542.5280000000002</v>
      </c>
      <c r="D144" s="1">
        <v>180.696</v>
      </c>
      <c r="E144" s="1">
        <v>647.93399999999997</v>
      </c>
      <c r="F144" s="1">
        <v>867.375</v>
      </c>
      <c r="G144" s="1">
        <v>211.11449999999999</v>
      </c>
      <c r="H144" s="1">
        <v>644.673</v>
      </c>
      <c r="I144" s="1">
        <v>471.60450000000003</v>
      </c>
      <c r="J144" s="1">
        <v>298.23450000000003</v>
      </c>
      <c r="K144" s="1">
        <v>512.61899999999991</v>
      </c>
      <c r="L144" s="1">
        <v>640.68149999999991</v>
      </c>
      <c r="M144" s="1">
        <v>726.71399999999994</v>
      </c>
      <c r="N144" s="1">
        <f>N143*0.99</f>
        <v>87.256521000000006</v>
      </c>
      <c r="O144" s="1">
        <v>443.41949999999997</v>
      </c>
      <c r="P144" s="1">
        <v>296.80650000000003</v>
      </c>
      <c r="Q144" s="4">
        <v>444.33600000000001</v>
      </c>
      <c r="R144" s="1">
        <v>139.40325000000001</v>
      </c>
      <c r="S144" s="1">
        <v>421.63350000000003</v>
      </c>
      <c r="T144" s="1">
        <v>618.71399999999994</v>
      </c>
      <c r="U144" s="1">
        <v>701.976</v>
      </c>
      <c r="V144" s="1">
        <v>936.048</v>
      </c>
      <c r="W144" s="1">
        <v>380.04449999999997</v>
      </c>
      <c r="X144" s="1">
        <v>1299.2909999999999</v>
      </c>
      <c r="Y144" s="1">
        <v>609.327</v>
      </c>
      <c r="Z144" s="1">
        <v>669.89549999999997</v>
      </c>
      <c r="AA144" s="3">
        <v>15000</v>
      </c>
      <c r="AB144" s="1">
        <v>9142.3269200000013</v>
      </c>
    </row>
    <row r="145" spans="1:28" x14ac:dyDescent="0.25">
      <c r="A145" s="1">
        <v>144</v>
      </c>
      <c r="B145" s="2">
        <v>49980</v>
      </c>
      <c r="C145" s="1">
        <v>1539.8685</v>
      </c>
      <c r="D145" s="1">
        <v>179.553</v>
      </c>
      <c r="E145" s="1">
        <v>646.85550000000001</v>
      </c>
      <c r="F145" s="1">
        <v>863.08800000000008</v>
      </c>
      <c r="G145" s="1">
        <v>209.41800000000001</v>
      </c>
      <c r="H145" s="1">
        <v>643.67700000000002</v>
      </c>
      <c r="I145" s="1">
        <v>470.92499999999995</v>
      </c>
      <c r="J145" s="1">
        <v>297.5505</v>
      </c>
      <c r="K145" s="1">
        <v>510.46199999999999</v>
      </c>
      <c r="L145" s="1">
        <v>635.54999999999995</v>
      </c>
      <c r="M145" s="1">
        <v>723.06299999999999</v>
      </c>
      <c r="N145" s="4">
        <f t="shared" ref="N145:N208" si="0">N144*0.99</f>
        <v>86.383955790000002</v>
      </c>
      <c r="O145" s="1">
        <v>439.37549999999999</v>
      </c>
      <c r="P145" s="1">
        <v>302.35050000000001</v>
      </c>
      <c r="Q145" s="4">
        <v>444.24149999999997</v>
      </c>
      <c r="R145" s="1">
        <v>138.02504999999999</v>
      </c>
      <c r="S145" s="1">
        <v>422.72550000000001</v>
      </c>
      <c r="T145" s="1">
        <v>616.71299999999997</v>
      </c>
      <c r="U145" s="1">
        <v>698.77500000000009</v>
      </c>
      <c r="V145" s="1">
        <v>931.34999999999991</v>
      </c>
      <c r="W145" s="1">
        <v>378.012</v>
      </c>
      <c r="X145" s="1">
        <v>1297.3995</v>
      </c>
      <c r="Y145" s="1">
        <v>607.91249999999991</v>
      </c>
      <c r="Z145" s="1">
        <v>667.55700000000002</v>
      </c>
      <c r="AA145" s="3">
        <v>15000</v>
      </c>
      <c r="AB145" s="1">
        <v>9109.6626999999989</v>
      </c>
    </row>
    <row r="146" spans="1:28" x14ac:dyDescent="0.25">
      <c r="A146" s="1">
        <v>145</v>
      </c>
      <c r="B146" s="2">
        <v>50010</v>
      </c>
      <c r="C146" s="1">
        <v>1537.1174999999998</v>
      </c>
      <c r="D146" s="1">
        <v>178.6515</v>
      </c>
      <c r="E146" s="1">
        <v>645.774</v>
      </c>
      <c r="F146" s="1">
        <v>859.23450000000003</v>
      </c>
      <c r="G146" s="1">
        <v>208.233</v>
      </c>
      <c r="H146" s="1">
        <v>642.63</v>
      </c>
      <c r="I146" s="1">
        <v>470.54100000000005</v>
      </c>
      <c r="J146" s="1">
        <v>296.928</v>
      </c>
      <c r="K146" s="1">
        <v>508.48199999999997</v>
      </c>
      <c r="L146" s="1">
        <v>630.822</v>
      </c>
      <c r="M146" s="1">
        <v>719.79449999999997</v>
      </c>
      <c r="N146" s="4">
        <f t="shared" si="0"/>
        <v>85.520116232099994</v>
      </c>
      <c r="O146" s="1">
        <v>436.13699999999994</v>
      </c>
      <c r="P146" s="1">
        <v>303.12149999999997</v>
      </c>
      <c r="Q146" s="4">
        <v>444.28800000000001</v>
      </c>
      <c r="R146" s="1">
        <v>136.6935</v>
      </c>
      <c r="S146" s="1">
        <v>423.22950000000003</v>
      </c>
      <c r="T146" s="1">
        <v>614.976</v>
      </c>
      <c r="U146" s="1">
        <v>695.87850000000003</v>
      </c>
      <c r="V146" s="1">
        <v>927.048</v>
      </c>
      <c r="W146" s="1">
        <v>376.185</v>
      </c>
      <c r="X146" s="1">
        <v>1295.6849999999999</v>
      </c>
      <c r="Y146" s="1">
        <v>606.63149999999996</v>
      </c>
      <c r="Z146" s="1">
        <v>665.08050000000003</v>
      </c>
      <c r="AA146" s="3">
        <v>15000</v>
      </c>
      <c r="AB146" s="1">
        <v>9082.2060000000019</v>
      </c>
    </row>
    <row r="147" spans="1:28" x14ac:dyDescent="0.25">
      <c r="A147" s="1">
        <v>146</v>
      </c>
      <c r="B147" s="2">
        <v>50041</v>
      </c>
      <c r="C147" s="1">
        <v>1534.4475</v>
      </c>
      <c r="D147" s="1">
        <v>177.79500000000002</v>
      </c>
      <c r="E147" s="1">
        <v>644.45699999999999</v>
      </c>
      <c r="F147" s="1">
        <v>855.02550000000008</v>
      </c>
      <c r="G147" s="1">
        <v>207.12900000000002</v>
      </c>
      <c r="H147" s="1">
        <v>641.62649999999996</v>
      </c>
      <c r="I147" s="1">
        <v>470.14949999999999</v>
      </c>
      <c r="J147" s="1">
        <v>296.25</v>
      </c>
      <c r="K147" s="1">
        <v>506.35050000000001</v>
      </c>
      <c r="L147" s="1">
        <v>625.79999999999995</v>
      </c>
      <c r="M147" s="1">
        <v>716.27549999999997</v>
      </c>
      <c r="N147" s="4">
        <f t="shared" si="0"/>
        <v>84.664915069778999</v>
      </c>
      <c r="O147" s="1">
        <v>432.85050000000001</v>
      </c>
      <c r="P147" s="1">
        <v>303.12450000000001</v>
      </c>
      <c r="Q147" s="4">
        <v>444.43500000000006</v>
      </c>
      <c r="R147" s="1">
        <v>135.32505</v>
      </c>
      <c r="S147" s="1">
        <v>423.47550000000001</v>
      </c>
      <c r="T147" s="1">
        <v>613.3125</v>
      </c>
      <c r="U147" s="1">
        <v>692.77500000000009</v>
      </c>
      <c r="V147" s="1">
        <v>922.2494999999999</v>
      </c>
      <c r="W147" s="1">
        <v>374.18700000000001</v>
      </c>
      <c r="X147" s="1">
        <v>1293.8249999999998</v>
      </c>
      <c r="Y147" s="1">
        <v>605.24699999999996</v>
      </c>
      <c r="Z147" s="1">
        <v>662.23800000000006</v>
      </c>
      <c r="AA147" s="3">
        <v>15000</v>
      </c>
      <c r="AB147" s="1">
        <v>9052.3516999999993</v>
      </c>
    </row>
    <row r="148" spans="1:28" x14ac:dyDescent="0.25">
      <c r="A148" s="1">
        <v>147</v>
      </c>
      <c r="B148" s="2">
        <v>50072</v>
      </c>
      <c r="C148" s="1">
        <v>1531.731</v>
      </c>
      <c r="D148" s="1">
        <v>176.86799999999999</v>
      </c>
      <c r="E148" s="1">
        <v>643.08299999999997</v>
      </c>
      <c r="F148" s="1">
        <v>851.12850000000003</v>
      </c>
      <c r="G148" s="1">
        <v>206.07599999999996</v>
      </c>
      <c r="H148" s="1">
        <v>640.60950000000003</v>
      </c>
      <c r="I148" s="1">
        <v>469.839</v>
      </c>
      <c r="J148" s="1">
        <v>295.64550000000003</v>
      </c>
      <c r="K148" s="1">
        <v>504.33299999999997</v>
      </c>
      <c r="L148" s="1">
        <v>621.16949999999997</v>
      </c>
      <c r="M148" s="1">
        <v>712.97249999999997</v>
      </c>
      <c r="N148" s="4">
        <f t="shared" si="0"/>
        <v>83.818265919081213</v>
      </c>
      <c r="O148" s="1">
        <v>429.84749999999997</v>
      </c>
      <c r="P148" s="1">
        <v>302.661</v>
      </c>
      <c r="Q148" s="4">
        <v>444.61200000000002</v>
      </c>
      <c r="R148" s="1">
        <v>134.15325000000001</v>
      </c>
      <c r="S148" s="1">
        <v>423.411</v>
      </c>
      <c r="T148" s="1">
        <v>611.85450000000003</v>
      </c>
      <c r="U148" s="1">
        <v>689.90250000000003</v>
      </c>
      <c r="V148" s="1">
        <v>917.85450000000003</v>
      </c>
      <c r="W148" s="1">
        <v>372.387</v>
      </c>
      <c r="X148" s="1">
        <v>1292.0325</v>
      </c>
      <c r="Y148" s="1">
        <v>603.94650000000001</v>
      </c>
      <c r="Z148" s="1">
        <v>659.38350000000003</v>
      </c>
      <c r="AA148" s="3">
        <v>15000</v>
      </c>
      <c r="AB148" s="1">
        <v>9023.8154999999988</v>
      </c>
    </row>
    <row r="149" spans="1:28" x14ac:dyDescent="0.25">
      <c r="A149" s="1">
        <v>148</v>
      </c>
      <c r="B149" s="2">
        <v>50100</v>
      </c>
      <c r="C149" s="1">
        <v>1529.001</v>
      </c>
      <c r="D149" s="1">
        <v>175.935</v>
      </c>
      <c r="E149" s="1">
        <v>641.63100000000009</v>
      </c>
      <c r="F149" s="1">
        <v>847.25850000000014</v>
      </c>
      <c r="G149" s="1">
        <v>204.99</v>
      </c>
      <c r="H149" s="1">
        <v>639.58199999999999</v>
      </c>
      <c r="I149" s="1">
        <v>469.452</v>
      </c>
      <c r="J149" s="1">
        <v>294.96750000000003</v>
      </c>
      <c r="K149" s="1">
        <v>502.33050000000003</v>
      </c>
      <c r="L149" s="1">
        <v>616.62149999999997</v>
      </c>
      <c r="M149" s="1">
        <v>709.71749999999997</v>
      </c>
      <c r="N149" s="4">
        <f t="shared" si="0"/>
        <v>82.980083259890407</v>
      </c>
      <c r="O149" s="1">
        <v>426.87150000000003</v>
      </c>
      <c r="P149" s="1">
        <v>301.959</v>
      </c>
      <c r="Q149" s="4">
        <v>444.83399999999995</v>
      </c>
      <c r="R149" s="1">
        <v>133.04040000000001</v>
      </c>
      <c r="S149" s="1">
        <v>423.09749999999997</v>
      </c>
      <c r="T149" s="1">
        <v>610.46399999999994</v>
      </c>
      <c r="U149" s="1">
        <v>687.09749999999997</v>
      </c>
      <c r="V149" s="1">
        <v>913.452</v>
      </c>
      <c r="W149" s="1">
        <v>370.584</v>
      </c>
      <c r="X149" s="1">
        <v>1290.1935000000001</v>
      </c>
      <c r="Y149" s="1">
        <v>602.65800000000002</v>
      </c>
      <c r="Z149" s="1">
        <v>656.38350000000003</v>
      </c>
      <c r="AA149" s="3">
        <v>15000</v>
      </c>
      <c r="AB149" s="1">
        <v>8994.917599999997</v>
      </c>
    </row>
    <row r="150" spans="1:28" x14ac:dyDescent="0.25">
      <c r="A150" s="1">
        <v>149</v>
      </c>
      <c r="B150" s="2">
        <v>50131</v>
      </c>
      <c r="C150" s="1">
        <v>1526.367</v>
      </c>
      <c r="D150" s="1">
        <v>175.03649999999999</v>
      </c>
      <c r="E150" s="1">
        <v>640.03800000000001</v>
      </c>
      <c r="F150" s="1">
        <v>843.22499999999991</v>
      </c>
      <c r="G150" s="1">
        <v>203.86349999999999</v>
      </c>
      <c r="H150" s="1">
        <v>638.59800000000007</v>
      </c>
      <c r="I150" s="1">
        <v>469.09950000000003</v>
      </c>
      <c r="J150" s="1">
        <v>294.32550000000003</v>
      </c>
      <c r="K150" s="1">
        <v>500.23050000000001</v>
      </c>
      <c r="L150" s="1">
        <v>611.86200000000008</v>
      </c>
      <c r="M150" s="1">
        <v>706.32449999999994</v>
      </c>
      <c r="N150" s="4">
        <f t="shared" si="0"/>
        <v>82.150282427291501</v>
      </c>
      <c r="O150" s="1">
        <v>423.85050000000001</v>
      </c>
      <c r="P150" s="1">
        <v>301.125</v>
      </c>
      <c r="Q150" s="4">
        <v>445.089</v>
      </c>
      <c r="R150" s="1">
        <v>131.95005</v>
      </c>
      <c r="S150" s="1">
        <v>422.625</v>
      </c>
      <c r="T150" s="1">
        <v>609.02549999999997</v>
      </c>
      <c r="U150" s="1">
        <v>684.12450000000001</v>
      </c>
      <c r="V150" s="1">
        <v>908.7494999999999</v>
      </c>
      <c r="W150" s="1">
        <v>368.67449999999997</v>
      </c>
      <c r="X150" s="1">
        <v>1288.2494999999999</v>
      </c>
      <c r="Y150" s="1">
        <v>601.30349999999999</v>
      </c>
      <c r="Z150" s="1">
        <v>653.21250000000009</v>
      </c>
      <c r="AA150" s="3">
        <v>15000</v>
      </c>
      <c r="AB150" s="1">
        <v>8964.8066999999992</v>
      </c>
    </row>
    <row r="151" spans="1:28" x14ac:dyDescent="0.25">
      <c r="A151" s="1">
        <v>150</v>
      </c>
      <c r="B151" s="2">
        <v>50161</v>
      </c>
      <c r="C151" s="1">
        <v>1523.6505000000002</v>
      </c>
      <c r="D151" s="1">
        <v>174.1155</v>
      </c>
      <c r="E151" s="1">
        <v>638.53499999999997</v>
      </c>
      <c r="F151" s="1">
        <v>839.553</v>
      </c>
      <c r="G151" s="1">
        <v>202.88099999999997</v>
      </c>
      <c r="H151" s="1">
        <v>637.58550000000002</v>
      </c>
      <c r="I151" s="1">
        <v>468.678</v>
      </c>
      <c r="J151" s="1">
        <v>293.709</v>
      </c>
      <c r="K151" s="1">
        <v>498.32100000000003</v>
      </c>
      <c r="L151" s="1">
        <v>607.59749999999997</v>
      </c>
      <c r="M151" s="1">
        <v>703.27049999999997</v>
      </c>
      <c r="N151" s="4">
        <f t="shared" si="0"/>
        <v>81.328779603018589</v>
      </c>
      <c r="O151" s="1">
        <v>421.089</v>
      </c>
      <c r="P151" s="1">
        <v>300.19349999999997</v>
      </c>
      <c r="Q151" s="4">
        <v>445.34999999999997</v>
      </c>
      <c r="R151" s="1">
        <v>131.08064999999999</v>
      </c>
      <c r="S151" s="1">
        <v>422.02049999999997</v>
      </c>
      <c r="T151" s="1">
        <v>607.66949999999997</v>
      </c>
      <c r="U151" s="1">
        <v>681.53250000000003</v>
      </c>
      <c r="V151" s="1">
        <v>904.548</v>
      </c>
      <c r="W151" s="1">
        <v>366.99149999999997</v>
      </c>
      <c r="X151" s="1">
        <v>1286.4914999999999</v>
      </c>
      <c r="Y151" s="1">
        <v>600.07799999999997</v>
      </c>
      <c r="Z151" s="1">
        <v>650.26800000000003</v>
      </c>
      <c r="AA151" s="3">
        <v>15000</v>
      </c>
      <c r="AB151" s="1">
        <v>8936.9541000000008</v>
      </c>
    </row>
    <row r="152" spans="1:28" x14ac:dyDescent="0.25">
      <c r="A152" s="1">
        <v>151</v>
      </c>
      <c r="B152" s="2">
        <v>50192</v>
      </c>
      <c r="C152" s="1">
        <v>1521.0450000000001</v>
      </c>
      <c r="D152" s="1">
        <v>173.20499999999998</v>
      </c>
      <c r="E152" s="1">
        <v>636.82500000000005</v>
      </c>
      <c r="F152" s="1">
        <v>835.57499999999993</v>
      </c>
      <c r="G152" s="1">
        <v>201.95850000000002</v>
      </c>
      <c r="H152" s="1">
        <v>636.60900000000004</v>
      </c>
      <c r="I152" s="1">
        <v>468.25049999999999</v>
      </c>
      <c r="J152" s="1">
        <v>293.10000000000002</v>
      </c>
      <c r="K152" s="1">
        <v>496.22550000000001</v>
      </c>
      <c r="L152" s="1">
        <v>602.96250000000009</v>
      </c>
      <c r="M152" s="1">
        <v>699.96299999999997</v>
      </c>
      <c r="N152" s="4">
        <f t="shared" si="0"/>
        <v>80.515491806988408</v>
      </c>
      <c r="O152" s="1">
        <v>418.125</v>
      </c>
      <c r="P152" s="1">
        <v>299.14949999999999</v>
      </c>
      <c r="Q152" s="4">
        <v>445.572</v>
      </c>
      <c r="R152" s="1">
        <v>130.125</v>
      </c>
      <c r="S152" s="1">
        <v>421.20000000000005</v>
      </c>
      <c r="T152" s="1">
        <v>606.21299999999997</v>
      </c>
      <c r="U152" s="1">
        <v>678.72450000000003</v>
      </c>
      <c r="V152" s="1">
        <v>900</v>
      </c>
      <c r="W152" s="1">
        <v>365.14949999999999</v>
      </c>
      <c r="X152" s="1">
        <v>1284.4994999999999</v>
      </c>
      <c r="Y152" s="1">
        <v>598.74750000000006</v>
      </c>
      <c r="Z152" s="1">
        <v>647.13149999999996</v>
      </c>
      <c r="AA152" s="3">
        <v>15000</v>
      </c>
      <c r="AB152" s="1">
        <v>8907.0560000000005</v>
      </c>
    </row>
    <row r="153" spans="1:28" x14ac:dyDescent="0.25">
      <c r="A153" s="1">
        <v>152</v>
      </c>
      <c r="B153" s="2">
        <v>50222</v>
      </c>
      <c r="C153" s="1">
        <v>1518.3344999999999</v>
      </c>
      <c r="D153" s="1">
        <v>172.26149999999998</v>
      </c>
      <c r="E153" s="1">
        <v>630.4905</v>
      </c>
      <c r="F153" s="1">
        <v>826.33049999999992</v>
      </c>
      <c r="G153" s="1">
        <v>201.03750000000002</v>
      </c>
      <c r="H153" s="1">
        <v>635.62350000000004</v>
      </c>
      <c r="I153" s="1">
        <v>464.37150000000003</v>
      </c>
      <c r="J153" s="1">
        <v>290.03249999999997</v>
      </c>
      <c r="K153" s="1">
        <v>489.786</v>
      </c>
      <c r="L153" s="1">
        <v>593.12850000000003</v>
      </c>
      <c r="M153" s="1">
        <v>690.52049999999997</v>
      </c>
      <c r="N153" s="4">
        <f t="shared" si="0"/>
        <v>79.710336888918519</v>
      </c>
      <c r="O153" s="1">
        <v>410.589</v>
      </c>
      <c r="P153" s="1">
        <v>295.30650000000003</v>
      </c>
      <c r="Q153" s="4">
        <v>445.79999999999995</v>
      </c>
      <c r="R153" s="1">
        <v>128.10480000000001</v>
      </c>
      <c r="S153" s="1">
        <v>417.16949999999997</v>
      </c>
      <c r="T153" s="1">
        <v>600.351</v>
      </c>
      <c r="U153" s="1">
        <v>671.56499999999994</v>
      </c>
      <c r="V153" s="1">
        <v>888.43499999999995</v>
      </c>
      <c r="W153" s="1">
        <v>360.423</v>
      </c>
      <c r="X153" s="1">
        <v>1274.5409999999999</v>
      </c>
      <c r="Y153" s="1">
        <v>593.178</v>
      </c>
      <c r="Z153" s="1">
        <v>639.49649999999997</v>
      </c>
      <c r="AA153" s="3">
        <v>15000</v>
      </c>
      <c r="AB153" s="1">
        <v>8822.3361999999997</v>
      </c>
    </row>
    <row r="154" spans="1:28" x14ac:dyDescent="0.25">
      <c r="A154" s="1">
        <v>153</v>
      </c>
      <c r="B154" s="2">
        <v>50253</v>
      </c>
      <c r="C154" s="1">
        <v>1501.3110000000001</v>
      </c>
      <c r="D154" s="1">
        <v>169.54349999999999</v>
      </c>
      <c r="E154" s="1">
        <v>628.64549999999997</v>
      </c>
      <c r="F154" s="1">
        <v>822.66599999999994</v>
      </c>
      <c r="G154" s="1">
        <v>198.56849999999997</v>
      </c>
      <c r="H154" s="1">
        <v>629.36249999999995</v>
      </c>
      <c r="I154" s="1">
        <v>463.5</v>
      </c>
      <c r="J154" s="1">
        <v>289.23450000000003</v>
      </c>
      <c r="K154" s="1">
        <v>487.57800000000003</v>
      </c>
      <c r="L154" s="1">
        <v>588.61649999999997</v>
      </c>
      <c r="M154" s="1">
        <v>687.09749999999997</v>
      </c>
      <c r="N154" s="4">
        <f t="shared" si="0"/>
        <v>78.913233520029337</v>
      </c>
      <c r="O154" s="1">
        <v>407.49149999999997</v>
      </c>
      <c r="P154" s="1">
        <v>293.85449999999997</v>
      </c>
      <c r="Q154" s="4">
        <v>442.428</v>
      </c>
      <c r="R154" s="1">
        <v>127.08870000000002</v>
      </c>
      <c r="S154" s="1">
        <v>415.98449999999997</v>
      </c>
      <c r="T154" s="1">
        <v>598.77750000000003</v>
      </c>
      <c r="U154" s="1">
        <v>669.024</v>
      </c>
      <c r="V154" s="1">
        <v>884.12850000000003</v>
      </c>
      <c r="W154" s="1">
        <v>358.536</v>
      </c>
      <c r="X154" s="1">
        <v>1271.9024999999999</v>
      </c>
      <c r="Y154" s="1">
        <v>591.59850000000006</v>
      </c>
      <c r="Z154" s="1">
        <v>636.14549999999997</v>
      </c>
      <c r="AA154" s="3">
        <v>15000</v>
      </c>
      <c r="AB154" s="1">
        <v>8775.2597999999998</v>
      </c>
    </row>
    <row r="155" spans="1:28" x14ac:dyDescent="0.25">
      <c r="A155" s="1">
        <v>154</v>
      </c>
      <c r="B155" s="2">
        <v>50284</v>
      </c>
      <c r="C155" s="1">
        <v>1499.5815</v>
      </c>
      <c r="D155" s="1">
        <v>168.732</v>
      </c>
      <c r="E155" s="1">
        <v>626.84550000000002</v>
      </c>
      <c r="F155" s="1">
        <v>819.01350000000002</v>
      </c>
      <c r="G155" s="1">
        <v>198.19199999999998</v>
      </c>
      <c r="H155" s="1">
        <v>628.57500000000005</v>
      </c>
      <c r="I155" s="1">
        <v>462.99149999999997</v>
      </c>
      <c r="J155" s="1">
        <v>288.64350000000002</v>
      </c>
      <c r="K155" s="1">
        <v>485.51099999999997</v>
      </c>
      <c r="L155" s="1">
        <v>583.9815000000001</v>
      </c>
      <c r="M155" s="1">
        <v>683.85299999999995</v>
      </c>
      <c r="N155" s="4">
        <f t="shared" si="0"/>
        <v>78.124101184829044</v>
      </c>
      <c r="O155" s="1">
        <v>404.57100000000003</v>
      </c>
      <c r="P155" s="1">
        <v>292.82100000000003</v>
      </c>
      <c r="Q155" s="4">
        <v>442.23449999999997</v>
      </c>
      <c r="R155" s="1">
        <v>126.21435</v>
      </c>
      <c r="S155" s="1">
        <v>415.03199999999998</v>
      </c>
      <c r="T155" s="1">
        <v>597.57600000000002</v>
      </c>
      <c r="U155" s="1">
        <v>666.61649999999997</v>
      </c>
      <c r="V155" s="1">
        <v>879.75</v>
      </c>
      <c r="W155" s="1">
        <v>356.70600000000002</v>
      </c>
      <c r="X155" s="1">
        <v>1270.3664999999999</v>
      </c>
      <c r="Y155" s="1">
        <v>590.52449999999999</v>
      </c>
      <c r="Z155" s="1">
        <v>633.01949999999999</v>
      </c>
      <c r="AA155" s="3">
        <v>15000</v>
      </c>
      <c r="AB155" s="1">
        <v>8747.7899000000016</v>
      </c>
    </row>
    <row r="156" spans="1:28" x14ac:dyDescent="0.25">
      <c r="A156" s="1">
        <v>155</v>
      </c>
      <c r="B156" s="2">
        <v>50314</v>
      </c>
      <c r="C156" s="1">
        <v>1497.4725000000001</v>
      </c>
      <c r="D156" s="1">
        <v>167.8425</v>
      </c>
      <c r="E156" s="1">
        <v>625.30649999999991</v>
      </c>
      <c r="F156" s="1">
        <v>815.928</v>
      </c>
      <c r="G156" s="1">
        <v>197.60550000000001</v>
      </c>
      <c r="H156" s="1">
        <v>627.68550000000005</v>
      </c>
      <c r="I156" s="1">
        <v>462.60450000000003</v>
      </c>
      <c r="J156" s="1">
        <v>288.21750000000003</v>
      </c>
      <c r="K156" s="1">
        <v>483.85949999999997</v>
      </c>
      <c r="L156" s="1">
        <v>580.29449999999997</v>
      </c>
      <c r="M156" s="1">
        <v>681.27750000000003</v>
      </c>
      <c r="N156" s="4">
        <f t="shared" si="0"/>
        <v>77.34286017298075</v>
      </c>
      <c r="O156" s="1">
        <v>402.339</v>
      </c>
      <c r="P156" s="1">
        <v>291.87149999999997</v>
      </c>
      <c r="Q156" s="4">
        <v>442.5675</v>
      </c>
      <c r="R156" s="1">
        <v>125.54040000000001</v>
      </c>
      <c r="S156" s="1">
        <v>414.06000000000006</v>
      </c>
      <c r="T156" s="1">
        <v>596.50350000000003</v>
      </c>
      <c r="U156" s="1">
        <v>664.62149999999997</v>
      </c>
      <c r="V156" s="1">
        <v>876.14549999999997</v>
      </c>
      <c r="W156" s="1">
        <v>355.24649999999997</v>
      </c>
      <c r="X156" s="1">
        <v>1269.1215</v>
      </c>
      <c r="Y156" s="1">
        <v>589.65750000000003</v>
      </c>
      <c r="Z156" s="1">
        <v>630.399</v>
      </c>
      <c r="AA156" s="3">
        <v>15000</v>
      </c>
      <c r="AB156" s="1">
        <v>8724.2515999999996</v>
      </c>
    </row>
    <row r="157" spans="1:28" x14ac:dyDescent="0.25">
      <c r="A157" s="1">
        <v>156</v>
      </c>
      <c r="B157" s="2">
        <v>50345</v>
      </c>
      <c r="C157" s="1">
        <v>1495.3364999999999</v>
      </c>
      <c r="D157" s="1">
        <v>166.96799999999999</v>
      </c>
      <c r="E157" s="1">
        <v>623.44949999999994</v>
      </c>
      <c r="F157" s="1">
        <v>812.40000000000009</v>
      </c>
      <c r="G157" s="1">
        <v>196.64249999999998</v>
      </c>
      <c r="H157" s="1">
        <v>626.80649999999991</v>
      </c>
      <c r="I157" s="1">
        <v>462.17550000000006</v>
      </c>
      <c r="J157" s="1">
        <v>287.67449999999997</v>
      </c>
      <c r="K157" s="1">
        <v>481.88699999999994</v>
      </c>
      <c r="L157" s="1">
        <v>576.02549999999997</v>
      </c>
      <c r="M157" s="1">
        <v>678.25049999999999</v>
      </c>
      <c r="N157" s="4">
        <f t="shared" si="0"/>
        <v>76.569431571250945</v>
      </c>
      <c r="O157" s="1">
        <v>399.59999999999997</v>
      </c>
      <c r="P157" s="1">
        <v>290.85000000000002</v>
      </c>
      <c r="Q157" s="4">
        <v>442.77750000000003</v>
      </c>
      <c r="R157" s="1">
        <v>124.84995000000001</v>
      </c>
      <c r="S157" s="1">
        <v>412.83750000000003</v>
      </c>
      <c r="T157" s="1">
        <v>595.27500000000009</v>
      </c>
      <c r="U157" s="1">
        <v>662.35050000000001</v>
      </c>
      <c r="V157" s="1">
        <v>871.9994999999999</v>
      </c>
      <c r="W157" s="1">
        <v>353.54999999999995</v>
      </c>
      <c r="X157" s="1">
        <v>1267.6244999999999</v>
      </c>
      <c r="Y157" s="1">
        <v>588.66300000000001</v>
      </c>
      <c r="Z157" s="1">
        <v>627.41249999999991</v>
      </c>
      <c r="AA157" s="3">
        <v>15000</v>
      </c>
      <c r="AB157" s="1">
        <v>8697.077299999999</v>
      </c>
    </row>
    <row r="158" spans="1:28" x14ac:dyDescent="0.25">
      <c r="A158" s="1">
        <v>157</v>
      </c>
      <c r="B158" s="2">
        <v>50375</v>
      </c>
      <c r="C158" s="1">
        <v>1493.0294999999999</v>
      </c>
      <c r="D158" s="1">
        <v>166.047</v>
      </c>
      <c r="E158" s="1">
        <v>621.73199999999997</v>
      </c>
      <c r="F158" s="1">
        <v>809.178</v>
      </c>
      <c r="G158" s="1">
        <v>195.95249999999999</v>
      </c>
      <c r="H158" s="1">
        <v>625.89</v>
      </c>
      <c r="I158" s="1">
        <v>461.63699999999994</v>
      </c>
      <c r="J158" s="1">
        <v>287.274</v>
      </c>
      <c r="K158" s="1">
        <v>480.08399999999995</v>
      </c>
      <c r="L158" s="1">
        <v>572.14049999999997</v>
      </c>
      <c r="M158" s="1">
        <v>675.50850000000003</v>
      </c>
      <c r="N158" s="4">
        <f t="shared" si="0"/>
        <v>75.803737255538437</v>
      </c>
      <c r="O158" s="1">
        <v>397.11300000000006</v>
      </c>
      <c r="P158" s="1">
        <v>289.791</v>
      </c>
      <c r="Q158" s="4">
        <v>442.98749999999995</v>
      </c>
      <c r="R158" s="1">
        <v>124.18545</v>
      </c>
      <c r="S158" s="1">
        <v>411.59249999999997</v>
      </c>
      <c r="T158" s="1">
        <v>594.072</v>
      </c>
      <c r="U158" s="1">
        <v>660.29100000000005</v>
      </c>
      <c r="V158" s="1">
        <v>868.20900000000006</v>
      </c>
      <c r="W158" s="1">
        <v>352.041</v>
      </c>
      <c r="X158" s="1">
        <v>1266.1935000000001</v>
      </c>
      <c r="Y158" s="1">
        <v>587.74649999999997</v>
      </c>
      <c r="Z158" s="1">
        <v>624.62250000000006</v>
      </c>
      <c r="AA158" s="3">
        <v>15000</v>
      </c>
      <c r="AB158" s="1">
        <v>8671.6473000000024</v>
      </c>
    </row>
    <row r="159" spans="1:28" x14ac:dyDescent="0.25">
      <c r="A159" s="1">
        <v>158</v>
      </c>
      <c r="B159" s="2">
        <v>50406</v>
      </c>
      <c r="C159" s="1">
        <v>1490.7465</v>
      </c>
      <c r="D159" s="1">
        <v>165.17400000000001</v>
      </c>
      <c r="E159" s="1">
        <v>619.85550000000001</v>
      </c>
      <c r="F159" s="1">
        <v>805.73700000000008</v>
      </c>
      <c r="G159" s="1">
        <v>195.28800000000001</v>
      </c>
      <c r="H159" s="1">
        <v>625.02449999999999</v>
      </c>
      <c r="I159" s="1">
        <v>461.09999999999997</v>
      </c>
      <c r="J159" s="1">
        <v>286.77449999999999</v>
      </c>
      <c r="K159" s="1">
        <v>478.11899999999997</v>
      </c>
      <c r="L159" s="1">
        <v>567.9375</v>
      </c>
      <c r="M159" s="1">
        <v>672.55050000000006</v>
      </c>
      <c r="N159" s="4">
        <f t="shared" si="0"/>
        <v>75.045699882983058</v>
      </c>
      <c r="O159" s="1">
        <v>394.37549999999999</v>
      </c>
      <c r="P159" s="1">
        <v>288.70050000000003</v>
      </c>
      <c r="Q159" s="4">
        <v>443.14050000000003</v>
      </c>
      <c r="R159" s="1">
        <v>123.49994999999998</v>
      </c>
      <c r="S159" s="1">
        <v>410.17499999999995</v>
      </c>
      <c r="T159" s="1">
        <v>592.82549999999992</v>
      </c>
      <c r="U159" s="1">
        <v>658.05</v>
      </c>
      <c r="V159" s="1">
        <v>864.04950000000008</v>
      </c>
      <c r="W159" s="1">
        <v>350.41200000000003</v>
      </c>
      <c r="X159" s="1">
        <v>1264.6500000000001</v>
      </c>
      <c r="Y159" s="1">
        <v>586.75049999999999</v>
      </c>
      <c r="Z159" s="1">
        <v>621.61950000000002</v>
      </c>
      <c r="AA159" s="3">
        <v>15000</v>
      </c>
      <c r="AB159" s="1">
        <v>8644.4683000000005</v>
      </c>
    </row>
    <row r="160" spans="1:28" x14ac:dyDescent="0.25">
      <c r="A160" s="1">
        <v>159</v>
      </c>
      <c r="B160" s="2">
        <v>50437</v>
      </c>
      <c r="C160" s="1">
        <v>1488.3525</v>
      </c>
      <c r="D160" s="1">
        <v>164.29949999999999</v>
      </c>
      <c r="E160" s="1">
        <v>618.03</v>
      </c>
      <c r="F160" s="1">
        <v>802.48799999999994</v>
      </c>
      <c r="G160" s="1">
        <v>194.59350000000001</v>
      </c>
      <c r="H160" s="1">
        <v>624.11850000000004</v>
      </c>
      <c r="I160" s="1">
        <v>460.524</v>
      </c>
      <c r="J160" s="1">
        <v>286.33050000000003</v>
      </c>
      <c r="K160" s="1">
        <v>476.29200000000003</v>
      </c>
      <c r="L160" s="1">
        <v>564.06000000000006</v>
      </c>
      <c r="M160" s="1">
        <v>669.83399999999995</v>
      </c>
      <c r="N160" s="4">
        <f t="shared" si="0"/>
        <v>74.295242884153225</v>
      </c>
      <c r="O160" s="1">
        <v>391.88699999999994</v>
      </c>
      <c r="P160" s="1">
        <v>287.589</v>
      </c>
      <c r="Q160" s="4">
        <v>443.28749999999997</v>
      </c>
      <c r="R160" s="1">
        <v>122.87909999999999</v>
      </c>
      <c r="S160" s="1">
        <v>408.726</v>
      </c>
      <c r="T160" s="1">
        <v>591.60450000000003</v>
      </c>
      <c r="U160" s="1">
        <v>656.05649999999991</v>
      </c>
      <c r="V160" s="1">
        <v>860.22600000000011</v>
      </c>
      <c r="W160" s="1">
        <v>348.88350000000003</v>
      </c>
      <c r="X160" s="1">
        <v>1263.1455000000001</v>
      </c>
      <c r="Y160" s="1">
        <v>585.81000000000006</v>
      </c>
      <c r="Z160" s="1">
        <v>618.71399999999994</v>
      </c>
      <c r="AA160" s="3">
        <v>15000</v>
      </c>
      <c r="AB160" s="1">
        <v>8618.5434000000005</v>
      </c>
    </row>
    <row r="161" spans="1:28" x14ac:dyDescent="0.25">
      <c r="A161" s="1">
        <v>160</v>
      </c>
      <c r="B161" s="2">
        <v>50465</v>
      </c>
      <c r="C161" s="1">
        <v>1485.8475000000001</v>
      </c>
      <c r="D161" s="1">
        <v>163.43700000000001</v>
      </c>
      <c r="E161" s="1">
        <v>616.18500000000006</v>
      </c>
      <c r="F161" s="1">
        <v>799.23450000000003</v>
      </c>
      <c r="G161" s="1">
        <v>193.92599999999999</v>
      </c>
      <c r="H161" s="1">
        <v>623.22</v>
      </c>
      <c r="I161" s="1">
        <v>459.94350000000003</v>
      </c>
      <c r="J161" s="1">
        <v>285.774</v>
      </c>
      <c r="K161" s="1">
        <v>474.47249999999997</v>
      </c>
      <c r="L161" s="1">
        <v>560.178</v>
      </c>
      <c r="M161" s="1">
        <v>667.101</v>
      </c>
      <c r="N161" s="4">
        <f t="shared" si="0"/>
        <v>73.552290455311692</v>
      </c>
      <c r="O161" s="1">
        <v>389.37150000000003</v>
      </c>
      <c r="P161" s="1">
        <v>286.452</v>
      </c>
      <c r="Q161" s="4">
        <v>443.37150000000003</v>
      </c>
      <c r="R161" s="1">
        <v>122.25</v>
      </c>
      <c r="S161" s="1">
        <v>407.202</v>
      </c>
      <c r="T161" s="1">
        <v>590.41949999999997</v>
      </c>
      <c r="U161" s="1">
        <v>654</v>
      </c>
      <c r="V161" s="1">
        <v>856.35450000000003</v>
      </c>
      <c r="W161" s="1">
        <v>347.35950000000003</v>
      </c>
      <c r="X161" s="1">
        <v>1261.548</v>
      </c>
      <c r="Y161" s="1">
        <v>584.87850000000003</v>
      </c>
      <c r="Z161" s="1">
        <v>615.76199999999994</v>
      </c>
      <c r="AA161" s="3">
        <v>15000</v>
      </c>
      <c r="AB161" s="1">
        <v>8592.2400000000016</v>
      </c>
    </row>
    <row r="162" spans="1:28" x14ac:dyDescent="0.25">
      <c r="A162" s="1">
        <v>161</v>
      </c>
      <c r="B162" s="2">
        <v>50496</v>
      </c>
      <c r="C162" s="1">
        <v>1483.3980000000001</v>
      </c>
      <c r="D162" s="1">
        <v>162.6105</v>
      </c>
      <c r="E162" s="1">
        <v>614.18700000000001</v>
      </c>
      <c r="F162" s="1">
        <v>795.83699999999999</v>
      </c>
      <c r="G162" s="1">
        <v>193.4205</v>
      </c>
      <c r="H162" s="1">
        <v>622.33949999999993</v>
      </c>
      <c r="I162" s="1">
        <v>459.29999999999995</v>
      </c>
      <c r="J162" s="1">
        <v>285.1755</v>
      </c>
      <c r="K162" s="1">
        <v>472.54950000000002</v>
      </c>
      <c r="L162" s="1">
        <v>556.13699999999994</v>
      </c>
      <c r="M162" s="1">
        <v>664.28700000000003</v>
      </c>
      <c r="N162" s="4">
        <f t="shared" si="0"/>
        <v>72.81676755075857</v>
      </c>
      <c r="O162" s="1">
        <v>386.80050000000006</v>
      </c>
      <c r="P162" s="1">
        <v>285.27449999999999</v>
      </c>
      <c r="Q162" s="4">
        <v>443.44350000000003</v>
      </c>
      <c r="R162" s="1">
        <v>121.67505</v>
      </c>
      <c r="S162" s="1">
        <v>405.51299999999998</v>
      </c>
      <c r="T162" s="1">
        <v>589.16249999999991</v>
      </c>
      <c r="U162" s="1">
        <v>651.92550000000006</v>
      </c>
      <c r="V162" s="1">
        <v>852.15000000000009</v>
      </c>
      <c r="W162" s="1">
        <v>345.77549999999997</v>
      </c>
      <c r="X162" s="1">
        <v>1259.8755000000001</v>
      </c>
      <c r="Y162" s="1">
        <v>583.875</v>
      </c>
      <c r="Z162" s="1">
        <v>612.6690000000001</v>
      </c>
      <c r="AA162" s="3">
        <v>15000</v>
      </c>
      <c r="AB162" s="1">
        <v>8564.958700000001</v>
      </c>
    </row>
    <row r="163" spans="1:28" x14ac:dyDescent="0.25">
      <c r="A163" s="1">
        <v>162</v>
      </c>
      <c r="B163" s="2">
        <v>50526</v>
      </c>
      <c r="C163" s="1">
        <v>1480.7909999999999</v>
      </c>
      <c r="D163" s="1">
        <v>161.7825</v>
      </c>
      <c r="E163" s="1">
        <v>612.62850000000003</v>
      </c>
      <c r="F163" s="1">
        <v>792.71399999999994</v>
      </c>
      <c r="G163" s="1">
        <v>192.57900000000001</v>
      </c>
      <c r="H163" s="1">
        <v>621.44849999999997</v>
      </c>
      <c r="I163" s="1">
        <v>458.68500000000006</v>
      </c>
      <c r="J163" s="1">
        <v>284.613</v>
      </c>
      <c r="K163" s="1">
        <v>470.8125</v>
      </c>
      <c r="L163" s="1">
        <v>552.47249999999997</v>
      </c>
      <c r="M163" s="1">
        <v>661.70550000000003</v>
      </c>
      <c r="N163" s="4">
        <f t="shared" si="0"/>
        <v>72.088599875250978</v>
      </c>
      <c r="O163" s="1">
        <v>384.24149999999997</v>
      </c>
      <c r="P163" s="1">
        <v>285.024</v>
      </c>
      <c r="Q163" s="4">
        <v>443.50049999999999</v>
      </c>
      <c r="R163" s="1">
        <f>R162*0.99</f>
        <v>120.4582995</v>
      </c>
      <c r="S163" s="1">
        <v>443.976</v>
      </c>
      <c r="T163" s="1">
        <v>650.298</v>
      </c>
      <c r="U163" s="1">
        <v>650.00850000000003</v>
      </c>
      <c r="V163" s="1">
        <v>848.41950000000008</v>
      </c>
      <c r="W163" s="1">
        <v>344.31</v>
      </c>
      <c r="X163" s="1">
        <v>1258.2825</v>
      </c>
      <c r="Y163" s="1">
        <v>582.96749999999997</v>
      </c>
      <c r="Z163" s="1">
        <v>680.952</v>
      </c>
      <c r="AA163" s="3">
        <v>15000</v>
      </c>
      <c r="AB163" s="1">
        <v>8582.6817100000026</v>
      </c>
    </row>
    <row r="164" spans="1:28" x14ac:dyDescent="0.25">
      <c r="A164" s="1">
        <v>163</v>
      </c>
      <c r="B164" s="2">
        <v>50557</v>
      </c>
      <c r="C164" s="1">
        <v>1478.1975</v>
      </c>
      <c r="D164" s="1">
        <v>161.01</v>
      </c>
      <c r="E164" s="1">
        <v>611.38799999999992</v>
      </c>
      <c r="F164" s="1">
        <v>790.05000000000007</v>
      </c>
      <c r="G164" s="1">
        <v>192.13200000000001</v>
      </c>
      <c r="H164" s="1">
        <v>620.60550000000001</v>
      </c>
      <c r="I164" s="1">
        <v>458.25</v>
      </c>
      <c r="J164" s="1">
        <v>284.12549999999999</v>
      </c>
      <c r="K164" s="1">
        <v>469.34400000000005</v>
      </c>
      <c r="L164" s="1">
        <v>549.38699999999994</v>
      </c>
      <c r="M164" s="1">
        <v>659.55</v>
      </c>
      <c r="N164" s="4">
        <f t="shared" si="0"/>
        <v>71.36771387649847</v>
      </c>
      <c r="O164" s="1">
        <v>382.04999999999995</v>
      </c>
      <c r="P164" s="1">
        <v>284.8245</v>
      </c>
      <c r="Q164" s="4">
        <v>443.553</v>
      </c>
      <c r="R164" s="4">
        <f t="shared" ref="R164:R227" si="1">R163*0.99</f>
        <v>119.253716505</v>
      </c>
      <c r="S164" s="1">
        <v>437.59950000000003</v>
      </c>
      <c r="T164" s="1">
        <v>655.8</v>
      </c>
      <c r="U164" s="1">
        <v>648.375</v>
      </c>
      <c r="V164" s="1">
        <v>845.25</v>
      </c>
      <c r="W164" s="1">
        <v>343.09950000000003</v>
      </c>
      <c r="X164" s="1">
        <v>1256.6999999999998</v>
      </c>
      <c r="Y164" s="1">
        <v>582.19350000000009</v>
      </c>
      <c r="Z164" s="1">
        <v>685.43700000000001</v>
      </c>
      <c r="AA164" s="3">
        <v>15000</v>
      </c>
      <c r="AB164" s="1">
        <v>8559.371000000001</v>
      </c>
    </row>
    <row r="165" spans="1:28" x14ac:dyDescent="0.25">
      <c r="A165" s="1">
        <v>164</v>
      </c>
      <c r="B165" s="2">
        <v>50587</v>
      </c>
      <c r="C165" s="1">
        <v>1475.4524999999999</v>
      </c>
      <c r="D165" s="1">
        <v>160.2225</v>
      </c>
      <c r="E165" s="1">
        <v>609.76199999999994</v>
      </c>
      <c r="F165" s="1">
        <v>786.33899999999994</v>
      </c>
      <c r="G165" s="1">
        <v>191.44499999999999</v>
      </c>
      <c r="H165" s="1">
        <v>619.69949999999994</v>
      </c>
      <c r="I165" s="1">
        <v>457.59749999999997</v>
      </c>
      <c r="J165" s="1">
        <v>283.5</v>
      </c>
      <c r="K165" s="1">
        <v>467.17199999999997</v>
      </c>
      <c r="L165" s="1">
        <v>544.93500000000006</v>
      </c>
      <c r="M165" s="1">
        <v>656.37149999999997</v>
      </c>
      <c r="N165" s="4">
        <f t="shared" si="0"/>
        <v>70.654036737733492</v>
      </c>
      <c r="O165" s="1">
        <v>378.91949999999997</v>
      </c>
      <c r="P165" s="1">
        <v>285.14550000000003</v>
      </c>
      <c r="Q165" s="4">
        <v>443.68799999999999</v>
      </c>
      <c r="R165" s="4">
        <f t="shared" si="1"/>
        <v>118.06117933995</v>
      </c>
      <c r="S165" s="1">
        <v>430.41600000000005</v>
      </c>
      <c r="T165" s="1">
        <v>657.88350000000003</v>
      </c>
      <c r="U165" s="1">
        <v>646.13699999999994</v>
      </c>
      <c r="V165" s="1">
        <v>840.678</v>
      </c>
      <c r="W165" s="1">
        <v>341.31</v>
      </c>
      <c r="X165" s="1">
        <v>1254.9195</v>
      </c>
      <c r="Y165" s="1">
        <v>581.10450000000003</v>
      </c>
      <c r="Z165" s="1">
        <v>684.048</v>
      </c>
      <c r="AA165" s="3">
        <v>15000</v>
      </c>
      <c r="AB165" s="1">
        <v>8531.2990000000009</v>
      </c>
    </row>
    <row r="166" spans="1:28" x14ac:dyDescent="0.25">
      <c r="A166" s="1">
        <v>165</v>
      </c>
      <c r="B166" s="2">
        <v>50618</v>
      </c>
      <c r="C166" s="1">
        <v>1465.5765000000001</v>
      </c>
      <c r="D166" s="1">
        <v>158.56950000000001</v>
      </c>
      <c r="E166" s="1">
        <v>608.52750000000003</v>
      </c>
      <c r="F166" s="1">
        <v>783.39899999999989</v>
      </c>
      <c r="G166" s="1">
        <v>190.2</v>
      </c>
      <c r="H166" s="1">
        <v>616.22699999999998</v>
      </c>
      <c r="I166" s="1">
        <v>457.18500000000006</v>
      </c>
      <c r="J166" s="1">
        <v>282.94349999999997</v>
      </c>
      <c r="K166" s="1">
        <v>465.46500000000003</v>
      </c>
      <c r="L166" s="1">
        <v>541.524</v>
      </c>
      <c r="M166" s="1">
        <v>653.91600000000005</v>
      </c>
      <c r="N166" s="4">
        <f t="shared" si="0"/>
        <v>69.947496370356163</v>
      </c>
      <c r="O166" s="1">
        <v>376.59749999999997</v>
      </c>
      <c r="P166" s="1">
        <v>285.048</v>
      </c>
      <c r="Q166" s="4">
        <v>443.89050000000003</v>
      </c>
      <c r="R166" s="4">
        <f t="shared" si="1"/>
        <v>116.88056754655049</v>
      </c>
      <c r="S166" s="1">
        <v>426.47249999999997</v>
      </c>
      <c r="T166" s="1">
        <v>659.44350000000009</v>
      </c>
      <c r="U166" s="1">
        <v>644.34749999999997</v>
      </c>
      <c r="V166" s="1">
        <v>837.048</v>
      </c>
      <c r="W166" s="1">
        <v>339.90749999999997</v>
      </c>
      <c r="X166" s="1">
        <v>1253.4195</v>
      </c>
      <c r="Y166" s="1">
        <v>580.28250000000003</v>
      </c>
      <c r="Z166" s="1">
        <v>681.9375</v>
      </c>
      <c r="AA166" s="3">
        <v>15000</v>
      </c>
      <c r="AB166" s="1">
        <v>8501.4390000000003</v>
      </c>
    </row>
    <row r="167" spans="1:28" x14ac:dyDescent="0.25">
      <c r="A167" s="1">
        <v>166</v>
      </c>
      <c r="B167" s="2">
        <v>50649</v>
      </c>
      <c r="C167" s="1">
        <v>1463.2739999999999</v>
      </c>
      <c r="D167" s="1">
        <v>157.90199999999999</v>
      </c>
      <c r="E167" s="1">
        <v>607.16549999999995</v>
      </c>
      <c r="F167" s="1">
        <v>779.97299999999996</v>
      </c>
      <c r="G167" s="1">
        <v>189.69749999999999</v>
      </c>
      <c r="H167" s="1">
        <v>615.49649999999997</v>
      </c>
      <c r="I167" s="1">
        <v>456.69600000000003</v>
      </c>
      <c r="J167" s="1">
        <v>282.375</v>
      </c>
      <c r="K167" s="1">
        <v>463.48050000000001</v>
      </c>
      <c r="L167" s="1">
        <v>537.4815000000001</v>
      </c>
      <c r="M167" s="1">
        <v>651.04049999999995</v>
      </c>
      <c r="N167" s="4">
        <f t="shared" si="0"/>
        <v>69.248021406652597</v>
      </c>
      <c r="O167" s="1">
        <v>373.92899999999997</v>
      </c>
      <c r="P167" s="1">
        <v>284.8125</v>
      </c>
      <c r="Q167" s="4">
        <v>444.12150000000003</v>
      </c>
      <c r="R167" s="4">
        <f t="shared" si="1"/>
        <v>115.71176187108499</v>
      </c>
      <c r="S167" s="1">
        <v>422.98649999999998</v>
      </c>
      <c r="T167" s="1">
        <v>661.25850000000003</v>
      </c>
      <c r="U167" s="1">
        <v>642.32100000000003</v>
      </c>
      <c r="V167" s="1">
        <v>832.92899999999986</v>
      </c>
      <c r="W167" s="1">
        <v>338.33100000000002</v>
      </c>
      <c r="X167" s="1">
        <v>1251.6434999999999</v>
      </c>
      <c r="Y167" s="1">
        <v>579.32849999999996</v>
      </c>
      <c r="Z167" s="1">
        <v>679.26599999999996</v>
      </c>
      <c r="AA167" s="3">
        <v>15000</v>
      </c>
      <c r="AB167" s="1">
        <v>8477.2019999999993</v>
      </c>
    </row>
    <row r="168" spans="1:28" x14ac:dyDescent="0.25">
      <c r="A168" s="1">
        <v>167</v>
      </c>
      <c r="B168" s="2">
        <v>50679</v>
      </c>
      <c r="C168" s="1">
        <v>1460.4960000000001</v>
      </c>
      <c r="D168" s="1">
        <v>157.36500000000001</v>
      </c>
      <c r="E168" s="1">
        <v>606.024</v>
      </c>
      <c r="F168" s="1">
        <v>777.25350000000003</v>
      </c>
      <c r="G168" s="1">
        <v>189.36599999999999</v>
      </c>
      <c r="H168" s="1">
        <v>614.66700000000003</v>
      </c>
      <c r="I168" s="1">
        <v>456.31499999999994</v>
      </c>
      <c r="J168" s="1">
        <v>281.87850000000003</v>
      </c>
      <c r="K168" s="1">
        <v>461.90999999999997</v>
      </c>
      <c r="L168" s="1">
        <v>534.25350000000003</v>
      </c>
      <c r="M168" s="1">
        <v>648.76199999999994</v>
      </c>
      <c r="N168" s="4">
        <f t="shared" si="0"/>
        <v>68.555541192586077</v>
      </c>
      <c r="O168" s="1">
        <v>371.87850000000003</v>
      </c>
      <c r="P168" s="1">
        <v>284.46750000000003</v>
      </c>
      <c r="Q168" s="4">
        <v>444.41549999999995</v>
      </c>
      <c r="R168" s="4">
        <f t="shared" si="1"/>
        <v>114.55464425237413</v>
      </c>
      <c r="S168" s="1">
        <v>420.339</v>
      </c>
      <c r="T168" s="1">
        <v>662.47950000000003</v>
      </c>
      <c r="U168" s="1">
        <v>640.74149999999997</v>
      </c>
      <c r="V168" s="1">
        <v>829.64549999999997</v>
      </c>
      <c r="W168" s="1">
        <v>337.077</v>
      </c>
      <c r="X168" s="1">
        <v>1250.202</v>
      </c>
      <c r="Y168" s="1">
        <v>578.56499999999994</v>
      </c>
      <c r="Z168" s="1">
        <v>676.74149999999997</v>
      </c>
      <c r="AA168" s="3">
        <v>15000</v>
      </c>
      <c r="AB168" s="1">
        <v>8456.7039999999997</v>
      </c>
    </row>
    <row r="169" spans="1:28" x14ac:dyDescent="0.25">
      <c r="A169" s="1">
        <v>168</v>
      </c>
      <c r="B169" s="2">
        <v>50710</v>
      </c>
      <c r="C169" s="1">
        <v>1457.6655000000001</v>
      </c>
      <c r="D169" s="1">
        <v>156.6045</v>
      </c>
      <c r="E169" s="1">
        <v>604.60050000000001</v>
      </c>
      <c r="F169" s="1">
        <v>774.02550000000008</v>
      </c>
      <c r="G169" s="1">
        <v>188.721</v>
      </c>
      <c r="H169" s="1">
        <v>613.86750000000006</v>
      </c>
      <c r="I169" s="1">
        <v>455.89949999999999</v>
      </c>
      <c r="J169" s="1">
        <v>281.32500000000005</v>
      </c>
      <c r="K169" s="1">
        <v>460.08750000000003</v>
      </c>
      <c r="L169" s="1">
        <v>530.67450000000008</v>
      </c>
      <c r="M169" s="1">
        <v>646.16249999999991</v>
      </c>
      <c r="N169" s="4">
        <f t="shared" si="0"/>
        <v>67.869985780660215</v>
      </c>
      <c r="O169" s="1">
        <v>369.64949999999999</v>
      </c>
      <c r="P169" s="1">
        <v>283.97550000000001</v>
      </c>
      <c r="Q169" s="4">
        <v>444.62849999999997</v>
      </c>
      <c r="R169" s="4">
        <f t="shared" si="1"/>
        <v>113.40909780985039</v>
      </c>
      <c r="S169" s="1">
        <v>417.17550000000006</v>
      </c>
      <c r="T169" s="1">
        <v>663.82500000000005</v>
      </c>
      <c r="U169" s="1">
        <v>638.84999999999991</v>
      </c>
      <c r="V169" s="1">
        <v>825.79950000000008</v>
      </c>
      <c r="W169" s="1">
        <v>335.637</v>
      </c>
      <c r="X169" s="1">
        <v>1248.375</v>
      </c>
      <c r="Y169" s="1">
        <v>577.64400000000001</v>
      </c>
      <c r="Z169" s="1">
        <v>673.71299999999997</v>
      </c>
      <c r="AA169" s="3">
        <v>15000</v>
      </c>
      <c r="AB169" s="1">
        <v>8432.8019999999997</v>
      </c>
    </row>
    <row r="170" spans="1:28" x14ac:dyDescent="0.25">
      <c r="A170" s="1">
        <v>169</v>
      </c>
      <c r="B170" s="2">
        <v>50740</v>
      </c>
      <c r="C170" s="1">
        <v>1454.472</v>
      </c>
      <c r="D170" s="1">
        <v>155.88749999999999</v>
      </c>
      <c r="E170" s="1">
        <v>603.25350000000003</v>
      </c>
      <c r="F170" s="1">
        <v>771.10950000000003</v>
      </c>
      <c r="G170" s="1">
        <v>188.292</v>
      </c>
      <c r="H170" s="1">
        <v>613.03649999999993</v>
      </c>
      <c r="I170" s="1">
        <v>455.49149999999997</v>
      </c>
      <c r="J170" s="1">
        <v>280.839</v>
      </c>
      <c r="K170" s="1">
        <v>458.4135</v>
      </c>
      <c r="L170" s="1">
        <v>527.23800000000006</v>
      </c>
      <c r="M170" s="1">
        <v>643.76549999999997</v>
      </c>
      <c r="N170" s="4">
        <f t="shared" si="0"/>
        <v>67.191285922853609</v>
      </c>
      <c r="O170" s="1">
        <v>367.572</v>
      </c>
      <c r="P170" s="1">
        <v>283.524</v>
      </c>
      <c r="Q170" s="4">
        <v>444.92550000000006</v>
      </c>
      <c r="R170" s="4">
        <f t="shared" si="1"/>
        <v>112.2750068317519</v>
      </c>
      <c r="S170" s="1">
        <v>413.85450000000003</v>
      </c>
      <c r="T170" s="1">
        <v>664.86300000000006</v>
      </c>
      <c r="U170" s="1">
        <v>637.20899999999995</v>
      </c>
      <c r="V170" s="1">
        <v>822.19350000000009</v>
      </c>
      <c r="W170" s="1">
        <v>334.34250000000003</v>
      </c>
      <c r="X170" s="1">
        <v>1246.7175</v>
      </c>
      <c r="Y170" s="1">
        <v>576.81000000000006</v>
      </c>
      <c r="Z170" s="1">
        <v>670.72350000000006</v>
      </c>
      <c r="AA170" s="3">
        <v>15000</v>
      </c>
      <c r="AB170" s="1">
        <v>8409.8539999999994</v>
      </c>
    </row>
    <row r="171" spans="1:28" x14ac:dyDescent="0.25">
      <c r="A171" s="1">
        <v>170</v>
      </c>
      <c r="B171" s="2">
        <v>50771</v>
      </c>
      <c r="C171" s="1">
        <v>1451.3910000000001</v>
      </c>
      <c r="D171" s="1">
        <v>155.02949999999998</v>
      </c>
      <c r="E171" s="1">
        <v>601.63799999999992</v>
      </c>
      <c r="F171" s="1">
        <v>767.89949999999999</v>
      </c>
      <c r="G171" s="1">
        <v>187.76850000000002</v>
      </c>
      <c r="H171" s="1">
        <v>612.23099999999999</v>
      </c>
      <c r="I171" s="1">
        <v>454.99950000000001</v>
      </c>
      <c r="J171" s="1">
        <v>280.3005</v>
      </c>
      <c r="K171" s="1">
        <v>456.61950000000002</v>
      </c>
      <c r="L171" s="1">
        <v>523.67550000000006</v>
      </c>
      <c r="M171" s="1">
        <v>641.21250000000009</v>
      </c>
      <c r="N171" s="4">
        <f t="shared" si="0"/>
        <v>66.519373063625068</v>
      </c>
      <c r="O171" s="1">
        <v>365.4</v>
      </c>
      <c r="P171" s="1">
        <v>282.9495</v>
      </c>
      <c r="Q171" s="4">
        <v>445.173</v>
      </c>
      <c r="R171" s="4">
        <f t="shared" si="1"/>
        <v>111.15225676343438</v>
      </c>
      <c r="S171" s="1">
        <v>410.23800000000006</v>
      </c>
      <c r="T171" s="1">
        <v>665.91300000000001</v>
      </c>
      <c r="U171" s="1">
        <v>635.40000000000009</v>
      </c>
      <c r="V171" s="1">
        <v>818.35050000000001</v>
      </c>
      <c r="W171" s="1">
        <v>332.92499999999995</v>
      </c>
      <c r="X171" s="1">
        <v>1244.8755000000001</v>
      </c>
      <c r="Y171" s="1">
        <v>575.90699999999993</v>
      </c>
      <c r="Z171" s="1">
        <v>667.45650000000001</v>
      </c>
      <c r="AA171" s="3">
        <v>15000</v>
      </c>
      <c r="AB171" s="1">
        <v>8385.0620000000017</v>
      </c>
    </row>
    <row r="172" spans="1:28" x14ac:dyDescent="0.25">
      <c r="A172" s="1">
        <v>171</v>
      </c>
      <c r="B172" s="2">
        <v>50802</v>
      </c>
      <c r="C172" s="1">
        <v>1447.9515000000001</v>
      </c>
      <c r="D172" s="1">
        <v>154.36350000000002</v>
      </c>
      <c r="E172" s="1">
        <v>600.024</v>
      </c>
      <c r="F172" s="1">
        <v>764.89049999999997</v>
      </c>
      <c r="G172" s="1">
        <v>187.0035</v>
      </c>
      <c r="H172" s="1">
        <v>611.43000000000006</v>
      </c>
      <c r="I172" s="1">
        <v>454.572</v>
      </c>
      <c r="J172" s="1">
        <v>279.798</v>
      </c>
      <c r="K172" s="1">
        <v>454.92899999999997</v>
      </c>
      <c r="L172" s="1">
        <v>520.27049999999997</v>
      </c>
      <c r="M172" s="1">
        <v>638.78250000000003</v>
      </c>
      <c r="N172" s="4">
        <f t="shared" si="0"/>
        <v>65.854179332988821</v>
      </c>
      <c r="O172" s="1">
        <v>363.339</v>
      </c>
      <c r="P172" s="1">
        <v>282.387</v>
      </c>
      <c r="Q172" s="4">
        <v>445.41300000000001</v>
      </c>
      <c r="R172" s="4">
        <f t="shared" si="1"/>
        <v>110.04073419580004</v>
      </c>
      <c r="S172" s="1">
        <v>406.899</v>
      </c>
      <c r="T172" s="1">
        <v>666.94350000000009</v>
      </c>
      <c r="U172" s="1">
        <v>633.726</v>
      </c>
      <c r="V172" s="1">
        <v>814.79099999999994</v>
      </c>
      <c r="W172" s="1">
        <v>331.63350000000003</v>
      </c>
      <c r="X172" s="1">
        <v>1243.0889999999999</v>
      </c>
      <c r="Y172" s="1">
        <v>575.04449999999997</v>
      </c>
      <c r="Z172" s="1">
        <v>664.43999999999994</v>
      </c>
      <c r="AA172" s="3">
        <v>15000</v>
      </c>
      <c r="AB172" s="1">
        <v>8361.3019999999979</v>
      </c>
    </row>
    <row r="173" spans="1:28" x14ac:dyDescent="0.25">
      <c r="A173" s="1">
        <v>172</v>
      </c>
      <c r="B173" s="2">
        <v>50830</v>
      </c>
      <c r="C173" s="1">
        <v>1444.5014999999999</v>
      </c>
      <c r="D173" s="1">
        <v>153.726</v>
      </c>
      <c r="E173" s="1">
        <v>598.34249999999997</v>
      </c>
      <c r="F173" s="1">
        <v>761.91600000000005</v>
      </c>
      <c r="G173" s="1">
        <v>186.78</v>
      </c>
      <c r="H173" s="1">
        <v>610.55700000000002</v>
      </c>
      <c r="I173" s="1">
        <v>454.089</v>
      </c>
      <c r="J173" s="1">
        <v>279.339</v>
      </c>
      <c r="K173" s="1">
        <v>453.26550000000003</v>
      </c>
      <c r="L173" s="1">
        <v>516.89549999999997</v>
      </c>
      <c r="M173" s="1">
        <v>636.423</v>
      </c>
      <c r="N173" s="4">
        <f t="shared" si="0"/>
        <v>65.195637539658932</v>
      </c>
      <c r="O173" s="1">
        <v>361.28249999999997</v>
      </c>
      <c r="P173" s="1">
        <v>281.73450000000003</v>
      </c>
      <c r="Q173" s="4">
        <v>445.64549999999997</v>
      </c>
      <c r="R173" s="4">
        <f t="shared" si="1"/>
        <v>108.94032685384204</v>
      </c>
      <c r="S173" s="1">
        <v>403.572</v>
      </c>
      <c r="T173" s="1">
        <v>667.851</v>
      </c>
      <c r="U173" s="1">
        <v>632.05649999999991</v>
      </c>
      <c r="V173" s="1">
        <v>811.25850000000014</v>
      </c>
      <c r="W173" s="1">
        <v>330.351</v>
      </c>
      <c r="X173" s="1">
        <v>1241.25</v>
      </c>
      <c r="Y173" s="1">
        <v>574.16700000000003</v>
      </c>
      <c r="Z173" s="1">
        <v>661.37250000000006</v>
      </c>
      <c r="AA173" s="3">
        <v>15000</v>
      </c>
      <c r="AB173" s="1">
        <v>8337.7450000000008</v>
      </c>
    </row>
    <row r="174" spans="1:28" x14ac:dyDescent="0.25">
      <c r="A174" s="1">
        <v>173</v>
      </c>
      <c r="B174" s="2">
        <v>50861</v>
      </c>
      <c r="C174" s="1">
        <v>1441.1129999999998</v>
      </c>
      <c r="D174" s="1">
        <v>153.12450000000001</v>
      </c>
      <c r="E174" s="1">
        <v>596.48700000000008</v>
      </c>
      <c r="F174" s="1">
        <v>758.74950000000001</v>
      </c>
      <c r="G174" s="1">
        <v>186.48750000000001</v>
      </c>
      <c r="H174" s="1">
        <v>609.81449999999995</v>
      </c>
      <c r="I174" s="1">
        <v>453.55050000000006</v>
      </c>
      <c r="J174" s="1">
        <v>278.8245</v>
      </c>
      <c r="K174" s="1">
        <v>451.51949999999999</v>
      </c>
      <c r="L174" s="1">
        <v>513.45000000000005</v>
      </c>
      <c r="M174" s="1">
        <v>633.96299999999997</v>
      </c>
      <c r="N174" s="4">
        <f t="shared" si="0"/>
        <v>64.543681164262338</v>
      </c>
      <c r="O174" s="1">
        <v>359.22450000000003</v>
      </c>
      <c r="P174" s="1">
        <v>281.02499999999998</v>
      </c>
      <c r="Q174" s="4">
        <v>445.88699999999994</v>
      </c>
      <c r="R174" s="4">
        <f t="shared" si="1"/>
        <v>107.85092358530362</v>
      </c>
      <c r="S174" s="1">
        <v>400.11300000000006</v>
      </c>
      <c r="T174" s="1">
        <v>668.7</v>
      </c>
      <c r="U174" s="1">
        <v>630.25049999999999</v>
      </c>
      <c r="V174" s="1">
        <v>807.4994999999999</v>
      </c>
      <c r="W174" s="1">
        <v>329.02499999999998</v>
      </c>
      <c r="X174" s="1">
        <v>1239.2745</v>
      </c>
      <c r="Y174" s="1">
        <v>573.25049999999999</v>
      </c>
      <c r="Z174" s="1">
        <v>658.11899999999991</v>
      </c>
      <c r="AA174" s="3">
        <v>15000</v>
      </c>
      <c r="AB174" s="1">
        <v>8313.0930000000008</v>
      </c>
    </row>
    <row r="175" spans="1:28" x14ac:dyDescent="0.25">
      <c r="A175" s="1">
        <v>174</v>
      </c>
      <c r="B175" s="2">
        <v>50891</v>
      </c>
      <c r="C175" s="1">
        <v>1437.6030000000001</v>
      </c>
      <c r="D175" s="1">
        <v>152.5095</v>
      </c>
      <c r="E175" s="1">
        <v>594.73800000000006</v>
      </c>
      <c r="F175" s="1">
        <v>755.83050000000003</v>
      </c>
      <c r="G175" s="1">
        <v>185.982</v>
      </c>
      <c r="H175" s="1">
        <v>608.99699999999996</v>
      </c>
      <c r="I175" s="1">
        <v>453</v>
      </c>
      <c r="J175" s="1">
        <v>278.34749999999997</v>
      </c>
      <c r="K175" s="1">
        <v>449.928</v>
      </c>
      <c r="L175" s="1">
        <v>510.351</v>
      </c>
      <c r="M175" s="1">
        <v>631.71749999999997</v>
      </c>
      <c r="N175" s="4">
        <f t="shared" si="0"/>
        <v>63.898244352619713</v>
      </c>
      <c r="O175" s="1">
        <v>357.363</v>
      </c>
      <c r="P175" s="1">
        <v>280.35449999999997</v>
      </c>
      <c r="Q175" s="4">
        <v>446.07449999999994</v>
      </c>
      <c r="R175" s="4">
        <f t="shared" si="1"/>
        <v>106.77241434945059</v>
      </c>
      <c r="S175" s="1">
        <v>396.99149999999997</v>
      </c>
      <c r="T175" s="1">
        <v>669.38699999999994</v>
      </c>
      <c r="U175" s="1">
        <v>628.69350000000009</v>
      </c>
      <c r="V175" s="1">
        <v>804.14549999999997</v>
      </c>
      <c r="W175" s="1">
        <v>327.786</v>
      </c>
      <c r="X175" s="1">
        <v>1237.452</v>
      </c>
      <c r="Y175" s="1">
        <v>572.39549999999997</v>
      </c>
      <c r="Z175" s="1">
        <v>655.08899999999994</v>
      </c>
      <c r="AA175" s="3">
        <v>15000</v>
      </c>
      <c r="AB175" s="1">
        <v>8289.9330000000009</v>
      </c>
    </row>
    <row r="176" spans="1:28" x14ac:dyDescent="0.25">
      <c r="A176" s="1">
        <v>175</v>
      </c>
      <c r="B176" s="2">
        <v>50922</v>
      </c>
      <c r="C176" s="1">
        <v>1434.204</v>
      </c>
      <c r="D176" s="1">
        <v>151.83150000000001</v>
      </c>
      <c r="E176" s="1">
        <v>592.76250000000005</v>
      </c>
      <c r="F176" s="1">
        <v>752.65049999999997</v>
      </c>
      <c r="G176" s="1">
        <v>185.577</v>
      </c>
      <c r="H176" s="1">
        <v>608.20349999999996</v>
      </c>
      <c r="I176" s="1">
        <v>452.42550000000006</v>
      </c>
      <c r="J176" s="1">
        <v>277.84950000000003</v>
      </c>
      <c r="K176" s="1">
        <v>448.21199999999999</v>
      </c>
      <c r="L176" s="1">
        <v>507.02549999999997</v>
      </c>
      <c r="M176" s="1">
        <v>629.27549999999997</v>
      </c>
      <c r="N176" s="4">
        <f t="shared" si="0"/>
        <v>63.259261909093517</v>
      </c>
      <c r="O176" s="1">
        <v>355.42499999999995</v>
      </c>
      <c r="P176" s="1">
        <v>279.52499999999998</v>
      </c>
      <c r="Q176" s="4">
        <v>446.23800000000006</v>
      </c>
      <c r="R176" s="4">
        <f t="shared" si="1"/>
        <v>105.70469020595608</v>
      </c>
      <c r="S176" s="1">
        <v>393.70049999999998</v>
      </c>
      <c r="T176" s="1">
        <v>670.01250000000005</v>
      </c>
      <c r="U176" s="1">
        <v>626.95049999999992</v>
      </c>
      <c r="V176" s="1">
        <v>800.40000000000009</v>
      </c>
      <c r="W176" s="1">
        <v>326.4255</v>
      </c>
      <c r="X176" s="1">
        <v>1235.3505</v>
      </c>
      <c r="Y176" s="1">
        <v>571.46849999999995</v>
      </c>
      <c r="Z176" s="1">
        <v>651.80700000000002</v>
      </c>
      <c r="AA176" s="3">
        <v>15000</v>
      </c>
      <c r="AB176" s="1">
        <v>8264.98</v>
      </c>
    </row>
    <row r="177" spans="1:28" x14ac:dyDescent="0.25">
      <c r="A177" s="1">
        <v>176</v>
      </c>
      <c r="B177" s="2">
        <v>50952</v>
      </c>
      <c r="C177" s="1">
        <v>1430.751</v>
      </c>
      <c r="D177" s="1">
        <v>151.11449999999999</v>
      </c>
      <c r="E177" s="1">
        <v>590.87850000000003</v>
      </c>
      <c r="F177" s="1">
        <v>749.54100000000005</v>
      </c>
      <c r="G177" s="1">
        <v>185.03100000000001</v>
      </c>
      <c r="H177" s="1">
        <v>607.39049999999997</v>
      </c>
      <c r="I177" s="1">
        <v>451.76550000000003</v>
      </c>
      <c r="J177" s="1">
        <v>277.25850000000003</v>
      </c>
      <c r="K177" s="1">
        <v>446.61300000000006</v>
      </c>
      <c r="L177" s="1">
        <v>503.964</v>
      </c>
      <c r="M177" s="1">
        <v>626.98800000000006</v>
      </c>
      <c r="N177" s="4">
        <f t="shared" si="0"/>
        <v>62.626669290002582</v>
      </c>
      <c r="O177" s="1">
        <v>353.637</v>
      </c>
      <c r="P177" s="1">
        <v>278.75850000000003</v>
      </c>
      <c r="Q177" s="4">
        <v>446.38799999999998</v>
      </c>
      <c r="R177" s="4">
        <f t="shared" si="1"/>
        <v>104.64764330389652</v>
      </c>
      <c r="S177" s="1">
        <v>390.64050000000003</v>
      </c>
      <c r="T177" s="1">
        <v>670.53600000000006</v>
      </c>
      <c r="U177" s="1">
        <v>769.30649999999991</v>
      </c>
      <c r="V177" s="1">
        <v>796.88700000000006</v>
      </c>
      <c r="W177" s="1">
        <v>324.88350000000003</v>
      </c>
      <c r="X177" s="1">
        <v>1231.2090000000001</v>
      </c>
      <c r="Y177" s="1">
        <v>567.6105</v>
      </c>
      <c r="Z177" s="1">
        <v>648.678</v>
      </c>
      <c r="AA177" s="3">
        <v>15000</v>
      </c>
      <c r="AB177" s="1">
        <v>8333.273000000001</v>
      </c>
    </row>
    <row r="178" spans="1:28" x14ac:dyDescent="0.25">
      <c r="A178" s="1">
        <v>177</v>
      </c>
      <c r="B178" s="2">
        <v>50983</v>
      </c>
      <c r="C178" s="1">
        <v>1427.3009999999999</v>
      </c>
      <c r="D178" s="1">
        <v>150.41849999999999</v>
      </c>
      <c r="E178" s="1">
        <v>589.08899999999994</v>
      </c>
      <c r="F178" s="1">
        <v>746.577</v>
      </c>
      <c r="G178" s="1">
        <v>184.5</v>
      </c>
      <c r="H178" s="1">
        <v>606.6105</v>
      </c>
      <c r="I178" s="1">
        <v>451.23449999999997</v>
      </c>
      <c r="J178" s="1">
        <v>276.678</v>
      </c>
      <c r="K178" s="1">
        <v>445.11899999999997</v>
      </c>
      <c r="L178" s="1">
        <v>501.13350000000003</v>
      </c>
      <c r="M178" s="1">
        <v>624.85950000000003</v>
      </c>
      <c r="N178" s="4">
        <f t="shared" si="0"/>
        <v>62.000402597102557</v>
      </c>
      <c r="O178" s="1">
        <v>352.01549999999997</v>
      </c>
      <c r="P178" s="1">
        <v>277.98450000000003</v>
      </c>
      <c r="Q178" s="4">
        <v>446.46749999999997</v>
      </c>
      <c r="R178" s="4">
        <f t="shared" si="1"/>
        <v>103.60116687085755</v>
      </c>
      <c r="S178" s="1">
        <v>387.798</v>
      </c>
      <c r="T178" s="1">
        <v>670.947</v>
      </c>
      <c r="U178" s="1">
        <v>783.84750000000008</v>
      </c>
      <c r="V178" s="1">
        <v>793.88700000000006</v>
      </c>
      <c r="W178" s="1">
        <v>323.46750000000003</v>
      </c>
      <c r="X178" s="1">
        <v>1227.9435000000001</v>
      </c>
      <c r="Y178" s="1">
        <v>565.78499999999997</v>
      </c>
      <c r="Z178" s="1">
        <v>645.66600000000005</v>
      </c>
      <c r="AA178" s="3">
        <v>15000</v>
      </c>
      <c r="AB178" s="1">
        <v>8319.61</v>
      </c>
    </row>
    <row r="179" spans="1:28" x14ac:dyDescent="0.25">
      <c r="A179" s="1">
        <v>178</v>
      </c>
      <c r="B179" s="2">
        <v>51014</v>
      </c>
      <c r="C179" s="1">
        <v>1424.2725</v>
      </c>
      <c r="D179" s="1">
        <v>149.76749999999998</v>
      </c>
      <c r="E179" s="1">
        <v>586.875</v>
      </c>
      <c r="F179" s="1">
        <v>742.9815000000001</v>
      </c>
      <c r="G179" s="1">
        <v>184.16550000000001</v>
      </c>
      <c r="H179" s="1">
        <v>605.89649999999995</v>
      </c>
      <c r="I179" s="1">
        <v>450.48150000000004</v>
      </c>
      <c r="J179" s="1">
        <v>275.97300000000001</v>
      </c>
      <c r="K179" s="1">
        <v>443.35650000000004</v>
      </c>
      <c r="L179" s="1">
        <v>497.8125</v>
      </c>
      <c r="M179" s="1">
        <v>622.35299999999995</v>
      </c>
      <c r="N179" s="4">
        <f t="shared" si="0"/>
        <v>61.380398571131529</v>
      </c>
      <c r="O179" s="1">
        <v>350.11649999999997</v>
      </c>
      <c r="P179" s="1">
        <v>277.07100000000003</v>
      </c>
      <c r="Q179" s="4">
        <v>446.553</v>
      </c>
      <c r="R179" s="4">
        <f t="shared" si="1"/>
        <v>102.56515520214897</v>
      </c>
      <c r="S179" s="1">
        <v>384.46800000000002</v>
      </c>
      <c r="T179" s="1">
        <v>671.38350000000003</v>
      </c>
      <c r="U179" s="1">
        <v>780.88350000000014</v>
      </c>
      <c r="V179" s="1">
        <v>790.2315000000001</v>
      </c>
      <c r="W179" s="1">
        <v>321.96449999999999</v>
      </c>
      <c r="X179" s="1">
        <v>1224.2684999999999</v>
      </c>
      <c r="Y179" s="1">
        <v>564.375</v>
      </c>
      <c r="Z179" s="1">
        <v>642.10050000000001</v>
      </c>
      <c r="AA179" s="3">
        <v>15000</v>
      </c>
      <c r="AB179" s="1">
        <v>8291.5969999999998</v>
      </c>
    </row>
    <row r="180" spans="1:28" x14ac:dyDescent="0.25">
      <c r="A180" s="1">
        <v>179</v>
      </c>
      <c r="B180" s="2">
        <v>51044</v>
      </c>
      <c r="C180" s="1">
        <v>1420.9214999999999</v>
      </c>
      <c r="D180" s="1">
        <v>149.10750000000002</v>
      </c>
      <c r="E180" s="1">
        <v>585.09749999999997</v>
      </c>
      <c r="F180" s="1">
        <v>740.08050000000003</v>
      </c>
      <c r="G180" s="1">
        <v>183.69</v>
      </c>
      <c r="H180" s="1">
        <v>605.09850000000006</v>
      </c>
      <c r="I180" s="1">
        <v>449.87849999999997</v>
      </c>
      <c r="J180" s="1">
        <v>275.41949999999997</v>
      </c>
      <c r="K180" s="1">
        <v>441.9615</v>
      </c>
      <c r="L180" s="1">
        <v>495.19350000000003</v>
      </c>
      <c r="M180" s="1">
        <v>620.38350000000003</v>
      </c>
      <c r="N180" s="4">
        <f t="shared" si="0"/>
        <v>60.766594585420215</v>
      </c>
      <c r="O180" s="1">
        <v>348.62850000000003</v>
      </c>
      <c r="P180" s="1">
        <v>276.26549999999997</v>
      </c>
      <c r="Q180" s="4">
        <v>446.59800000000007</v>
      </c>
      <c r="R180" s="4">
        <f t="shared" si="1"/>
        <v>101.53950365012749</v>
      </c>
      <c r="S180" s="1">
        <v>381.85950000000003</v>
      </c>
      <c r="T180" s="1">
        <v>671.66100000000006</v>
      </c>
      <c r="U180" s="1">
        <v>778.25850000000014</v>
      </c>
      <c r="V180" s="1">
        <v>787.40249999999992</v>
      </c>
      <c r="W180" s="1">
        <v>320.84250000000003</v>
      </c>
      <c r="X180" s="1">
        <v>1221.4590000000001</v>
      </c>
      <c r="Y180" s="1">
        <v>563.40750000000003</v>
      </c>
      <c r="Z180" s="1">
        <v>639.10950000000003</v>
      </c>
      <c r="AA180" s="3">
        <v>15000</v>
      </c>
      <c r="AB180" s="1">
        <v>8268.2420000000002</v>
      </c>
    </row>
    <row r="181" spans="1:28" x14ac:dyDescent="0.25">
      <c r="A181" s="1">
        <v>180</v>
      </c>
      <c r="B181" s="2">
        <v>51075</v>
      </c>
      <c r="C181" s="1">
        <v>1417.7730000000001</v>
      </c>
      <c r="D181" s="1">
        <v>148.43700000000001</v>
      </c>
      <c r="E181" s="1">
        <v>583.02449999999999</v>
      </c>
      <c r="F181" s="1">
        <v>736.62450000000001</v>
      </c>
      <c r="G181" s="1">
        <v>183.38550000000001</v>
      </c>
      <c r="H181" s="1">
        <v>604.34550000000002</v>
      </c>
      <c r="I181" s="1">
        <v>449.14949999999999</v>
      </c>
      <c r="J181" s="1">
        <v>274.79999999999995</v>
      </c>
      <c r="K181" s="1">
        <v>440.32500000000005</v>
      </c>
      <c r="L181" s="1">
        <v>492.11249999999995</v>
      </c>
      <c r="M181" s="1">
        <v>618.11249999999995</v>
      </c>
      <c r="N181" s="4">
        <f t="shared" si="0"/>
        <v>60.158928639566014</v>
      </c>
      <c r="O181" s="1">
        <v>346.90049999999997</v>
      </c>
      <c r="P181" s="1">
        <v>275.37450000000001</v>
      </c>
      <c r="Q181" s="4">
        <v>446.63699999999994</v>
      </c>
      <c r="R181" s="4">
        <f t="shared" si="1"/>
        <v>100.52410861362621</v>
      </c>
      <c r="S181" s="1">
        <v>378.87450000000001</v>
      </c>
      <c r="T181" s="1">
        <v>671.91300000000001</v>
      </c>
      <c r="U181" s="1">
        <v>774.57450000000006</v>
      </c>
      <c r="V181" s="1">
        <v>783.94950000000006</v>
      </c>
      <c r="W181" s="1">
        <v>319.52549999999997</v>
      </c>
      <c r="X181" s="1">
        <v>1218.2505000000001</v>
      </c>
      <c r="Y181" s="1">
        <v>562.29300000000001</v>
      </c>
      <c r="Z181" s="1">
        <v>635.50649999999996</v>
      </c>
      <c r="AA181" s="3">
        <v>15000</v>
      </c>
      <c r="AB181" s="1">
        <v>8241.2339999999986</v>
      </c>
    </row>
    <row r="182" spans="1:28" x14ac:dyDescent="0.25">
      <c r="A182" s="1">
        <v>181</v>
      </c>
      <c r="B182" s="2">
        <v>51105</v>
      </c>
      <c r="C182" s="1">
        <v>1414.566</v>
      </c>
      <c r="D182" s="1">
        <v>147.74849999999998</v>
      </c>
      <c r="E182" s="1">
        <v>581.10450000000003</v>
      </c>
      <c r="F182" s="1">
        <v>733.476</v>
      </c>
      <c r="G182" s="1">
        <v>183.18299999999999</v>
      </c>
      <c r="H182" s="1">
        <v>603.5625</v>
      </c>
      <c r="I182" s="1">
        <v>448.428</v>
      </c>
      <c r="J182" s="1">
        <v>274.23450000000003</v>
      </c>
      <c r="K182" s="1">
        <v>438.84000000000003</v>
      </c>
      <c r="L182" s="1">
        <v>489.339</v>
      </c>
      <c r="M182" s="1">
        <v>616.053</v>
      </c>
      <c r="N182" s="4">
        <f t="shared" si="0"/>
        <v>59.557339353170356</v>
      </c>
      <c r="O182" s="1">
        <v>345.339</v>
      </c>
      <c r="P182" s="1">
        <v>274.452</v>
      </c>
      <c r="Q182" s="4">
        <v>446.59950000000003</v>
      </c>
      <c r="R182" s="4">
        <f t="shared" si="1"/>
        <v>99.518867527489945</v>
      </c>
      <c r="S182" s="1">
        <v>376.209</v>
      </c>
      <c r="T182" s="1">
        <v>672.10950000000003</v>
      </c>
      <c r="U182" s="1">
        <v>770.80649999999991</v>
      </c>
      <c r="V182" s="1">
        <v>780.87149999999997</v>
      </c>
      <c r="W182" s="1">
        <v>318.399</v>
      </c>
      <c r="X182" s="1">
        <v>1215.3389999999999</v>
      </c>
      <c r="Y182" s="1">
        <v>561.25350000000003</v>
      </c>
      <c r="Z182" s="1">
        <v>632.09249999999997</v>
      </c>
      <c r="AA182" s="3">
        <v>15000</v>
      </c>
      <c r="AB182" s="1">
        <v>8215.9239999999991</v>
      </c>
    </row>
    <row r="183" spans="1:28" x14ac:dyDescent="0.25">
      <c r="A183" s="1">
        <v>182</v>
      </c>
      <c r="B183" s="2">
        <v>51136</v>
      </c>
      <c r="C183" s="1">
        <v>1411.4985000000001</v>
      </c>
      <c r="D183" s="1">
        <v>147.05850000000001</v>
      </c>
      <c r="E183" s="1">
        <v>578.97450000000003</v>
      </c>
      <c r="F183" s="1">
        <v>730.05</v>
      </c>
      <c r="G183" s="1">
        <v>182.0985</v>
      </c>
      <c r="H183" s="1">
        <v>602.80799999999999</v>
      </c>
      <c r="I183" s="1">
        <v>447.70049999999998</v>
      </c>
      <c r="J183" s="1">
        <v>273.64949999999999</v>
      </c>
      <c r="K183" s="1">
        <v>437.23050000000001</v>
      </c>
      <c r="L183" s="1">
        <v>486.32549999999998</v>
      </c>
      <c r="M183" s="1">
        <v>613.81200000000001</v>
      </c>
      <c r="N183" s="4">
        <f t="shared" si="0"/>
        <v>58.961765959638655</v>
      </c>
      <c r="O183" s="1">
        <v>343.6755</v>
      </c>
      <c r="P183" s="1">
        <v>273.49950000000001</v>
      </c>
      <c r="Q183" s="4">
        <v>446.47950000000003</v>
      </c>
      <c r="R183" s="4">
        <f t="shared" si="1"/>
        <v>98.523678852215042</v>
      </c>
      <c r="S183" s="1">
        <v>373.38750000000005</v>
      </c>
      <c r="T183" s="1">
        <v>672.26250000000005</v>
      </c>
      <c r="U183" s="1">
        <v>766.45049999999992</v>
      </c>
      <c r="V183" s="1">
        <v>777.4994999999999</v>
      </c>
      <c r="W183" s="1">
        <v>317.14949999999999</v>
      </c>
      <c r="X183" s="1">
        <v>1212.2249999999999</v>
      </c>
      <c r="Y183" s="1">
        <v>560.11950000000002</v>
      </c>
      <c r="Z183" s="1">
        <v>628.35599999999999</v>
      </c>
      <c r="AA183" s="3">
        <v>15000</v>
      </c>
      <c r="AB183" s="1">
        <v>8188.0959999999995</v>
      </c>
    </row>
    <row r="184" spans="1:28" x14ac:dyDescent="0.25">
      <c r="A184" s="1">
        <v>183</v>
      </c>
      <c r="B184" s="2">
        <v>51167</v>
      </c>
      <c r="C184" s="1">
        <v>1408.3530000000001</v>
      </c>
      <c r="D184" s="1">
        <v>146.3655</v>
      </c>
      <c r="E184" s="1">
        <v>576.99149999999997</v>
      </c>
      <c r="F184" s="1">
        <v>726.84749999999997</v>
      </c>
      <c r="G184" s="1">
        <v>181.51650000000001</v>
      </c>
      <c r="H184" s="1">
        <v>602.02649999999994</v>
      </c>
      <c r="I184" s="1">
        <v>446.952</v>
      </c>
      <c r="J184" s="1">
        <v>273.14550000000003</v>
      </c>
      <c r="K184" s="1">
        <v>435.73199999999997</v>
      </c>
      <c r="L184" s="1">
        <v>483.52049999999997</v>
      </c>
      <c r="M184" s="1">
        <v>611.70899999999995</v>
      </c>
      <c r="N184" s="4">
        <f t="shared" si="0"/>
        <v>58.372148300042269</v>
      </c>
      <c r="O184" s="1">
        <v>342.12149999999997</v>
      </c>
      <c r="P184" s="1">
        <v>272.565</v>
      </c>
      <c r="Q184" s="4">
        <v>446.31299999999999</v>
      </c>
      <c r="R184" s="4">
        <f t="shared" si="1"/>
        <v>97.538442063692884</v>
      </c>
      <c r="S184" s="1">
        <v>370.77750000000003</v>
      </c>
      <c r="T184" s="1">
        <v>672.351</v>
      </c>
      <c r="U184" s="1">
        <v>762.26549999999997</v>
      </c>
      <c r="V184" s="1">
        <v>774.38700000000006</v>
      </c>
      <c r="W184" s="1">
        <v>316.01549999999997</v>
      </c>
      <c r="X184" s="1">
        <v>1209.2909999999999</v>
      </c>
      <c r="Y184" s="1">
        <v>559.02149999999995</v>
      </c>
      <c r="Z184" s="1">
        <v>624.78600000000006</v>
      </c>
      <c r="AA184" s="3">
        <v>15000</v>
      </c>
      <c r="AB184" s="1">
        <v>8161.9209999999985</v>
      </c>
    </row>
    <row r="185" spans="1:28" x14ac:dyDescent="0.25">
      <c r="A185" s="1">
        <v>184</v>
      </c>
      <c r="B185" s="2">
        <v>51196</v>
      </c>
      <c r="C185" s="1">
        <v>1405.2345</v>
      </c>
      <c r="D185" s="1">
        <v>145.6455</v>
      </c>
      <c r="E185" s="1">
        <v>575.00850000000003</v>
      </c>
      <c r="F185" s="1">
        <v>723.62850000000003</v>
      </c>
      <c r="G185" s="1">
        <v>180.59550000000002</v>
      </c>
      <c r="H185" s="1">
        <v>601.24800000000005</v>
      </c>
      <c r="I185" s="1">
        <v>446.202</v>
      </c>
      <c r="J185" s="1">
        <v>272.589</v>
      </c>
      <c r="K185" s="1">
        <v>434.23800000000006</v>
      </c>
      <c r="L185" s="1">
        <v>480.726</v>
      </c>
      <c r="M185" s="1">
        <v>609.64049999999997</v>
      </c>
      <c r="N185" s="4">
        <f t="shared" si="0"/>
        <v>57.788426817041845</v>
      </c>
      <c r="O185" s="1">
        <v>340.572</v>
      </c>
      <c r="P185" s="1">
        <v>271.59749999999997</v>
      </c>
      <c r="Q185" s="4">
        <v>446.14050000000003</v>
      </c>
      <c r="R185" s="4">
        <f t="shared" si="1"/>
        <v>96.563057643055956</v>
      </c>
      <c r="S185" s="1">
        <v>368.238</v>
      </c>
      <c r="T185" s="1">
        <v>672.41100000000006</v>
      </c>
      <c r="U185" s="1">
        <v>758.12850000000003</v>
      </c>
      <c r="V185" s="1">
        <v>771.24149999999986</v>
      </c>
      <c r="W185" s="1">
        <v>314.87850000000003</v>
      </c>
      <c r="X185" s="1">
        <v>1206.3389999999999</v>
      </c>
      <c r="Y185" s="1">
        <v>557.90250000000003</v>
      </c>
      <c r="Z185" s="1">
        <v>621.19949999999994</v>
      </c>
      <c r="AA185" s="3">
        <v>15000</v>
      </c>
      <c r="AB185" s="1">
        <v>8135.4909999999991</v>
      </c>
    </row>
    <row r="186" spans="1:28" x14ac:dyDescent="0.25">
      <c r="A186" s="1">
        <v>185</v>
      </c>
      <c r="B186" s="2">
        <v>51227</v>
      </c>
      <c r="C186" s="1">
        <v>1402.173</v>
      </c>
      <c r="D186" s="1">
        <v>144.92249999999999</v>
      </c>
      <c r="E186" s="1">
        <v>572.95049999999992</v>
      </c>
      <c r="F186" s="1">
        <v>720.41249999999991</v>
      </c>
      <c r="G186" s="1">
        <v>180.73050000000001</v>
      </c>
      <c r="H186" s="1">
        <v>600.53700000000003</v>
      </c>
      <c r="I186" s="1">
        <v>445.39949999999999</v>
      </c>
      <c r="J186" s="1">
        <v>272.0505</v>
      </c>
      <c r="K186" s="1">
        <v>432.66900000000004</v>
      </c>
      <c r="L186" s="1">
        <v>477.77549999999997</v>
      </c>
      <c r="M186" s="1">
        <v>607.46250000000009</v>
      </c>
      <c r="N186" s="4">
        <f t="shared" si="0"/>
        <v>57.210542548871423</v>
      </c>
      <c r="O186" s="1">
        <v>338.97450000000003</v>
      </c>
      <c r="P186" s="1">
        <v>270.5745</v>
      </c>
      <c r="Q186" s="4">
        <v>445.97249999999997</v>
      </c>
      <c r="R186" s="4">
        <f t="shared" si="1"/>
        <v>95.5974270666254</v>
      </c>
      <c r="S186" s="1">
        <v>365.613</v>
      </c>
      <c r="T186" s="1">
        <v>672.42450000000008</v>
      </c>
      <c r="U186" s="1">
        <v>753.94949999999994</v>
      </c>
      <c r="V186" s="1">
        <v>767.95049999999992</v>
      </c>
      <c r="W186" s="1">
        <v>313.6875</v>
      </c>
      <c r="X186" s="1">
        <v>1203.2505000000001</v>
      </c>
      <c r="Y186" s="1">
        <v>556.69350000000009</v>
      </c>
      <c r="Z186" s="1">
        <v>617.36850000000004</v>
      </c>
      <c r="AA186" s="3">
        <v>15000</v>
      </c>
      <c r="AB186" s="1">
        <v>8108.8549999999996</v>
      </c>
    </row>
    <row r="187" spans="1:28" x14ac:dyDescent="0.25">
      <c r="A187" s="1">
        <v>186</v>
      </c>
      <c r="B187" s="2">
        <v>51257</v>
      </c>
      <c r="C187" s="1">
        <v>1398.9960000000001</v>
      </c>
      <c r="D187" s="1">
        <v>144.19200000000001</v>
      </c>
      <c r="E187" s="1">
        <v>571.101</v>
      </c>
      <c r="F187" s="1">
        <v>717.73800000000006</v>
      </c>
      <c r="G187" s="1">
        <v>180.27</v>
      </c>
      <c r="H187" s="1">
        <v>599.75850000000003</v>
      </c>
      <c r="I187" s="1">
        <v>444.58050000000003</v>
      </c>
      <c r="J187" s="1">
        <v>271.548</v>
      </c>
      <c r="K187" s="1">
        <v>431.25</v>
      </c>
      <c r="L187" s="1">
        <v>475.11300000000006</v>
      </c>
      <c r="M187" s="1">
        <v>605.50350000000003</v>
      </c>
      <c r="N187" s="4">
        <f t="shared" si="0"/>
        <v>56.638437123382708</v>
      </c>
      <c r="O187" s="1">
        <v>337.548</v>
      </c>
      <c r="P187" s="1">
        <v>269.589</v>
      </c>
      <c r="Q187" s="4">
        <v>445.71299999999997</v>
      </c>
      <c r="R187" s="4">
        <f t="shared" si="1"/>
        <v>94.64145279595914</v>
      </c>
      <c r="S187" s="1">
        <v>363.26549999999997</v>
      </c>
      <c r="T187" s="1">
        <v>672.399</v>
      </c>
      <c r="U187" s="1">
        <v>750.21749999999997</v>
      </c>
      <c r="V187" s="1">
        <v>765</v>
      </c>
      <c r="W187" s="1">
        <v>312.61649999999997</v>
      </c>
      <c r="X187" s="1">
        <v>1200.3870000000002</v>
      </c>
      <c r="Y187" s="1">
        <v>555.5625</v>
      </c>
      <c r="Z187" s="1">
        <v>613.80899999999997</v>
      </c>
      <c r="AA187" s="3">
        <v>15000</v>
      </c>
      <c r="AB187" s="1">
        <v>8083.9629999999997</v>
      </c>
    </row>
    <row r="188" spans="1:28" x14ac:dyDescent="0.25">
      <c r="A188" s="1">
        <v>187</v>
      </c>
      <c r="B188" s="2">
        <v>51288</v>
      </c>
      <c r="C188" s="1">
        <v>1395.8985</v>
      </c>
      <c r="D188" s="1">
        <v>143.48099999999999</v>
      </c>
      <c r="E188" s="1">
        <v>569.05050000000006</v>
      </c>
      <c r="F188" s="1">
        <v>714.81299999999999</v>
      </c>
      <c r="G188" s="1">
        <v>180.03</v>
      </c>
      <c r="H188" s="1">
        <v>599.02350000000001</v>
      </c>
      <c r="I188" s="1">
        <v>443.72550000000001</v>
      </c>
      <c r="J188" s="1">
        <v>271.02449999999999</v>
      </c>
      <c r="K188" s="1">
        <v>429.71849999999995</v>
      </c>
      <c r="L188" s="1">
        <v>472.24950000000001</v>
      </c>
      <c r="M188" s="1">
        <v>603.33750000000009</v>
      </c>
      <c r="N188" s="4">
        <f t="shared" si="0"/>
        <v>56.072052752148878</v>
      </c>
      <c r="O188" s="1">
        <v>335.97450000000003</v>
      </c>
      <c r="P188" s="1">
        <v>268.54949999999997</v>
      </c>
      <c r="Q188" s="4">
        <v>445.5</v>
      </c>
      <c r="R188" s="4">
        <f t="shared" si="1"/>
        <v>93.69503826799955</v>
      </c>
      <c r="S188" s="1">
        <v>360.738</v>
      </c>
      <c r="T188" s="1">
        <v>672.31200000000001</v>
      </c>
      <c r="U188" s="1">
        <v>746.42550000000006</v>
      </c>
      <c r="V188" s="1">
        <v>761.74950000000001</v>
      </c>
      <c r="W188" s="1">
        <v>311.46299999999997</v>
      </c>
      <c r="X188" s="1">
        <v>1197.3254999999999</v>
      </c>
      <c r="Y188" s="1">
        <v>554.29349999999999</v>
      </c>
      <c r="Z188" s="1">
        <v>609.87450000000001</v>
      </c>
      <c r="AA188" s="3">
        <v>15000</v>
      </c>
      <c r="AB188" s="1">
        <v>8057.5129999999981</v>
      </c>
    </row>
    <row r="189" spans="1:28" x14ac:dyDescent="0.25">
      <c r="A189" s="1">
        <v>188</v>
      </c>
      <c r="B189" s="2">
        <v>51318</v>
      </c>
      <c r="C189" s="1">
        <v>1392.5940000000001</v>
      </c>
      <c r="D189" s="1">
        <v>142.74</v>
      </c>
      <c r="E189" s="1">
        <v>551.31000000000006</v>
      </c>
      <c r="F189" s="1">
        <v>701.73450000000003</v>
      </c>
      <c r="G189" s="1">
        <v>179.4495</v>
      </c>
      <c r="H189" s="1">
        <v>598.24649999999997</v>
      </c>
      <c r="I189" s="1">
        <v>431.05649999999997</v>
      </c>
      <c r="J189" s="1">
        <v>262.089</v>
      </c>
      <c r="K189" s="1">
        <v>413.18999999999994</v>
      </c>
      <c r="L189" s="1">
        <v>453.339</v>
      </c>
      <c r="M189" s="1">
        <v>580.476</v>
      </c>
      <c r="N189" s="4">
        <f t="shared" si="0"/>
        <v>55.511332224627388</v>
      </c>
      <c r="O189" s="1">
        <v>319.572</v>
      </c>
      <c r="P189" s="1">
        <v>258.26549999999997</v>
      </c>
      <c r="Q189" s="4">
        <v>445.21199999999999</v>
      </c>
      <c r="R189" s="4">
        <f t="shared" si="1"/>
        <v>92.758087885319554</v>
      </c>
      <c r="S189" s="1">
        <v>347.10449999999997</v>
      </c>
      <c r="T189" s="1">
        <v>653.45550000000003</v>
      </c>
      <c r="U189" s="1">
        <v>720.89549999999997</v>
      </c>
      <c r="V189" s="1">
        <v>737.12850000000003</v>
      </c>
      <c r="W189" s="1">
        <v>300.69</v>
      </c>
      <c r="X189" s="1">
        <v>1166.1779999999999</v>
      </c>
      <c r="Y189" s="1">
        <v>538.2405</v>
      </c>
      <c r="Z189" s="1">
        <v>589.69949999999994</v>
      </c>
      <c r="AA189" s="3">
        <v>15000</v>
      </c>
      <c r="AB189" s="1">
        <v>7846.0370000000003</v>
      </c>
    </row>
    <row r="190" spans="1:28" x14ac:dyDescent="0.25">
      <c r="A190" s="1">
        <v>189</v>
      </c>
      <c r="B190" s="2">
        <v>51349</v>
      </c>
      <c r="C190" s="1">
        <v>1351.8375000000001</v>
      </c>
      <c r="D190" s="1">
        <v>137.625</v>
      </c>
      <c r="E190" s="1">
        <v>548.45550000000003</v>
      </c>
      <c r="F190" s="1">
        <v>701.93999999999994</v>
      </c>
      <c r="G190" s="1">
        <v>175.38600000000002</v>
      </c>
      <c r="H190" s="1">
        <v>583.24350000000004</v>
      </c>
      <c r="I190" s="1">
        <v>428.73449999999997</v>
      </c>
      <c r="J190" s="1">
        <v>260.51549999999997</v>
      </c>
      <c r="K190" s="1">
        <v>410.322</v>
      </c>
      <c r="L190" s="1">
        <v>449.52750000000003</v>
      </c>
      <c r="M190" s="1">
        <v>576.60450000000003</v>
      </c>
      <c r="N190" s="4">
        <f t="shared" si="0"/>
        <v>54.956218902381117</v>
      </c>
      <c r="O190" s="1">
        <v>316.64550000000003</v>
      </c>
      <c r="P190" s="1">
        <v>256.089</v>
      </c>
      <c r="Q190" s="4">
        <v>431.601</v>
      </c>
      <c r="R190" s="4">
        <f t="shared" si="1"/>
        <v>91.830507006466362</v>
      </c>
      <c r="S190" s="1">
        <v>344.286</v>
      </c>
      <c r="T190" s="1">
        <v>652.56000000000006</v>
      </c>
      <c r="U190" s="1">
        <v>716.12850000000003</v>
      </c>
      <c r="V190" s="1">
        <v>733.74149999999997</v>
      </c>
      <c r="W190" s="1">
        <v>298.65749999999997</v>
      </c>
      <c r="X190" s="1">
        <v>1160.6610000000001</v>
      </c>
      <c r="Y190" s="1">
        <v>535.851</v>
      </c>
      <c r="Z190" s="1">
        <v>585.03</v>
      </c>
      <c r="AA190" s="3">
        <v>15000</v>
      </c>
      <c r="AB190" s="1">
        <v>7769.1980000000003</v>
      </c>
    </row>
    <row r="191" spans="1:28" x14ac:dyDescent="0.25">
      <c r="A191" s="1">
        <v>190</v>
      </c>
      <c r="B191" s="2">
        <v>51380</v>
      </c>
      <c r="C191" s="1">
        <v>1350.51</v>
      </c>
      <c r="D191" s="1">
        <v>137.29050000000001</v>
      </c>
      <c r="E191" s="1">
        <v>546.86699999999996</v>
      </c>
      <c r="F191" s="1">
        <v>701.54700000000003</v>
      </c>
      <c r="G191" s="1">
        <v>173.7285</v>
      </c>
      <c r="H191" s="1">
        <v>582.90750000000003</v>
      </c>
      <c r="I191" s="1">
        <v>428.19900000000001</v>
      </c>
      <c r="J191" s="1">
        <v>260.04300000000001</v>
      </c>
      <c r="K191" s="1">
        <v>408.40800000000002</v>
      </c>
      <c r="L191" s="1">
        <v>447.24599999999998</v>
      </c>
      <c r="M191" s="1">
        <v>574.48649999999998</v>
      </c>
      <c r="N191" s="4">
        <f t="shared" si="0"/>
        <v>54.406656713357307</v>
      </c>
      <c r="O191" s="1">
        <v>315.23250000000002</v>
      </c>
      <c r="P191" s="1">
        <v>255.43950000000001</v>
      </c>
      <c r="Q191" s="4">
        <v>429.95550000000003</v>
      </c>
      <c r="R191" s="4">
        <f t="shared" si="1"/>
        <v>90.912201936401701</v>
      </c>
      <c r="S191" s="1">
        <v>342.46500000000003</v>
      </c>
      <c r="T191" s="1">
        <v>653.54700000000003</v>
      </c>
      <c r="U191" s="1">
        <v>713.25</v>
      </c>
      <c r="V191" s="1">
        <v>732.46500000000003</v>
      </c>
      <c r="W191" s="1">
        <v>297.45299999999997</v>
      </c>
      <c r="X191" s="1">
        <v>1159.8885</v>
      </c>
      <c r="Y191" s="1">
        <v>535.69350000000009</v>
      </c>
      <c r="Z191" s="1">
        <v>581.94900000000007</v>
      </c>
      <c r="AA191" s="3">
        <v>15000</v>
      </c>
      <c r="AB191" s="1">
        <v>7752.6750000000011</v>
      </c>
    </row>
    <row r="192" spans="1:28" x14ac:dyDescent="0.25">
      <c r="A192" s="1">
        <v>191</v>
      </c>
      <c r="B192" s="2">
        <v>51410</v>
      </c>
      <c r="C192" s="1">
        <v>1348.152</v>
      </c>
      <c r="D192" s="1">
        <v>136.50150000000002</v>
      </c>
      <c r="E192" s="1">
        <v>545.39549999999997</v>
      </c>
      <c r="F192" s="1">
        <v>699.48450000000003</v>
      </c>
      <c r="G192" s="1">
        <v>171.6465</v>
      </c>
      <c r="H192" s="1">
        <v>582.34649999999999</v>
      </c>
      <c r="I192" s="1">
        <v>427.93500000000006</v>
      </c>
      <c r="J192" s="1">
        <v>259.64550000000003</v>
      </c>
      <c r="K192" s="1">
        <v>406.84500000000003</v>
      </c>
      <c r="L192" s="1">
        <v>445.34249999999997</v>
      </c>
      <c r="M192" s="1">
        <v>572.68500000000006</v>
      </c>
      <c r="N192" s="4">
        <f t="shared" si="0"/>
        <v>53.862590146223731</v>
      </c>
      <c r="O192" s="1">
        <v>314.15250000000003</v>
      </c>
      <c r="P192" s="1">
        <v>254.952</v>
      </c>
      <c r="Q192" s="4">
        <v>430.39649999999995</v>
      </c>
      <c r="R192" s="4">
        <f t="shared" si="1"/>
        <v>90.003079917037681</v>
      </c>
      <c r="S192" s="1">
        <v>340.839</v>
      </c>
      <c r="T192" s="1">
        <v>654.16949999999997</v>
      </c>
      <c r="U192" s="1">
        <v>709.37850000000003</v>
      </c>
      <c r="V192" s="1">
        <v>724.452</v>
      </c>
      <c r="W192" s="1">
        <v>296.43150000000003</v>
      </c>
      <c r="X192" s="1">
        <v>1159.2585000000001</v>
      </c>
      <c r="Y192" s="1">
        <v>535.58399999999995</v>
      </c>
      <c r="Z192" s="1">
        <v>579.2595</v>
      </c>
      <c r="AA192" s="3">
        <v>15000</v>
      </c>
      <c r="AB192" s="1">
        <v>7730.0189999999984</v>
      </c>
    </row>
    <row r="193" spans="1:28" x14ac:dyDescent="0.25">
      <c r="A193" s="1">
        <v>192</v>
      </c>
      <c r="B193" s="2">
        <v>51441</v>
      </c>
      <c r="C193" s="1">
        <v>1344.9465</v>
      </c>
      <c r="D193" s="1">
        <v>135.828</v>
      </c>
      <c r="E193" s="1">
        <v>543.73800000000006</v>
      </c>
      <c r="F193" s="1">
        <v>695.25</v>
      </c>
      <c r="G193" s="1">
        <v>170.83199999999999</v>
      </c>
      <c r="H193" s="1">
        <v>581.78700000000003</v>
      </c>
      <c r="I193" s="1">
        <v>427.5</v>
      </c>
      <c r="J193" s="1">
        <v>259.22550000000001</v>
      </c>
      <c r="K193" s="1">
        <v>402.67499999999995</v>
      </c>
      <c r="L193" s="1">
        <v>443.20049999999998</v>
      </c>
      <c r="M193" s="1">
        <v>570.63750000000005</v>
      </c>
      <c r="N193" s="4">
        <f t="shared" si="0"/>
        <v>53.323964244761491</v>
      </c>
      <c r="O193" s="1">
        <v>312.9255</v>
      </c>
      <c r="P193" s="1">
        <v>254.4255</v>
      </c>
      <c r="Q193" s="4">
        <v>430.572</v>
      </c>
      <c r="R193" s="4">
        <f t="shared" si="1"/>
        <v>89.1030491178673</v>
      </c>
      <c r="S193" s="1">
        <v>338.96249999999998</v>
      </c>
      <c r="T193" s="1">
        <v>654.73800000000006</v>
      </c>
      <c r="U193" s="1">
        <v>702.49950000000001</v>
      </c>
      <c r="V193" s="1">
        <v>715.84950000000003</v>
      </c>
      <c r="W193" s="1">
        <v>295.33799999999997</v>
      </c>
      <c r="X193" s="1">
        <v>1158.5504999999998</v>
      </c>
      <c r="Y193" s="1">
        <v>535.45650000000001</v>
      </c>
      <c r="Z193" s="1">
        <v>576.21299999999997</v>
      </c>
      <c r="AA193" s="3">
        <v>15000</v>
      </c>
      <c r="AB193" s="1">
        <v>7700.844000000001</v>
      </c>
    </row>
    <row r="194" spans="1:28" x14ac:dyDescent="0.25">
      <c r="A194" s="1">
        <v>193</v>
      </c>
      <c r="B194" s="2">
        <v>51471</v>
      </c>
      <c r="C194" s="1">
        <v>1340.6624999999999</v>
      </c>
      <c r="D194" s="1">
        <v>135.13200000000001</v>
      </c>
      <c r="E194" s="1">
        <v>542.226</v>
      </c>
      <c r="F194" s="1">
        <v>690.99149999999997</v>
      </c>
      <c r="G194" s="1">
        <v>170.8905</v>
      </c>
      <c r="H194" s="1">
        <v>581.23649999999998</v>
      </c>
      <c r="I194" s="1">
        <v>427.04100000000005</v>
      </c>
      <c r="J194" s="1">
        <v>258.87149999999997</v>
      </c>
      <c r="K194" s="1">
        <v>398.7645</v>
      </c>
      <c r="L194" s="1">
        <v>441.21749999999997</v>
      </c>
      <c r="M194" s="1">
        <v>568.71749999999997</v>
      </c>
      <c r="N194" s="4">
        <f t="shared" si="0"/>
        <v>52.790724602313873</v>
      </c>
      <c r="O194" s="1">
        <v>311.85449999999997</v>
      </c>
      <c r="P194" s="1">
        <v>253.791</v>
      </c>
      <c r="Q194" s="4">
        <v>430.6875</v>
      </c>
      <c r="R194" s="4">
        <f t="shared" si="1"/>
        <v>88.212018626688632</v>
      </c>
      <c r="S194" s="1">
        <v>337.23450000000003</v>
      </c>
      <c r="T194" s="1">
        <v>655.13699999999994</v>
      </c>
      <c r="U194" s="1">
        <v>696.36300000000006</v>
      </c>
      <c r="V194" s="1">
        <v>708.19350000000009</v>
      </c>
      <c r="W194" s="1">
        <v>294.399</v>
      </c>
      <c r="X194" s="1">
        <v>1157.6849999999999</v>
      </c>
      <c r="Y194" s="1">
        <v>535.23450000000003</v>
      </c>
      <c r="Z194" s="1">
        <v>573.303</v>
      </c>
      <c r="AA194" s="3">
        <v>15000</v>
      </c>
      <c r="AB194" s="1">
        <v>7673.0690000000004</v>
      </c>
    </row>
    <row r="195" spans="1:28" x14ac:dyDescent="0.25">
      <c r="A195" s="1">
        <v>194</v>
      </c>
      <c r="B195" s="2">
        <v>51502</v>
      </c>
      <c r="C195" s="1">
        <v>1335.6195</v>
      </c>
      <c r="D195" s="1">
        <v>134.41200000000001</v>
      </c>
      <c r="E195" s="1">
        <v>540.55050000000006</v>
      </c>
      <c r="F195" s="1">
        <v>686.21250000000009</v>
      </c>
      <c r="G195" s="1">
        <v>170.52</v>
      </c>
      <c r="H195" s="1">
        <v>580.6155</v>
      </c>
      <c r="I195" s="1">
        <v>426.45000000000005</v>
      </c>
      <c r="J195" s="1">
        <v>258.45000000000005</v>
      </c>
      <c r="K195" s="1">
        <v>394.46250000000003</v>
      </c>
      <c r="L195" s="1">
        <v>439.07549999999998</v>
      </c>
      <c r="M195" s="1">
        <v>566.57549999999992</v>
      </c>
      <c r="N195" s="4">
        <f t="shared" si="0"/>
        <v>52.262817356290732</v>
      </c>
      <c r="O195" s="1">
        <v>310.6995</v>
      </c>
      <c r="P195" s="1">
        <v>253.17449999999997</v>
      </c>
      <c r="Q195" s="4">
        <v>430.65750000000003</v>
      </c>
      <c r="R195" s="4">
        <f t="shared" si="1"/>
        <v>87.329898440421744</v>
      </c>
      <c r="S195" s="1">
        <v>335.33699999999999</v>
      </c>
      <c r="T195" s="1">
        <v>655.47450000000003</v>
      </c>
      <c r="U195" s="1">
        <v>690.02549999999997</v>
      </c>
      <c r="V195" s="1">
        <v>700.2</v>
      </c>
      <c r="W195" s="1">
        <v>293.39999999999998</v>
      </c>
      <c r="X195" s="1">
        <v>1156.5255000000002</v>
      </c>
      <c r="Y195" s="1">
        <v>534.86850000000004</v>
      </c>
      <c r="Z195" s="1">
        <v>570.11249999999995</v>
      </c>
      <c r="AA195" s="3">
        <v>15000</v>
      </c>
      <c r="AB195" s="1">
        <v>7642.2240000000002</v>
      </c>
    </row>
    <row r="196" spans="1:28" x14ac:dyDescent="0.25">
      <c r="A196" s="1">
        <v>195</v>
      </c>
      <c r="B196" s="2">
        <v>51533</v>
      </c>
      <c r="C196" s="1">
        <v>1329.8174999999999</v>
      </c>
      <c r="D196" s="1">
        <v>133.70250000000001</v>
      </c>
      <c r="E196" s="1">
        <v>538.91100000000006</v>
      </c>
      <c r="F196" s="1">
        <v>681.56850000000009</v>
      </c>
      <c r="G196" s="1">
        <v>169.98149999999998</v>
      </c>
      <c r="H196" s="1">
        <v>580.07849999999996</v>
      </c>
      <c r="I196" s="1">
        <v>425.90250000000003</v>
      </c>
      <c r="J196" s="1">
        <v>258.048</v>
      </c>
      <c r="K196" s="1">
        <v>390.65999999999997</v>
      </c>
      <c r="L196" s="1">
        <v>437.05649999999997</v>
      </c>
      <c r="M196" s="1">
        <v>564.55649999999991</v>
      </c>
      <c r="N196" s="4">
        <f t="shared" si="0"/>
        <v>51.740189182727825</v>
      </c>
      <c r="O196" s="1">
        <v>309.58050000000003</v>
      </c>
      <c r="P196" s="1">
        <v>252.459</v>
      </c>
      <c r="Q196" s="4">
        <v>430.57500000000005</v>
      </c>
      <c r="R196" s="4">
        <f t="shared" si="1"/>
        <v>86.456599456017528</v>
      </c>
      <c r="S196" s="1">
        <v>333.54449999999997</v>
      </c>
      <c r="T196" s="1">
        <v>655.72950000000003</v>
      </c>
      <c r="U196" s="1">
        <v>684.38699999999994</v>
      </c>
      <c r="V196" s="1">
        <v>692.80649999999991</v>
      </c>
      <c r="W196" s="1">
        <v>292.488</v>
      </c>
      <c r="X196" s="1">
        <v>1155.2175</v>
      </c>
      <c r="Y196" s="1">
        <v>534.39300000000003</v>
      </c>
      <c r="Z196" s="1">
        <v>567</v>
      </c>
      <c r="AA196" s="3">
        <v>15000</v>
      </c>
      <c r="AB196" s="1">
        <v>7612.2190000000001</v>
      </c>
    </row>
    <row r="197" spans="1:28" x14ac:dyDescent="0.25">
      <c r="A197" s="1">
        <v>196</v>
      </c>
      <c r="B197" s="2">
        <v>51561</v>
      </c>
      <c r="C197" s="1">
        <v>1323.8174999999999</v>
      </c>
      <c r="D197" s="1">
        <v>132.97050000000002</v>
      </c>
      <c r="E197" s="1">
        <v>537.26549999999997</v>
      </c>
      <c r="F197" s="1">
        <v>676.86300000000006</v>
      </c>
      <c r="G197" s="1">
        <v>169.3605</v>
      </c>
      <c r="H197" s="1">
        <v>579.41700000000003</v>
      </c>
      <c r="I197" s="1">
        <v>425.298</v>
      </c>
      <c r="J197" s="1">
        <v>257.613</v>
      </c>
      <c r="K197" s="1">
        <v>386.93999999999994</v>
      </c>
      <c r="L197" s="1">
        <v>435.048</v>
      </c>
      <c r="M197" s="1">
        <v>562.428</v>
      </c>
      <c r="N197" s="4">
        <f t="shared" si="0"/>
        <v>51.222787290900548</v>
      </c>
      <c r="O197" s="1">
        <v>308.49149999999997</v>
      </c>
      <c r="P197" s="1">
        <v>251.7585</v>
      </c>
      <c r="Q197" s="4">
        <v>430.43999999999994</v>
      </c>
      <c r="R197" s="4">
        <f t="shared" si="1"/>
        <v>85.592033461457348</v>
      </c>
      <c r="S197" s="1">
        <v>331.76549999999997</v>
      </c>
      <c r="T197" s="1">
        <v>655.875</v>
      </c>
      <c r="U197" s="1">
        <v>678.99149999999997</v>
      </c>
      <c r="V197" s="1">
        <v>685.64549999999997</v>
      </c>
      <c r="W197" s="1">
        <v>291.58050000000003</v>
      </c>
      <c r="X197" s="1">
        <v>1153.6215</v>
      </c>
      <c r="Y197" s="1">
        <v>533.82449999999994</v>
      </c>
      <c r="Z197" s="1">
        <v>563.85450000000003</v>
      </c>
      <c r="AA197" s="3">
        <v>15000</v>
      </c>
      <c r="AB197" s="1">
        <v>7581.7840000000006</v>
      </c>
    </row>
    <row r="198" spans="1:28" x14ac:dyDescent="0.25">
      <c r="A198" s="1">
        <v>197</v>
      </c>
      <c r="B198" s="2">
        <v>51592</v>
      </c>
      <c r="C198" s="1">
        <v>1318.2375000000002</v>
      </c>
      <c r="D198" s="1">
        <v>132.28799999999998</v>
      </c>
      <c r="E198" s="1">
        <v>535.46250000000009</v>
      </c>
      <c r="F198" s="1">
        <v>671.87549999999999</v>
      </c>
      <c r="G198" s="1">
        <v>168.6885</v>
      </c>
      <c r="H198" s="1">
        <v>578.88149999999996</v>
      </c>
      <c r="I198" s="1">
        <v>424.65000000000003</v>
      </c>
      <c r="J198" s="1">
        <v>257.17499999999995</v>
      </c>
      <c r="K198" s="1">
        <v>383.50649999999996</v>
      </c>
      <c r="L198" s="1">
        <v>432.91200000000003</v>
      </c>
      <c r="M198" s="1">
        <v>560.18700000000001</v>
      </c>
      <c r="N198" s="4">
        <f t="shared" si="0"/>
        <v>50.71055941799154</v>
      </c>
      <c r="O198" s="1">
        <v>307.24950000000001</v>
      </c>
      <c r="P198" s="1">
        <v>250.97550000000001</v>
      </c>
      <c r="Q198" s="4">
        <v>430.24650000000003</v>
      </c>
      <c r="R198" s="4">
        <f t="shared" si="1"/>
        <v>84.736113126842767</v>
      </c>
      <c r="S198" s="1">
        <v>329.88750000000005</v>
      </c>
      <c r="T198" s="1">
        <v>655.97550000000001</v>
      </c>
      <c r="U198" s="1">
        <v>673.47450000000003</v>
      </c>
      <c r="V198" s="1">
        <v>677.74950000000001</v>
      </c>
      <c r="W198" s="1">
        <v>290.65049999999997</v>
      </c>
      <c r="X198" s="1">
        <v>1151.7255</v>
      </c>
      <c r="Y198" s="1">
        <v>533.12549999999999</v>
      </c>
      <c r="Z198" s="1">
        <v>560.51250000000005</v>
      </c>
      <c r="AA198" s="3">
        <v>15000</v>
      </c>
      <c r="AB198" s="1">
        <v>7550.152</v>
      </c>
    </row>
    <row r="199" spans="1:28" x14ac:dyDescent="0.25">
      <c r="A199" s="1">
        <v>198</v>
      </c>
      <c r="B199" s="2">
        <v>51622</v>
      </c>
      <c r="C199" s="1">
        <v>1312.854</v>
      </c>
      <c r="D199" s="1">
        <v>131.57550000000001</v>
      </c>
      <c r="E199" s="1">
        <v>533.84249999999997</v>
      </c>
      <c r="F199" s="1">
        <v>667.29449999999997</v>
      </c>
      <c r="G199" s="1">
        <v>168.20849999999999</v>
      </c>
      <c r="H199" s="1">
        <v>578.28300000000002</v>
      </c>
      <c r="I199" s="1">
        <v>423.99149999999997</v>
      </c>
      <c r="J199" s="1">
        <v>256.74149999999997</v>
      </c>
      <c r="K199" s="1">
        <v>380.226</v>
      </c>
      <c r="L199" s="1">
        <v>430.99650000000003</v>
      </c>
      <c r="M199" s="1">
        <v>558.09749999999997</v>
      </c>
      <c r="N199" s="4">
        <f t="shared" si="0"/>
        <v>50.203453823811621</v>
      </c>
      <c r="O199" s="1">
        <v>306.16949999999997</v>
      </c>
      <c r="P199" s="1">
        <v>250.209</v>
      </c>
      <c r="Q199" s="4">
        <v>430.03800000000001</v>
      </c>
      <c r="R199" s="4">
        <f t="shared" si="1"/>
        <v>83.888751995574339</v>
      </c>
      <c r="S199" s="1">
        <v>328.197</v>
      </c>
      <c r="T199" s="1">
        <v>655.98450000000003</v>
      </c>
      <c r="U199" s="1">
        <v>668.73450000000003</v>
      </c>
      <c r="V199" s="1">
        <v>671.274</v>
      </c>
      <c r="W199" s="1">
        <v>289.815</v>
      </c>
      <c r="X199" s="1">
        <v>1149.75</v>
      </c>
      <c r="Y199" s="1">
        <v>532.41600000000005</v>
      </c>
      <c r="Z199" s="1">
        <v>557.37149999999997</v>
      </c>
      <c r="AA199" s="3">
        <v>15000</v>
      </c>
      <c r="AB199" s="1">
        <v>7521.22</v>
      </c>
    </row>
    <row r="200" spans="1:28" x14ac:dyDescent="0.25">
      <c r="A200" s="1">
        <v>199</v>
      </c>
      <c r="B200" s="2">
        <v>51653</v>
      </c>
      <c r="C200" s="1">
        <v>1308.1544999999999</v>
      </c>
      <c r="D200" s="1">
        <v>130.89599999999999</v>
      </c>
      <c r="E200" s="1">
        <v>532.03800000000001</v>
      </c>
      <c r="F200" s="1">
        <v>662.27549999999997</v>
      </c>
      <c r="G200" s="1">
        <v>167.553</v>
      </c>
      <c r="H200" s="1">
        <v>577.68600000000004</v>
      </c>
      <c r="I200" s="1">
        <v>423.29999999999995</v>
      </c>
      <c r="J200" s="1">
        <v>256.27499999999998</v>
      </c>
      <c r="K200" s="1">
        <v>377.03700000000003</v>
      </c>
      <c r="L200" s="1">
        <v>428.91300000000001</v>
      </c>
      <c r="M200" s="1">
        <v>554.44949999999994</v>
      </c>
      <c r="N200" s="4">
        <f t="shared" si="0"/>
        <v>49.701419285573508</v>
      </c>
      <c r="O200" s="1">
        <v>304.92449999999997</v>
      </c>
      <c r="P200" s="1">
        <v>249.34950000000001</v>
      </c>
      <c r="Q200" s="4">
        <v>429.798</v>
      </c>
      <c r="R200" s="4">
        <f t="shared" si="1"/>
        <v>83.049864475618591</v>
      </c>
      <c r="S200" s="1">
        <v>326.36249999999995</v>
      </c>
      <c r="T200" s="1">
        <v>655.93799999999999</v>
      </c>
      <c r="U200" s="1">
        <v>664.22550000000001</v>
      </c>
      <c r="V200" s="1">
        <v>664.65000000000009</v>
      </c>
      <c r="W200" s="1">
        <v>288.89999999999998</v>
      </c>
      <c r="X200" s="1">
        <v>1147.3995</v>
      </c>
      <c r="Y200" s="1">
        <v>531.55050000000006</v>
      </c>
      <c r="Z200" s="1">
        <v>553.98749999999995</v>
      </c>
      <c r="AA200" s="3">
        <v>15000</v>
      </c>
      <c r="AB200" s="1">
        <v>7490.2520000000004</v>
      </c>
    </row>
    <row r="201" spans="1:28" x14ac:dyDescent="0.25">
      <c r="A201" s="1">
        <v>200</v>
      </c>
      <c r="B201" s="2">
        <v>51683</v>
      </c>
      <c r="C201" s="1">
        <v>1303.7339999999999</v>
      </c>
      <c r="D201" s="1">
        <v>130.19400000000002</v>
      </c>
      <c r="E201" s="1">
        <v>530.274</v>
      </c>
      <c r="F201" s="1">
        <v>657.55649999999991</v>
      </c>
      <c r="G201" s="1">
        <v>166.94549999999998</v>
      </c>
      <c r="H201" s="1">
        <v>577.101</v>
      </c>
      <c r="I201" s="1">
        <v>422.61300000000006</v>
      </c>
      <c r="J201" s="1">
        <v>255.798</v>
      </c>
      <c r="K201" s="1">
        <v>374.3775</v>
      </c>
      <c r="L201" s="1">
        <v>426.96749999999997</v>
      </c>
      <c r="M201" s="1">
        <v>550.08899999999994</v>
      </c>
      <c r="N201" s="4">
        <f t="shared" si="0"/>
        <v>49.204405092717771</v>
      </c>
      <c r="O201" s="1">
        <v>303.726</v>
      </c>
      <c r="P201" s="1">
        <v>248.4915</v>
      </c>
      <c r="Q201" s="4">
        <v>429.51299999999998</v>
      </c>
      <c r="R201" s="4">
        <f t="shared" si="1"/>
        <v>82.219365830862401</v>
      </c>
      <c r="S201" s="1">
        <v>324.65250000000003</v>
      </c>
      <c r="T201" s="1">
        <v>655.81499999999994</v>
      </c>
      <c r="U201" s="1">
        <v>660.50850000000003</v>
      </c>
      <c r="V201" s="1">
        <v>659.12850000000003</v>
      </c>
      <c r="W201" s="1">
        <v>288.072</v>
      </c>
      <c r="X201" s="1">
        <v>1144.9845</v>
      </c>
      <c r="Y201" s="1">
        <v>530.67899999999997</v>
      </c>
      <c r="Z201" s="1">
        <v>550.75350000000003</v>
      </c>
      <c r="AA201" s="3">
        <v>15000</v>
      </c>
      <c r="AB201" s="1">
        <v>7461.1190000000006</v>
      </c>
    </row>
    <row r="202" spans="1:28" x14ac:dyDescent="0.25">
      <c r="A202" s="1">
        <v>201</v>
      </c>
      <c r="B202" s="2">
        <v>51714</v>
      </c>
      <c r="C202" s="1">
        <v>1299.8835000000001</v>
      </c>
      <c r="D202" s="1">
        <v>129.4965</v>
      </c>
      <c r="E202" s="1">
        <v>528.60450000000003</v>
      </c>
      <c r="F202" s="1">
        <v>653.10450000000003</v>
      </c>
      <c r="G202" s="1">
        <v>166.3545</v>
      </c>
      <c r="H202" s="1">
        <v>576.51</v>
      </c>
      <c r="I202" s="1">
        <v>421.98449999999997</v>
      </c>
      <c r="J202" s="1">
        <v>255.363</v>
      </c>
      <c r="K202" s="1">
        <v>372.2475</v>
      </c>
      <c r="L202" s="1">
        <v>425.14050000000003</v>
      </c>
      <c r="M202" s="1">
        <v>545.86649999999997</v>
      </c>
      <c r="N202" s="4">
        <f t="shared" si="0"/>
        <v>48.712361041790594</v>
      </c>
      <c r="O202" s="1">
        <v>302.685</v>
      </c>
      <c r="P202" s="1">
        <v>247.64550000000003</v>
      </c>
      <c r="Q202" s="4">
        <v>429.21749999999997</v>
      </c>
      <c r="R202" s="4">
        <f t="shared" si="1"/>
        <v>81.39717217255378</v>
      </c>
      <c r="S202" s="1">
        <v>323.06849999999997</v>
      </c>
      <c r="T202" s="1">
        <v>655.64549999999997</v>
      </c>
      <c r="U202" s="1">
        <v>657.12149999999997</v>
      </c>
      <c r="V202" s="1">
        <v>653.66100000000006</v>
      </c>
      <c r="W202" s="1">
        <v>287.286</v>
      </c>
      <c r="X202" s="1">
        <v>1142.5155</v>
      </c>
      <c r="Y202" s="1">
        <v>529.82100000000003</v>
      </c>
      <c r="Z202" s="1">
        <v>547.71749999999997</v>
      </c>
      <c r="AA202" s="3">
        <v>15000</v>
      </c>
      <c r="AB202" s="1">
        <v>7433.7749999999996</v>
      </c>
    </row>
    <row r="203" spans="1:28" x14ac:dyDescent="0.25">
      <c r="A203" s="1">
        <v>202</v>
      </c>
      <c r="B203" s="2">
        <v>51745</v>
      </c>
      <c r="C203" s="1">
        <v>1296.7004999999999</v>
      </c>
      <c r="D203" s="1">
        <v>128.89350000000002</v>
      </c>
      <c r="E203" s="1">
        <v>526.5809999999999</v>
      </c>
      <c r="F203" s="1">
        <v>647.8125</v>
      </c>
      <c r="G203" s="1">
        <v>165.71699999999998</v>
      </c>
      <c r="H203" s="1">
        <v>575.97149999999999</v>
      </c>
      <c r="I203" s="1">
        <v>421.15199999999993</v>
      </c>
      <c r="J203" s="1">
        <v>254.8125</v>
      </c>
      <c r="K203" s="1">
        <v>369.42899999999997</v>
      </c>
      <c r="L203" s="1">
        <v>422.97300000000007</v>
      </c>
      <c r="M203" s="1">
        <v>541.03199999999993</v>
      </c>
      <c r="N203" s="4">
        <f t="shared" si="0"/>
        <v>48.22523743137269</v>
      </c>
      <c r="O203" s="1">
        <v>301.33949999999999</v>
      </c>
      <c r="P203" s="1">
        <v>246.66899999999998</v>
      </c>
      <c r="Q203" s="4">
        <v>428.93999999999994</v>
      </c>
      <c r="R203" s="4">
        <f t="shared" si="1"/>
        <v>80.583200450828244</v>
      </c>
      <c r="S203" s="1">
        <v>321.17400000000004</v>
      </c>
      <c r="T203" s="1">
        <v>655.4190000000001</v>
      </c>
      <c r="U203" s="1">
        <v>653.25</v>
      </c>
      <c r="V203" s="1">
        <v>647.57100000000003</v>
      </c>
      <c r="W203" s="1">
        <v>286.35299999999995</v>
      </c>
      <c r="X203" s="1">
        <v>1139.4645</v>
      </c>
      <c r="Y203" s="1">
        <v>528.78300000000002</v>
      </c>
      <c r="Z203" s="1">
        <v>544.11149999999998</v>
      </c>
      <c r="AA203" s="3">
        <v>15000</v>
      </c>
      <c r="AB203" s="1">
        <v>7402.4849999999997</v>
      </c>
    </row>
    <row r="204" spans="1:28" x14ac:dyDescent="0.25">
      <c r="A204" s="1">
        <v>203</v>
      </c>
      <c r="B204" s="2">
        <v>51775</v>
      </c>
      <c r="C204" s="1">
        <v>1293.5985000000001</v>
      </c>
      <c r="D204" s="1">
        <v>128.23349999999999</v>
      </c>
      <c r="E204" s="1">
        <v>525.024</v>
      </c>
      <c r="F204" s="1">
        <v>643.59749999999997</v>
      </c>
      <c r="G204" s="1">
        <v>165.126</v>
      </c>
      <c r="H204" s="1">
        <v>575.37599999999998</v>
      </c>
      <c r="I204" s="1">
        <v>420.53250000000003</v>
      </c>
      <c r="J204" s="1">
        <v>254.39550000000003</v>
      </c>
      <c r="K204" s="1">
        <v>367.209</v>
      </c>
      <c r="L204" s="1">
        <v>421.24650000000003</v>
      </c>
      <c r="M204" s="1">
        <v>537.21749999999997</v>
      </c>
      <c r="N204" s="4">
        <f t="shared" si="0"/>
        <v>47.742985057058966</v>
      </c>
      <c r="O204" s="1">
        <v>300.26549999999997</v>
      </c>
      <c r="P204" s="1">
        <v>245.87850000000003</v>
      </c>
      <c r="Q204" s="4">
        <v>428.51849999999996</v>
      </c>
      <c r="R204" s="4">
        <f t="shared" si="1"/>
        <v>79.777368446319954</v>
      </c>
      <c r="S204" s="1">
        <v>319.68150000000003</v>
      </c>
      <c r="T204" s="1">
        <v>655.16100000000006</v>
      </c>
      <c r="U204" s="1">
        <v>650.178</v>
      </c>
      <c r="V204" s="1">
        <v>642.87149999999997</v>
      </c>
      <c r="W204" s="1">
        <v>285.62850000000003</v>
      </c>
      <c r="X204" s="1">
        <v>1136.9024999999999</v>
      </c>
      <c r="Y204" s="1">
        <v>527.94600000000003</v>
      </c>
      <c r="Z204" s="1">
        <v>541.20899999999995</v>
      </c>
      <c r="AA204" s="3">
        <v>15000</v>
      </c>
      <c r="AB204" s="1">
        <v>7376.9460000000008</v>
      </c>
    </row>
    <row r="205" spans="1:28" x14ac:dyDescent="0.25">
      <c r="A205" s="1">
        <v>204</v>
      </c>
      <c r="B205" s="2">
        <v>51806</v>
      </c>
      <c r="C205" s="1">
        <v>1290.8444999999999</v>
      </c>
      <c r="D205" s="1">
        <v>127.563</v>
      </c>
      <c r="E205" s="1">
        <v>523.15049999999997</v>
      </c>
      <c r="F205" s="1">
        <v>638.66249999999991</v>
      </c>
      <c r="G205" s="1">
        <v>164.62950000000001</v>
      </c>
      <c r="H205" s="1">
        <v>574.80449999999996</v>
      </c>
      <c r="I205" s="1">
        <v>419.74950000000001</v>
      </c>
      <c r="J205" s="1">
        <v>253.875</v>
      </c>
      <c r="K205" s="1">
        <v>364.63800000000003</v>
      </c>
      <c r="L205" s="1">
        <v>419.25</v>
      </c>
      <c r="M205" s="1">
        <v>532.79999999999995</v>
      </c>
      <c r="N205" s="4">
        <f t="shared" si="0"/>
        <v>47.265555206488379</v>
      </c>
      <c r="O205" s="1">
        <v>298.97550000000001</v>
      </c>
      <c r="P205" s="1">
        <v>244.84950000000001</v>
      </c>
      <c r="Q205" s="4">
        <v>428.14050000000003</v>
      </c>
      <c r="R205" s="4">
        <f t="shared" si="1"/>
        <v>78.97959476185676</v>
      </c>
      <c r="S205" s="1">
        <v>317.93700000000001</v>
      </c>
      <c r="T205" s="1">
        <v>654.82500000000005</v>
      </c>
      <c r="U205" s="1">
        <v>646.67550000000006</v>
      </c>
      <c r="V205" s="1">
        <v>637.45049999999992</v>
      </c>
      <c r="W205" s="1">
        <v>284.77499999999998</v>
      </c>
      <c r="X205" s="1">
        <v>1133.8004999999998</v>
      </c>
      <c r="Y205" s="1">
        <v>526.96800000000007</v>
      </c>
      <c r="Z205" s="1">
        <v>537.86249999999995</v>
      </c>
      <c r="AA205" s="3">
        <v>15000</v>
      </c>
      <c r="AB205" s="1">
        <v>7347.8320000000003</v>
      </c>
    </row>
    <row r="206" spans="1:28" x14ac:dyDescent="0.25">
      <c r="A206" s="1">
        <v>205</v>
      </c>
      <c r="B206" s="2">
        <v>51836</v>
      </c>
      <c r="C206" s="1">
        <v>1288.2825</v>
      </c>
      <c r="D206" s="1">
        <v>126.88649999999998</v>
      </c>
      <c r="E206" s="1">
        <v>521.46749999999997</v>
      </c>
      <c r="F206" s="1">
        <v>634.197</v>
      </c>
      <c r="G206" s="1">
        <v>163.98599999999999</v>
      </c>
      <c r="H206" s="1">
        <v>574.21949999999993</v>
      </c>
      <c r="I206" s="1">
        <v>419.08050000000003</v>
      </c>
      <c r="J206" s="1">
        <v>253.4025</v>
      </c>
      <c r="K206" s="1">
        <v>362.51549999999997</v>
      </c>
      <c r="L206" s="1">
        <v>417.411</v>
      </c>
      <c r="M206" s="1">
        <v>528.798</v>
      </c>
      <c r="N206" s="4">
        <f t="shared" si="0"/>
        <v>46.792899654423493</v>
      </c>
      <c r="O206" s="1">
        <v>297.822</v>
      </c>
      <c r="P206" s="1">
        <v>243.96750000000003</v>
      </c>
      <c r="Q206" s="4">
        <v>427.66200000000003</v>
      </c>
      <c r="R206" s="4">
        <f t="shared" si="1"/>
        <v>78.189798814238188</v>
      </c>
      <c r="S206" s="1">
        <v>316.37850000000003</v>
      </c>
      <c r="T206" s="1">
        <v>654.47249999999997</v>
      </c>
      <c r="U206" s="1">
        <v>643.548</v>
      </c>
      <c r="V206" s="1">
        <v>632.322</v>
      </c>
      <c r="W206" s="1">
        <v>284.02050000000003</v>
      </c>
      <c r="X206" s="1">
        <v>1130.8785</v>
      </c>
      <c r="Y206" s="1">
        <v>526.08299999999997</v>
      </c>
      <c r="Z206" s="1">
        <v>534.774</v>
      </c>
      <c r="AA206" s="3">
        <v>15000</v>
      </c>
      <c r="AB206" s="1">
        <v>7321.1649999999981</v>
      </c>
    </row>
    <row r="207" spans="1:28" x14ac:dyDescent="0.25">
      <c r="A207" s="1">
        <v>206</v>
      </c>
      <c r="B207" s="2">
        <v>51867</v>
      </c>
      <c r="C207" s="1">
        <v>1286.0355</v>
      </c>
      <c r="D207" s="1">
        <v>126.27000000000001</v>
      </c>
      <c r="E207" s="1">
        <v>519.61200000000008</v>
      </c>
      <c r="F207" s="1">
        <v>628.30050000000006</v>
      </c>
      <c r="G207" s="1">
        <v>163.404</v>
      </c>
      <c r="H207" s="1">
        <v>573.68100000000004</v>
      </c>
      <c r="I207" s="1">
        <v>418.27500000000003</v>
      </c>
      <c r="J207" s="1">
        <v>252.9255</v>
      </c>
      <c r="K207" s="1">
        <v>360.26250000000005</v>
      </c>
      <c r="L207" s="1">
        <v>415.42499999999995</v>
      </c>
      <c r="M207" s="1">
        <v>524.73749999999995</v>
      </c>
      <c r="N207" s="4">
        <f t="shared" si="0"/>
        <v>46.324970657879255</v>
      </c>
      <c r="O207" s="1">
        <v>296.54999999999995</v>
      </c>
      <c r="P207" s="1">
        <v>242.92499999999998</v>
      </c>
      <c r="Q207" s="4">
        <v>427.23449999999997</v>
      </c>
      <c r="R207" s="4">
        <f t="shared" si="1"/>
        <v>77.407900826095812</v>
      </c>
      <c r="S207" s="1">
        <v>314.66250000000002</v>
      </c>
      <c r="T207" s="1">
        <v>654.03749999999991</v>
      </c>
      <c r="U207" s="1">
        <v>640.54950000000008</v>
      </c>
      <c r="V207" s="1">
        <v>627.34950000000003</v>
      </c>
      <c r="W207" s="1">
        <v>283.18799999999999</v>
      </c>
      <c r="X207" s="1">
        <v>1127.6745000000001</v>
      </c>
      <c r="Y207" s="1">
        <v>525.13799999999992</v>
      </c>
      <c r="Z207" s="1">
        <v>531.43799999999999</v>
      </c>
      <c r="AA207" s="3">
        <v>15000</v>
      </c>
      <c r="AB207" s="1">
        <v>7292.777</v>
      </c>
    </row>
    <row r="208" spans="1:28" x14ac:dyDescent="0.25">
      <c r="A208" s="1">
        <v>207</v>
      </c>
      <c r="B208" s="2">
        <v>51898</v>
      </c>
      <c r="C208" s="1">
        <v>1283.8409999999999</v>
      </c>
      <c r="D208" s="1">
        <v>125.62200000000001</v>
      </c>
      <c r="E208" s="1">
        <v>517.851</v>
      </c>
      <c r="F208" s="1">
        <v>621.83399999999995</v>
      </c>
      <c r="G208" s="1">
        <v>162.95250000000001</v>
      </c>
      <c r="H208" s="1">
        <v>573.06150000000002</v>
      </c>
      <c r="I208" s="1">
        <v>417.53250000000003</v>
      </c>
      <c r="J208" s="1">
        <v>252.459</v>
      </c>
      <c r="K208" s="1">
        <v>358.30650000000003</v>
      </c>
      <c r="L208" s="1">
        <v>413.56499999999994</v>
      </c>
      <c r="M208" s="1">
        <v>521.16600000000005</v>
      </c>
      <c r="N208" s="4">
        <f t="shared" si="0"/>
        <v>45.861720951300462</v>
      </c>
      <c r="O208" s="1">
        <v>295.28249999999997</v>
      </c>
      <c r="P208" s="1">
        <v>241.98450000000003</v>
      </c>
      <c r="Q208" s="4">
        <v>426.72450000000003</v>
      </c>
      <c r="R208" s="4">
        <f t="shared" si="1"/>
        <v>76.633821817834857</v>
      </c>
      <c r="S208" s="1">
        <v>313.089</v>
      </c>
      <c r="T208" s="1">
        <v>653.54100000000005</v>
      </c>
      <c r="U208" s="1">
        <v>637.98450000000003</v>
      </c>
      <c r="V208" s="1">
        <v>623.08050000000003</v>
      </c>
      <c r="W208" s="1">
        <v>282.423</v>
      </c>
      <c r="X208" s="1">
        <v>1124.5889999999999</v>
      </c>
      <c r="Y208" s="1">
        <v>524.25</v>
      </c>
      <c r="Z208" s="1">
        <v>528.26549999999997</v>
      </c>
      <c r="AA208" s="3">
        <v>15000</v>
      </c>
      <c r="AB208" s="1">
        <v>7265.9560000000001</v>
      </c>
    </row>
    <row r="209" spans="1:28" x14ac:dyDescent="0.25">
      <c r="A209" s="1">
        <v>208</v>
      </c>
      <c r="B209" s="2">
        <v>51926</v>
      </c>
      <c r="C209" s="1">
        <v>1281.8085000000001</v>
      </c>
      <c r="D209" s="1">
        <v>124.9725</v>
      </c>
      <c r="E209" s="1">
        <v>516.12149999999997</v>
      </c>
      <c r="F209" s="1">
        <v>615.423</v>
      </c>
      <c r="G209" s="1">
        <v>162.44999999999999</v>
      </c>
      <c r="H209" s="1">
        <v>572.51700000000005</v>
      </c>
      <c r="I209" s="1">
        <v>416.83050000000003</v>
      </c>
      <c r="J209" s="1">
        <v>252</v>
      </c>
      <c r="K209" s="1">
        <v>356.39550000000003</v>
      </c>
      <c r="L209" s="1">
        <v>411.726</v>
      </c>
      <c r="M209" s="1">
        <v>517.59749999999997</v>
      </c>
      <c r="N209" s="4">
        <f t="shared" ref="N209:N272" si="2">N208*0.99</f>
        <v>45.403103741787454</v>
      </c>
      <c r="O209" s="1">
        <v>294.072</v>
      </c>
      <c r="P209" s="1">
        <v>241.01549999999997</v>
      </c>
      <c r="Q209" s="4">
        <v>426.25349999999997</v>
      </c>
      <c r="R209" s="4">
        <f t="shared" si="1"/>
        <v>75.867483599656509</v>
      </c>
      <c r="S209" s="1">
        <v>311.51549999999997</v>
      </c>
      <c r="T209" s="1">
        <v>653.00850000000003</v>
      </c>
      <c r="U209" s="1">
        <v>635.54100000000005</v>
      </c>
      <c r="V209" s="1">
        <v>618.774</v>
      </c>
      <c r="W209" s="1">
        <v>281.673</v>
      </c>
      <c r="X209" s="1">
        <v>1121.4675</v>
      </c>
      <c r="Y209" s="1">
        <v>523.41</v>
      </c>
      <c r="Z209" s="1">
        <v>525.12149999999997</v>
      </c>
      <c r="AA209" s="3">
        <v>15000</v>
      </c>
      <c r="AB209" s="1">
        <v>7239.4739999999993</v>
      </c>
    </row>
    <row r="210" spans="1:28" x14ac:dyDescent="0.25">
      <c r="A210" s="1">
        <v>209</v>
      </c>
      <c r="B210" s="2">
        <v>51957</v>
      </c>
      <c r="C210" s="1">
        <v>1279.9559999999999</v>
      </c>
      <c r="D210" s="1">
        <v>124.34100000000001</v>
      </c>
      <c r="E210" s="1">
        <v>514.3125</v>
      </c>
      <c r="F210" s="1">
        <v>608.70000000000005</v>
      </c>
      <c r="G210" s="1">
        <v>161.9025</v>
      </c>
      <c r="H210" s="1">
        <v>571.94849999999997</v>
      </c>
      <c r="I210" s="1">
        <v>415.99950000000001</v>
      </c>
      <c r="J210" s="1">
        <v>251.52449999999999</v>
      </c>
      <c r="K210" s="1">
        <v>354.53100000000001</v>
      </c>
      <c r="L210" s="1">
        <v>409.79999999999995</v>
      </c>
      <c r="M210" s="1">
        <v>513.9375</v>
      </c>
      <c r="N210" s="4">
        <f t="shared" si="2"/>
        <v>44.949072704369577</v>
      </c>
      <c r="O210" s="1">
        <v>292.77449999999999</v>
      </c>
      <c r="P210" s="1">
        <v>239.95050000000003</v>
      </c>
      <c r="Q210" s="4">
        <v>425.77049999999997</v>
      </c>
      <c r="R210" s="4">
        <f t="shared" si="1"/>
        <v>75.108808763659937</v>
      </c>
      <c r="S210" s="1">
        <v>309.89999999999998</v>
      </c>
      <c r="T210" s="1">
        <v>652.37549999999999</v>
      </c>
      <c r="U210" s="1">
        <v>632.95049999999992</v>
      </c>
      <c r="V210" s="1">
        <v>614.25</v>
      </c>
      <c r="W210" s="1">
        <v>280.875</v>
      </c>
      <c r="X210" s="1">
        <v>1118.2004999999999</v>
      </c>
      <c r="Y210" s="1">
        <v>522.54300000000001</v>
      </c>
      <c r="Z210" s="1">
        <v>521.78700000000003</v>
      </c>
      <c r="AA210" s="3">
        <v>15000</v>
      </c>
      <c r="AB210" s="1">
        <v>7211.84</v>
      </c>
    </row>
    <row r="211" spans="1:28" x14ac:dyDescent="0.25">
      <c r="A211" s="1">
        <v>210</v>
      </c>
      <c r="B211" s="2">
        <v>51987</v>
      </c>
      <c r="C211" s="1">
        <v>1278.1005</v>
      </c>
      <c r="D211" s="1">
        <v>123.708</v>
      </c>
      <c r="E211" s="1">
        <v>512.68500000000006</v>
      </c>
      <c r="F211" s="1">
        <v>602.78250000000003</v>
      </c>
      <c r="G211" s="1">
        <v>161.358</v>
      </c>
      <c r="H211" s="1">
        <v>571.38300000000004</v>
      </c>
      <c r="I211" s="1">
        <v>415.33050000000003</v>
      </c>
      <c r="J211" s="1">
        <v>251.10449999999997</v>
      </c>
      <c r="K211" s="1">
        <v>352.70550000000003</v>
      </c>
      <c r="L211" s="1">
        <v>408.036</v>
      </c>
      <c r="M211" s="1">
        <v>510.55649999999997</v>
      </c>
      <c r="N211" s="4">
        <f t="shared" si="2"/>
        <v>44.499581977325882</v>
      </c>
      <c r="O211" s="1">
        <v>291.58050000000003</v>
      </c>
      <c r="P211" s="1">
        <v>239.0085</v>
      </c>
      <c r="Q211" s="4">
        <v>425.20049999999998</v>
      </c>
      <c r="R211" s="4">
        <f t="shared" si="1"/>
        <v>74.357720676023334</v>
      </c>
      <c r="S211" s="1">
        <v>308.41949999999997</v>
      </c>
      <c r="T211" s="1">
        <v>651.76199999999994</v>
      </c>
      <c r="U211" s="1">
        <v>630.65250000000003</v>
      </c>
      <c r="V211" s="1">
        <v>610.20899999999995</v>
      </c>
      <c r="W211" s="1">
        <v>280.173</v>
      </c>
      <c r="X211" s="1">
        <v>1115.1779999999999</v>
      </c>
      <c r="Y211" s="1">
        <v>521.79449999999997</v>
      </c>
      <c r="Z211" s="1">
        <v>518.73450000000003</v>
      </c>
      <c r="AA211" s="3">
        <v>15000</v>
      </c>
      <c r="AB211" s="1">
        <v>7186.6370000000006</v>
      </c>
    </row>
    <row r="212" spans="1:28" x14ac:dyDescent="0.25">
      <c r="A212" s="1">
        <v>211</v>
      </c>
      <c r="B212" s="2">
        <v>52018</v>
      </c>
      <c r="C212" s="1">
        <v>1276.3664999999999</v>
      </c>
      <c r="D212" s="1">
        <v>123.09599999999999</v>
      </c>
      <c r="E212" s="1">
        <v>510.86249999999995</v>
      </c>
      <c r="F212" s="1">
        <v>596.50049999999999</v>
      </c>
      <c r="G212" s="1">
        <v>160.827</v>
      </c>
      <c r="H212" s="1">
        <v>570.82500000000005</v>
      </c>
      <c r="I212" s="1">
        <v>414.52500000000003</v>
      </c>
      <c r="J212" s="1">
        <v>250.62450000000001</v>
      </c>
      <c r="K212" s="1">
        <v>350.71800000000002</v>
      </c>
      <c r="L212" s="1">
        <v>406.15049999999997</v>
      </c>
      <c r="M212" s="1">
        <v>506.87549999999999</v>
      </c>
      <c r="N212" s="4">
        <f t="shared" si="2"/>
        <v>44.05458615755262</v>
      </c>
      <c r="O212" s="1">
        <v>290.25</v>
      </c>
      <c r="P212" s="1">
        <v>237.9495</v>
      </c>
      <c r="Q212" s="4">
        <v>424.69350000000003</v>
      </c>
      <c r="R212" s="4">
        <f t="shared" si="1"/>
        <v>73.614143469263098</v>
      </c>
      <c r="S212" s="1">
        <v>306.81299999999999</v>
      </c>
      <c r="T212" s="1">
        <v>651.06299999999999</v>
      </c>
      <c r="U212" s="1">
        <v>628.15049999999997</v>
      </c>
      <c r="V212" s="1">
        <v>605.89949999999999</v>
      </c>
      <c r="W212" s="1">
        <v>279.42449999999997</v>
      </c>
      <c r="X212" s="1">
        <v>1111.9005000000002</v>
      </c>
      <c r="Y212" s="1">
        <v>521.00549999999998</v>
      </c>
      <c r="Z212" s="1">
        <v>515.37450000000001</v>
      </c>
      <c r="AA212" s="3">
        <v>15000</v>
      </c>
      <c r="AB212" s="1">
        <v>7159.5510000000004</v>
      </c>
    </row>
    <row r="213" spans="1:28" x14ac:dyDescent="0.25">
      <c r="A213" s="1">
        <v>212</v>
      </c>
      <c r="B213" s="2">
        <v>52048</v>
      </c>
      <c r="C213" s="1">
        <v>1274.6505000000002</v>
      </c>
      <c r="D213" s="1">
        <v>122.4915</v>
      </c>
      <c r="E213" s="1">
        <v>509.18999999999994</v>
      </c>
      <c r="F213" s="1">
        <v>590.70899999999995</v>
      </c>
      <c r="G213" s="1">
        <v>160.34699999999998</v>
      </c>
      <c r="H213" s="1">
        <v>570.27300000000002</v>
      </c>
      <c r="I213" s="1">
        <v>413.80649999999997</v>
      </c>
      <c r="J213" s="1">
        <v>250.161</v>
      </c>
      <c r="K213" s="1">
        <v>348.84000000000003</v>
      </c>
      <c r="L213" s="1">
        <v>404.37150000000003</v>
      </c>
      <c r="M213" s="1">
        <v>503.40750000000003</v>
      </c>
      <c r="N213" s="4">
        <f t="shared" si="2"/>
        <v>43.614040295977091</v>
      </c>
      <c r="O213" s="1">
        <v>289.01549999999997</v>
      </c>
      <c r="P213" s="1">
        <v>236.9025</v>
      </c>
      <c r="Q213" s="4">
        <v>424.125</v>
      </c>
      <c r="R213" s="4">
        <f t="shared" si="1"/>
        <v>72.878002034570471</v>
      </c>
      <c r="S213" s="1">
        <v>305.334</v>
      </c>
      <c r="T213" s="1">
        <v>650.322</v>
      </c>
      <c r="U213" s="1">
        <v>625.81499999999994</v>
      </c>
      <c r="V213" s="1">
        <v>601.88699999999994</v>
      </c>
      <c r="W213" s="1">
        <v>278.72249999999997</v>
      </c>
      <c r="X213" s="1">
        <v>1108.8389999999999</v>
      </c>
      <c r="Y213" s="1">
        <v>520.31850000000009</v>
      </c>
      <c r="Z213" s="1">
        <v>512.202</v>
      </c>
      <c r="AA213" s="3">
        <v>15000</v>
      </c>
      <c r="AB213" s="1">
        <v>7134.1079999999993</v>
      </c>
    </row>
    <row r="214" spans="1:28" x14ac:dyDescent="0.25">
      <c r="A214" s="1">
        <v>213</v>
      </c>
      <c r="B214" s="2">
        <v>52079</v>
      </c>
      <c r="C214" s="1">
        <v>1272.9960000000001</v>
      </c>
      <c r="D214" s="1">
        <v>121.90049999999999</v>
      </c>
      <c r="E214" s="1">
        <v>507.59249999999997</v>
      </c>
      <c r="F214" s="1">
        <v>585.29100000000005</v>
      </c>
      <c r="G214" s="1">
        <v>159.89850000000001</v>
      </c>
      <c r="H214" s="1">
        <v>569.7059999999999</v>
      </c>
      <c r="I214" s="1">
        <v>413.12849999999997</v>
      </c>
      <c r="J214" s="1">
        <v>249.822</v>
      </c>
      <c r="K214" s="1">
        <v>347.21999999999997</v>
      </c>
      <c r="L214" s="1">
        <v>402.714</v>
      </c>
      <c r="M214" s="1">
        <v>500.202</v>
      </c>
      <c r="N214" s="4">
        <f t="shared" si="2"/>
        <v>43.177899893017319</v>
      </c>
      <c r="O214" s="1">
        <v>287.78249999999997</v>
      </c>
      <c r="P214" s="1">
        <v>235.911</v>
      </c>
      <c r="Q214" s="4">
        <v>423.55649999999997</v>
      </c>
      <c r="R214" s="4">
        <f t="shared" si="1"/>
        <v>72.149222014224762</v>
      </c>
      <c r="S214" s="1">
        <v>303.94349999999997</v>
      </c>
      <c r="T214" s="1">
        <v>649.62149999999997</v>
      </c>
      <c r="U214" s="1">
        <v>623.61300000000006</v>
      </c>
      <c r="V214" s="1">
        <v>598.01549999999997</v>
      </c>
      <c r="W214" s="1">
        <v>278.04449999999997</v>
      </c>
      <c r="X214" s="1">
        <v>1105.9349999999999</v>
      </c>
      <c r="Y214" s="1">
        <v>519.702</v>
      </c>
      <c r="Z214" s="1">
        <v>509.226</v>
      </c>
      <c r="AA214" s="3">
        <v>15000</v>
      </c>
      <c r="AB214" s="1">
        <v>7110.2089999999998</v>
      </c>
    </row>
    <row r="215" spans="1:28" x14ac:dyDescent="0.25">
      <c r="A215" s="1">
        <v>214</v>
      </c>
      <c r="B215" s="2">
        <v>52110</v>
      </c>
      <c r="C215" s="1">
        <v>1271.4839999999999</v>
      </c>
      <c r="D215" s="1">
        <v>121.34699999999999</v>
      </c>
      <c r="E215" s="1">
        <v>505.54049999999995</v>
      </c>
      <c r="F215" s="1">
        <v>579.13350000000003</v>
      </c>
      <c r="G215" s="1">
        <v>159.54300000000001</v>
      </c>
      <c r="H215" s="1">
        <v>569.19600000000003</v>
      </c>
      <c r="I215" s="1">
        <v>412.3125</v>
      </c>
      <c r="J215" s="1">
        <v>249.321</v>
      </c>
      <c r="K215" s="1">
        <v>345.15449999999998</v>
      </c>
      <c r="L215" s="1">
        <v>400.78199999999998</v>
      </c>
      <c r="M215" s="1">
        <v>496.40699999999998</v>
      </c>
      <c r="N215" s="4">
        <f t="shared" si="2"/>
        <v>42.746120894087149</v>
      </c>
      <c r="O215" s="1">
        <v>286.39350000000002</v>
      </c>
      <c r="P215" s="1">
        <v>234.804</v>
      </c>
      <c r="Q215" s="4">
        <v>423.048</v>
      </c>
      <c r="R215" s="4">
        <f t="shared" si="1"/>
        <v>71.427729794082509</v>
      </c>
      <c r="S215" s="1">
        <v>302.30399999999997</v>
      </c>
      <c r="T215" s="1">
        <v>648.73649999999998</v>
      </c>
      <c r="U215" s="1">
        <v>621.0809999999999</v>
      </c>
      <c r="V215" s="1">
        <v>593.625</v>
      </c>
      <c r="W215" s="1">
        <v>277.28550000000001</v>
      </c>
      <c r="X215" s="1">
        <v>1102.527</v>
      </c>
      <c r="Y215" s="1">
        <v>519.01350000000002</v>
      </c>
      <c r="Z215" s="1">
        <v>505.70100000000002</v>
      </c>
      <c r="AA215" s="3">
        <v>15000</v>
      </c>
      <c r="AB215" s="1">
        <v>7082.6990000000005</v>
      </c>
    </row>
    <row r="216" spans="1:28" x14ac:dyDescent="0.25">
      <c r="A216" s="1">
        <v>215</v>
      </c>
      <c r="B216" s="2">
        <v>52140</v>
      </c>
      <c r="C216" s="1">
        <v>1269.8775000000001</v>
      </c>
      <c r="D216" s="1">
        <v>120.744</v>
      </c>
      <c r="E216" s="1">
        <v>503.89050000000003</v>
      </c>
      <c r="F216" s="1">
        <v>574.35450000000003</v>
      </c>
      <c r="G216" s="1">
        <v>159.072</v>
      </c>
      <c r="H216" s="1">
        <v>568.66650000000004</v>
      </c>
      <c r="I216" s="1">
        <v>411.65250000000003</v>
      </c>
      <c r="J216" s="1">
        <v>248.952</v>
      </c>
      <c r="K216" s="1">
        <v>343.488</v>
      </c>
      <c r="L216" s="1">
        <v>399.22950000000003</v>
      </c>
      <c r="M216" s="1">
        <v>493.41600000000005</v>
      </c>
      <c r="N216" s="4">
        <f t="shared" si="2"/>
        <v>42.31865968514628</v>
      </c>
      <c r="O216" s="1">
        <v>285.26549999999997</v>
      </c>
      <c r="P216" s="1">
        <v>233.85449999999997</v>
      </c>
      <c r="Q216" s="4">
        <v>422.35650000000004</v>
      </c>
      <c r="R216" s="4">
        <f t="shared" si="1"/>
        <v>70.713452496141684</v>
      </c>
      <c r="S216" s="1">
        <v>301.00350000000003</v>
      </c>
      <c r="T216" s="1">
        <v>647.98800000000006</v>
      </c>
      <c r="U216" s="1">
        <v>618.96749999999997</v>
      </c>
      <c r="V216" s="1">
        <v>590.12850000000003</v>
      </c>
      <c r="W216" s="1">
        <v>276.65250000000003</v>
      </c>
      <c r="X216" s="1">
        <v>1099.8150000000001</v>
      </c>
      <c r="Y216" s="1">
        <v>518.49149999999997</v>
      </c>
      <c r="Z216" s="1">
        <v>502.911</v>
      </c>
      <c r="AA216" s="3">
        <v>15000</v>
      </c>
      <c r="AB216" s="1">
        <v>7060.1730000000016</v>
      </c>
    </row>
    <row r="217" spans="1:28" x14ac:dyDescent="0.25">
      <c r="A217" s="1">
        <v>216</v>
      </c>
      <c r="B217" s="2">
        <v>52171</v>
      </c>
      <c r="C217" s="1">
        <v>1268.3595</v>
      </c>
      <c r="D217" s="1">
        <v>120.16650000000001</v>
      </c>
      <c r="E217" s="1">
        <v>502.00049999999999</v>
      </c>
      <c r="F217" s="1">
        <v>568.90049999999997</v>
      </c>
      <c r="G217" s="1">
        <v>158.637</v>
      </c>
      <c r="H217" s="1">
        <v>568.09050000000002</v>
      </c>
      <c r="I217" s="1">
        <v>410.92499999999995</v>
      </c>
      <c r="J217" s="1">
        <v>248.54999999999998</v>
      </c>
      <c r="K217" s="1">
        <v>341.55600000000004</v>
      </c>
      <c r="L217" s="1">
        <v>397.42499999999995</v>
      </c>
      <c r="M217" s="1">
        <v>489.97499999999997</v>
      </c>
      <c r="N217" s="4">
        <f t="shared" si="2"/>
        <v>41.895473088294814</v>
      </c>
      <c r="O217" s="1">
        <v>283.875</v>
      </c>
      <c r="P217" s="1">
        <v>232.77449999999999</v>
      </c>
      <c r="Q217" s="4">
        <v>421.839</v>
      </c>
      <c r="R217" s="4">
        <f t="shared" si="1"/>
        <v>70.006317971180266</v>
      </c>
      <c r="S217" s="1">
        <v>299.51250000000005</v>
      </c>
      <c r="T217" s="1">
        <v>647.05050000000006</v>
      </c>
      <c r="U217" s="1">
        <v>616.60050000000001</v>
      </c>
      <c r="V217" s="1">
        <v>586.04999999999995</v>
      </c>
      <c r="W217" s="1">
        <v>275.93700000000001</v>
      </c>
      <c r="X217" s="1">
        <v>1096.6005</v>
      </c>
      <c r="Y217" s="1">
        <v>517.92450000000008</v>
      </c>
      <c r="Z217" s="1">
        <v>499.65000000000003</v>
      </c>
      <c r="AA217" s="3">
        <v>15000</v>
      </c>
      <c r="AB217" s="1">
        <v>7034.4740000000002</v>
      </c>
    </row>
    <row r="218" spans="1:28" x14ac:dyDescent="0.25">
      <c r="A218" s="1">
        <v>217</v>
      </c>
      <c r="B218" s="2">
        <v>52201</v>
      </c>
      <c r="C218" s="1">
        <v>1266.7350000000001</v>
      </c>
      <c r="D218" s="1">
        <v>119.57399999999998</v>
      </c>
      <c r="E218" s="1">
        <v>500.286</v>
      </c>
      <c r="F218" s="1">
        <v>563.928</v>
      </c>
      <c r="G218" s="1">
        <v>158.268</v>
      </c>
      <c r="H218" s="1">
        <v>567.57900000000006</v>
      </c>
      <c r="I218" s="1">
        <v>410.202</v>
      </c>
      <c r="J218" s="1">
        <v>248.12850000000003</v>
      </c>
      <c r="K218" s="1">
        <v>339.8895</v>
      </c>
      <c r="L218" s="1">
        <v>395.80649999999997</v>
      </c>
      <c r="M218" s="1">
        <v>486.88350000000003</v>
      </c>
      <c r="N218" s="4">
        <f t="shared" si="2"/>
        <v>41.476518357411862</v>
      </c>
      <c r="O218" s="1">
        <v>282.678</v>
      </c>
      <c r="P218" s="1">
        <v>231.75</v>
      </c>
      <c r="Q218" s="4">
        <v>421.15049999999997</v>
      </c>
      <c r="R218" s="4">
        <f t="shared" si="1"/>
        <v>69.306254791468461</v>
      </c>
      <c r="S218" s="1">
        <v>298.149</v>
      </c>
      <c r="T218" s="1">
        <v>646.18500000000006</v>
      </c>
      <c r="U218" s="1">
        <v>614.39549999999997</v>
      </c>
      <c r="V218" s="1">
        <v>582.33899999999994</v>
      </c>
      <c r="W218" s="1">
        <v>275.298</v>
      </c>
      <c r="X218" s="1">
        <v>1093.6695</v>
      </c>
      <c r="Y218" s="1">
        <v>517.42200000000003</v>
      </c>
      <c r="Z218" s="1">
        <v>496.64549999999997</v>
      </c>
      <c r="AA218" s="3">
        <v>15000</v>
      </c>
      <c r="AB218" s="1">
        <v>7010.8959999999997</v>
      </c>
    </row>
    <row r="219" spans="1:28" x14ac:dyDescent="0.25">
      <c r="A219" s="1">
        <v>218</v>
      </c>
      <c r="B219" s="2">
        <v>52232</v>
      </c>
      <c r="C219" s="1">
        <v>1265.259</v>
      </c>
      <c r="D219" s="1">
        <v>119.00699999999999</v>
      </c>
      <c r="E219" s="1">
        <v>498.40049999999997</v>
      </c>
      <c r="F219" s="1">
        <v>558.75</v>
      </c>
      <c r="G219" s="1">
        <v>157.80000000000001</v>
      </c>
      <c r="H219" s="1">
        <v>567.04049999999995</v>
      </c>
      <c r="I219" s="1">
        <v>409.42499999999995</v>
      </c>
      <c r="J219" s="1">
        <v>247.72500000000002</v>
      </c>
      <c r="K219" s="1">
        <v>337.96199999999999</v>
      </c>
      <c r="L219" s="1">
        <v>394.04999999999995</v>
      </c>
      <c r="M219" s="1">
        <v>483.52500000000003</v>
      </c>
      <c r="N219" s="4">
        <f t="shared" si="2"/>
        <v>41.061753173837744</v>
      </c>
      <c r="O219" s="1">
        <v>281.27549999999997</v>
      </c>
      <c r="P219" s="1">
        <v>230.67449999999997</v>
      </c>
      <c r="Q219" s="4">
        <v>420.53250000000003</v>
      </c>
      <c r="R219" s="4">
        <f t="shared" si="1"/>
        <v>68.613192243553783</v>
      </c>
      <c r="S219" s="1">
        <v>296.66250000000002</v>
      </c>
      <c r="T219" s="1">
        <v>645.22499999999991</v>
      </c>
      <c r="U219" s="1">
        <v>612</v>
      </c>
      <c r="V219" s="1">
        <v>578.35050000000001</v>
      </c>
      <c r="W219" s="1">
        <v>274.60050000000001</v>
      </c>
      <c r="X219" s="1">
        <v>1090.5255000000002</v>
      </c>
      <c r="Y219" s="1">
        <v>516.91200000000003</v>
      </c>
      <c r="Z219" s="1">
        <v>493.36200000000002</v>
      </c>
      <c r="AA219" s="3">
        <v>15000</v>
      </c>
      <c r="AB219" s="1">
        <v>6985.570999999999</v>
      </c>
    </row>
    <row r="220" spans="1:28" x14ac:dyDescent="0.25">
      <c r="A220" s="1">
        <v>219</v>
      </c>
      <c r="B220" s="2">
        <v>52263</v>
      </c>
      <c r="C220" s="1">
        <v>1263.6869999999999</v>
      </c>
      <c r="D220" s="1">
        <v>118.416</v>
      </c>
      <c r="E220" s="1">
        <v>496.60949999999997</v>
      </c>
      <c r="F220" s="1">
        <v>553.98450000000003</v>
      </c>
      <c r="G220" s="1">
        <v>157.34699999999998</v>
      </c>
      <c r="H220" s="1">
        <v>566.51700000000005</v>
      </c>
      <c r="I220" s="1">
        <v>408.75</v>
      </c>
      <c r="J220" s="1">
        <v>247.35449999999997</v>
      </c>
      <c r="K220" s="1">
        <v>336.1275</v>
      </c>
      <c r="L220" s="1">
        <v>392.40750000000003</v>
      </c>
      <c r="M220" s="1">
        <v>480.38699999999994</v>
      </c>
      <c r="N220" s="4">
        <f t="shared" si="2"/>
        <v>40.651135642099369</v>
      </c>
      <c r="O220" s="1">
        <v>280.01549999999997</v>
      </c>
      <c r="P220" s="1">
        <v>229.5975</v>
      </c>
      <c r="Q220" s="4">
        <v>419.82449999999994</v>
      </c>
      <c r="R220" s="4">
        <f t="shared" si="1"/>
        <v>67.927060321118248</v>
      </c>
      <c r="S220" s="1">
        <v>295.28249999999997</v>
      </c>
      <c r="T220" s="1">
        <v>644.26199999999994</v>
      </c>
      <c r="U220" s="1">
        <v>609.75</v>
      </c>
      <c r="V220" s="1">
        <v>574.64549999999997</v>
      </c>
      <c r="W220" s="1">
        <v>273.94349999999997</v>
      </c>
      <c r="X220" s="1">
        <v>1087.4760000000001</v>
      </c>
      <c r="Y220" s="1">
        <v>516.447</v>
      </c>
      <c r="Z220" s="1">
        <v>490.29449999999997</v>
      </c>
      <c r="AA220" s="3">
        <v>15000</v>
      </c>
      <c r="AB220" s="1">
        <v>6961.6529999999993</v>
      </c>
    </row>
    <row r="221" spans="1:28" x14ac:dyDescent="0.25">
      <c r="A221" s="1">
        <v>220</v>
      </c>
      <c r="B221" s="2">
        <v>52291</v>
      </c>
      <c r="C221" s="1">
        <v>1262.1524999999999</v>
      </c>
      <c r="D221" s="1">
        <v>117.82499999999999</v>
      </c>
      <c r="E221" s="1">
        <v>494.86649999999997</v>
      </c>
      <c r="F221" s="1">
        <v>549.33899999999994</v>
      </c>
      <c r="G221" s="1">
        <v>156.90899999999999</v>
      </c>
      <c r="H221" s="1">
        <v>565.95000000000005</v>
      </c>
      <c r="I221" s="1">
        <v>408.048</v>
      </c>
      <c r="J221" s="1">
        <v>246.94349999999997</v>
      </c>
      <c r="K221" s="1">
        <v>334.2885</v>
      </c>
      <c r="L221" s="1">
        <v>390.786</v>
      </c>
      <c r="M221" s="1">
        <v>477.303</v>
      </c>
      <c r="N221" s="4">
        <f t="shared" si="2"/>
        <v>40.244624285678377</v>
      </c>
      <c r="O221" s="1">
        <v>278.75850000000003</v>
      </c>
      <c r="P221" s="1">
        <v>228.5805</v>
      </c>
      <c r="Q221" s="4">
        <v>419.178</v>
      </c>
      <c r="R221" s="4">
        <f t="shared" si="1"/>
        <v>67.247789717907068</v>
      </c>
      <c r="S221" s="1">
        <v>293.90250000000003</v>
      </c>
      <c r="T221" s="1">
        <v>643.30649999999991</v>
      </c>
      <c r="U221" s="1">
        <v>607.524</v>
      </c>
      <c r="V221" s="1">
        <v>571.01549999999997</v>
      </c>
      <c r="W221" s="1">
        <v>273.303</v>
      </c>
      <c r="X221" s="1">
        <v>1084.4760000000001</v>
      </c>
      <c r="Y221" s="1">
        <v>515.99399999999991</v>
      </c>
      <c r="Z221" s="1">
        <v>487.23449999999997</v>
      </c>
      <c r="AA221" s="3">
        <v>15000</v>
      </c>
      <c r="AB221" s="1">
        <v>6938.0119999999997</v>
      </c>
    </row>
    <row r="222" spans="1:28" x14ac:dyDescent="0.25">
      <c r="A222" s="1">
        <v>221</v>
      </c>
      <c r="B222" s="2">
        <v>52322</v>
      </c>
      <c r="C222" s="1">
        <v>1260.5955000000001</v>
      </c>
      <c r="D222" s="1">
        <v>117.285</v>
      </c>
      <c r="E222" s="1">
        <v>492.94949999999994</v>
      </c>
      <c r="F222" s="1">
        <v>544.41300000000001</v>
      </c>
      <c r="G222" s="1">
        <v>156.45150000000001</v>
      </c>
      <c r="H222" s="1">
        <v>565.42949999999996</v>
      </c>
      <c r="I222" s="1">
        <v>407.29950000000002</v>
      </c>
      <c r="J222" s="1">
        <v>246.52499999999998</v>
      </c>
      <c r="K222" s="1">
        <v>332.46299999999997</v>
      </c>
      <c r="L222" s="1">
        <v>389.08799999999997</v>
      </c>
      <c r="M222" s="1">
        <v>474.11249999999995</v>
      </c>
      <c r="N222" s="4">
        <f t="shared" si="2"/>
        <v>39.842178042821594</v>
      </c>
      <c r="O222" s="1">
        <v>277.39949999999999</v>
      </c>
      <c r="P222" s="1">
        <v>227.4495</v>
      </c>
      <c r="Q222" s="4">
        <v>418.51199999999994</v>
      </c>
      <c r="R222" s="4">
        <f t="shared" si="1"/>
        <v>66.57531182072799</v>
      </c>
      <c r="S222" s="1">
        <v>292.45050000000003</v>
      </c>
      <c r="T222" s="1">
        <v>642.25049999999999</v>
      </c>
      <c r="U222" s="1">
        <v>605.14949999999999</v>
      </c>
      <c r="V222" s="1">
        <v>567.04950000000008</v>
      </c>
      <c r="W222" s="1">
        <v>272.625</v>
      </c>
      <c r="X222" s="1">
        <v>1081.2494999999999</v>
      </c>
      <c r="Y222" s="1">
        <v>515.5440000000001</v>
      </c>
      <c r="Z222" s="1">
        <v>484.06200000000001</v>
      </c>
      <c r="AA222" s="3">
        <v>15000</v>
      </c>
      <c r="AB222" s="1">
        <v>6913.1029999999992</v>
      </c>
    </row>
    <row r="223" spans="1:28" x14ac:dyDescent="0.25">
      <c r="A223" s="1">
        <v>222</v>
      </c>
      <c r="B223" s="2">
        <v>52352</v>
      </c>
      <c r="C223" s="1">
        <v>1259.0564999999999</v>
      </c>
      <c r="D223" s="1">
        <v>116.703</v>
      </c>
      <c r="E223" s="1">
        <v>491.226</v>
      </c>
      <c r="F223" s="1">
        <v>540.03600000000006</v>
      </c>
      <c r="G223" s="1">
        <v>156.13649999999998</v>
      </c>
      <c r="H223" s="1">
        <v>564.91050000000007</v>
      </c>
      <c r="I223" s="1">
        <v>406.62150000000003</v>
      </c>
      <c r="J223" s="1">
        <v>246.1695</v>
      </c>
      <c r="K223" s="1">
        <v>330.726</v>
      </c>
      <c r="L223" s="1">
        <v>387.54449999999997</v>
      </c>
      <c r="M223" s="1">
        <v>471.19350000000003</v>
      </c>
      <c r="N223" s="4">
        <f t="shared" si="2"/>
        <v>39.443756262393379</v>
      </c>
      <c r="O223" s="1">
        <v>276.16949999999997</v>
      </c>
      <c r="P223" s="1">
        <v>226.428</v>
      </c>
      <c r="Q223" s="4">
        <v>417.81299999999999</v>
      </c>
      <c r="R223" s="4">
        <f t="shared" si="1"/>
        <v>65.909558702520712</v>
      </c>
      <c r="S223" s="1">
        <v>291.13350000000003</v>
      </c>
      <c r="T223" s="1">
        <v>641.28600000000006</v>
      </c>
      <c r="U223" s="1">
        <v>603.072</v>
      </c>
      <c r="V223" s="1">
        <v>563.61300000000006</v>
      </c>
      <c r="W223" s="1">
        <v>272.03249999999997</v>
      </c>
      <c r="X223" s="1">
        <v>1078.3064999999999</v>
      </c>
      <c r="Y223" s="1">
        <v>515.14049999999997</v>
      </c>
      <c r="Z223" s="1">
        <v>481.149</v>
      </c>
      <c r="AA223" s="3">
        <v>15000</v>
      </c>
      <c r="AB223" s="1">
        <v>6890.5169999999989</v>
      </c>
    </row>
    <row r="224" spans="1:28" x14ac:dyDescent="0.25">
      <c r="A224" s="1">
        <v>223</v>
      </c>
      <c r="B224" s="2">
        <v>52383</v>
      </c>
      <c r="C224" s="1">
        <v>1257.519</v>
      </c>
      <c r="D224" s="1">
        <v>116.14950000000002</v>
      </c>
      <c r="E224" s="1">
        <v>489.31200000000001</v>
      </c>
      <c r="F224" s="1">
        <v>535.42499999999995</v>
      </c>
      <c r="G224" s="1">
        <v>155.81099999999998</v>
      </c>
      <c r="H224" s="1">
        <v>564.40499999999997</v>
      </c>
      <c r="I224" s="1">
        <v>405.87450000000001</v>
      </c>
      <c r="J224" s="1">
        <v>245.72550000000001</v>
      </c>
      <c r="K224" s="1">
        <v>328.81200000000001</v>
      </c>
      <c r="L224" s="1">
        <v>385.875</v>
      </c>
      <c r="M224" s="1">
        <v>468.04950000000002</v>
      </c>
      <c r="N224" s="4">
        <f t="shared" si="2"/>
        <v>39.049318699769444</v>
      </c>
      <c r="O224" s="1">
        <v>274.79999999999995</v>
      </c>
      <c r="P224" s="1">
        <v>225.40049999999999</v>
      </c>
      <c r="Q224" s="4">
        <v>417.12150000000003</v>
      </c>
      <c r="R224" s="4">
        <f t="shared" si="1"/>
        <v>65.250463115495506</v>
      </c>
      <c r="S224" s="1">
        <v>289.71299999999997</v>
      </c>
      <c r="T224" s="1">
        <v>640.23749999999995</v>
      </c>
      <c r="U224" s="1">
        <v>600.77549999999997</v>
      </c>
      <c r="V224" s="1">
        <v>559.84950000000003</v>
      </c>
      <c r="W224" s="1">
        <v>271.37549999999999</v>
      </c>
      <c r="X224" s="1">
        <v>1075.0994999999998</v>
      </c>
      <c r="Y224" s="1">
        <v>514.71299999999997</v>
      </c>
      <c r="Z224" s="1">
        <v>478.02449999999999</v>
      </c>
      <c r="AA224" s="3">
        <v>15000</v>
      </c>
      <c r="AB224" s="1">
        <v>6866.2060000000001</v>
      </c>
    </row>
    <row r="225" spans="1:28" x14ac:dyDescent="0.25">
      <c r="A225" s="1">
        <v>224</v>
      </c>
      <c r="B225" s="2">
        <v>52413</v>
      </c>
      <c r="C225" s="1">
        <v>1255.914</v>
      </c>
      <c r="D225" s="1">
        <v>115.581</v>
      </c>
      <c r="E225" s="1">
        <v>487.59749999999997</v>
      </c>
      <c r="F225" s="1">
        <v>531.12149999999997</v>
      </c>
      <c r="G225" s="1">
        <v>155.33850000000001</v>
      </c>
      <c r="H225" s="1">
        <v>563.8934999999999</v>
      </c>
      <c r="I225" s="1">
        <v>405.19350000000003</v>
      </c>
      <c r="J225" s="1">
        <v>245.37149999999997</v>
      </c>
      <c r="K225" s="1">
        <v>327.024</v>
      </c>
      <c r="L225" s="1">
        <v>384.327</v>
      </c>
      <c r="M225" s="1">
        <v>465.12150000000003</v>
      </c>
      <c r="N225" s="4">
        <f t="shared" si="2"/>
        <v>38.658825512771749</v>
      </c>
      <c r="O225" s="1">
        <v>273.53249999999997</v>
      </c>
      <c r="P225" s="1">
        <v>224.322</v>
      </c>
      <c r="Q225" s="4">
        <v>416.36249999999995</v>
      </c>
      <c r="R225" s="4">
        <f t="shared" si="1"/>
        <v>64.597958484340552</v>
      </c>
      <c r="S225" s="1">
        <v>288.375</v>
      </c>
      <c r="T225" s="1">
        <v>639.19350000000009</v>
      </c>
      <c r="U225" s="1">
        <v>598.59749999999997</v>
      </c>
      <c r="V225" s="1">
        <v>556.30649999999991</v>
      </c>
      <c r="W225" s="1">
        <v>270.762</v>
      </c>
      <c r="X225" s="1">
        <v>1072.0650000000001</v>
      </c>
      <c r="Y225" s="1">
        <v>514.32449999999994</v>
      </c>
      <c r="Z225" s="1">
        <v>475.06499999999994</v>
      </c>
      <c r="AA225" s="3">
        <v>15000</v>
      </c>
      <c r="AB225" s="1">
        <v>6843.1389999999992</v>
      </c>
    </row>
    <row r="226" spans="1:28" x14ac:dyDescent="0.25">
      <c r="A226" s="1">
        <v>225</v>
      </c>
      <c r="B226" s="2">
        <v>52444</v>
      </c>
      <c r="C226" s="1">
        <v>1254.3075000000001</v>
      </c>
      <c r="D226" s="1">
        <v>115.026</v>
      </c>
      <c r="E226" s="1">
        <v>485.93999999999994</v>
      </c>
      <c r="F226" s="1">
        <v>527.11649999999997</v>
      </c>
      <c r="G226" s="1">
        <v>154.84199999999998</v>
      </c>
      <c r="H226" s="1">
        <v>563.35050000000001</v>
      </c>
      <c r="I226" s="1">
        <v>404.56499999999994</v>
      </c>
      <c r="J226" s="1">
        <v>244.98450000000003</v>
      </c>
      <c r="K226" s="1">
        <v>325.464</v>
      </c>
      <c r="L226" s="1">
        <v>382.875</v>
      </c>
      <c r="M226" s="1">
        <v>462.423</v>
      </c>
      <c r="N226" s="4">
        <f t="shared" si="2"/>
        <v>38.272237257644029</v>
      </c>
      <c r="O226" s="1">
        <v>272.322</v>
      </c>
      <c r="P226" s="1">
        <v>223.35449999999997</v>
      </c>
      <c r="Q226" s="4">
        <v>415.68149999999997</v>
      </c>
      <c r="R226" s="4">
        <f t="shared" si="1"/>
        <v>63.951978899497149</v>
      </c>
      <c r="S226" s="1">
        <v>287.12850000000003</v>
      </c>
      <c r="T226" s="1">
        <v>638.21399999999994</v>
      </c>
      <c r="U226" s="1">
        <v>596.56499999999994</v>
      </c>
      <c r="V226" s="1">
        <v>552.96749999999997</v>
      </c>
      <c r="W226" s="1">
        <v>270.21750000000003</v>
      </c>
      <c r="X226" s="1">
        <v>1069.1370000000002</v>
      </c>
      <c r="Y226" s="1">
        <v>513.9615</v>
      </c>
      <c r="Z226" s="1">
        <v>472.30649999999997</v>
      </c>
      <c r="AA226" s="3">
        <v>15000</v>
      </c>
      <c r="AB226" s="1">
        <v>6821.4059999999999</v>
      </c>
    </row>
    <row r="227" spans="1:28" x14ac:dyDescent="0.25">
      <c r="A227" s="1">
        <v>226</v>
      </c>
      <c r="B227" s="2">
        <v>52475</v>
      </c>
      <c r="C227" s="1">
        <v>1252.8344999999999</v>
      </c>
      <c r="D227" s="1">
        <v>114.49349999999998</v>
      </c>
      <c r="E227" s="1">
        <v>483.92399999999998</v>
      </c>
      <c r="F227" s="1">
        <v>522.4815000000001</v>
      </c>
      <c r="G227" s="1">
        <v>154.476</v>
      </c>
      <c r="H227" s="1">
        <v>562.89300000000003</v>
      </c>
      <c r="I227" s="1">
        <v>403.79400000000004</v>
      </c>
      <c r="J227" s="1">
        <v>244.554</v>
      </c>
      <c r="K227" s="1">
        <v>323.47799999999995</v>
      </c>
      <c r="L227" s="1">
        <v>381.17400000000004</v>
      </c>
      <c r="M227" s="1">
        <v>459.21449999999993</v>
      </c>
      <c r="N227" s="4">
        <f t="shared" si="2"/>
        <v>37.889514885067591</v>
      </c>
      <c r="O227" s="1">
        <v>270.88350000000003</v>
      </c>
      <c r="P227" s="1">
        <v>222.2415</v>
      </c>
      <c r="Q227" s="4">
        <v>415.04100000000005</v>
      </c>
      <c r="R227" s="4">
        <f t="shared" si="1"/>
        <v>63.312459110502175</v>
      </c>
      <c r="S227" s="1">
        <v>285.66899999999998</v>
      </c>
      <c r="T227" s="1">
        <v>637.0440000000001</v>
      </c>
      <c r="U227" s="1">
        <v>594.1875</v>
      </c>
      <c r="V227" s="1">
        <v>549.1065000000001</v>
      </c>
      <c r="W227" s="1">
        <v>269.54399999999998</v>
      </c>
      <c r="X227" s="1">
        <v>1065.6164999999999</v>
      </c>
      <c r="Y227" s="1">
        <v>513.4815000000001</v>
      </c>
      <c r="Z227" s="1">
        <v>469.01849999999996</v>
      </c>
      <c r="AA227" s="3">
        <v>15000</v>
      </c>
      <c r="AB227" s="1">
        <v>6796.2430000000004</v>
      </c>
    </row>
    <row r="228" spans="1:28" x14ac:dyDescent="0.25">
      <c r="A228" s="1">
        <v>227</v>
      </c>
      <c r="B228" s="2">
        <v>52505</v>
      </c>
      <c r="C228" s="1">
        <v>1251.2130000000002</v>
      </c>
      <c r="D228" s="1">
        <v>113.95050000000001</v>
      </c>
      <c r="E228" s="1">
        <v>482.298</v>
      </c>
      <c r="F228" s="1">
        <v>518.83050000000003</v>
      </c>
      <c r="G228" s="1">
        <v>154.2045</v>
      </c>
      <c r="H228" s="1">
        <v>562.38149999999996</v>
      </c>
      <c r="I228" s="1">
        <v>403.20899999999995</v>
      </c>
      <c r="J228" s="1">
        <v>244.209</v>
      </c>
      <c r="K228" s="1">
        <v>321.90749999999997</v>
      </c>
      <c r="L228" s="1">
        <v>379.803</v>
      </c>
      <c r="M228" s="1">
        <v>456.678</v>
      </c>
      <c r="N228" s="4">
        <f t="shared" si="2"/>
        <v>37.510619736216917</v>
      </c>
      <c r="O228" s="1">
        <v>269.709</v>
      </c>
      <c r="P228" s="1">
        <v>221.298</v>
      </c>
      <c r="Q228" s="4">
        <v>414.255</v>
      </c>
      <c r="R228" s="4">
        <f t="shared" ref="R228:R291" si="3">R227*0.99</f>
        <v>62.679334519397152</v>
      </c>
      <c r="S228" s="1">
        <v>284.50350000000003</v>
      </c>
      <c r="T228" s="1">
        <v>636.09749999999997</v>
      </c>
      <c r="U228" s="1">
        <v>592.30649999999991</v>
      </c>
      <c r="V228" s="1">
        <v>546.048</v>
      </c>
      <c r="W228" s="1">
        <v>269.02050000000003</v>
      </c>
      <c r="X228" s="1">
        <v>1062.7739999999999</v>
      </c>
      <c r="Y228" s="1">
        <v>513.10350000000005</v>
      </c>
      <c r="Z228" s="1">
        <v>466.34249999999997</v>
      </c>
      <c r="AA228" s="3">
        <v>15000</v>
      </c>
      <c r="AB228" s="1">
        <v>6775.6910000000007</v>
      </c>
    </row>
    <row r="229" spans="1:28" x14ac:dyDescent="0.25">
      <c r="A229" s="1">
        <v>228</v>
      </c>
      <c r="B229" s="2">
        <v>52536</v>
      </c>
      <c r="C229" s="1">
        <v>1249.56</v>
      </c>
      <c r="D229" s="1">
        <v>113.40300000000001</v>
      </c>
      <c r="E229" s="1">
        <v>480.40049999999997</v>
      </c>
      <c r="F229" s="1">
        <v>514.60050000000001</v>
      </c>
      <c r="G229" s="1">
        <v>153.71100000000001</v>
      </c>
      <c r="H229" s="1">
        <v>561.8655</v>
      </c>
      <c r="I229" s="1">
        <v>402.47550000000001</v>
      </c>
      <c r="J229" s="1">
        <v>243.79949999999997</v>
      </c>
      <c r="K229" s="1">
        <v>320.0625</v>
      </c>
      <c r="L229" s="1">
        <v>378.22500000000002</v>
      </c>
      <c r="M229" s="1">
        <v>453.71250000000003</v>
      </c>
      <c r="N229" s="4">
        <f t="shared" si="2"/>
        <v>37.135513538854745</v>
      </c>
      <c r="O229" s="1">
        <v>268.37549999999999</v>
      </c>
      <c r="P229" s="1">
        <v>220.22550000000001</v>
      </c>
      <c r="Q229" s="4">
        <v>413.649</v>
      </c>
      <c r="R229" s="4">
        <f t="shared" si="3"/>
        <v>62.052541174203178</v>
      </c>
      <c r="S229" s="1">
        <v>283.15049999999997</v>
      </c>
      <c r="T229" s="1">
        <v>634.98749999999995</v>
      </c>
      <c r="U229" s="1">
        <v>590.12549999999999</v>
      </c>
      <c r="V229" s="1">
        <v>542.50049999999999</v>
      </c>
      <c r="W229" s="1">
        <v>268.43700000000001</v>
      </c>
      <c r="X229" s="1">
        <v>1059.375</v>
      </c>
      <c r="Y229" s="1">
        <v>512.66249999999991</v>
      </c>
      <c r="Z229" s="1">
        <v>463.24950000000001</v>
      </c>
      <c r="AA229" s="3">
        <v>15000</v>
      </c>
      <c r="AB229" s="1">
        <v>6751.8779999999997</v>
      </c>
    </row>
    <row r="230" spans="1:28" x14ac:dyDescent="0.25">
      <c r="A230" s="1">
        <v>229</v>
      </c>
      <c r="B230" s="2">
        <v>52566</v>
      </c>
      <c r="C230" s="1">
        <v>1247.9279999999999</v>
      </c>
      <c r="D230" s="1">
        <v>112.82849999999999</v>
      </c>
      <c r="E230" s="1">
        <v>478.66949999999997</v>
      </c>
      <c r="F230" s="1">
        <v>510.75</v>
      </c>
      <c r="G230" s="1">
        <v>153.15300000000002</v>
      </c>
      <c r="H230" s="1">
        <v>561.39</v>
      </c>
      <c r="I230" s="1">
        <v>401.85450000000003</v>
      </c>
      <c r="J230" s="1">
        <v>243.411</v>
      </c>
      <c r="K230" s="1">
        <v>318.447</v>
      </c>
      <c r="L230" s="1">
        <v>376.791</v>
      </c>
      <c r="M230" s="1">
        <v>451.077</v>
      </c>
      <c r="N230" s="4">
        <f t="shared" si="2"/>
        <v>36.764158403466197</v>
      </c>
      <c r="O230" s="1">
        <v>267.12149999999997</v>
      </c>
      <c r="P230" s="1">
        <v>219.2415</v>
      </c>
      <c r="Q230" s="4">
        <v>412.91249999999997</v>
      </c>
      <c r="R230" s="4">
        <f t="shared" si="3"/>
        <v>61.432015762461148</v>
      </c>
      <c r="S230" s="1">
        <v>281.952</v>
      </c>
      <c r="T230" s="1">
        <v>633.95550000000003</v>
      </c>
      <c r="U230" s="1">
        <v>588.072</v>
      </c>
      <c r="V230" s="1">
        <v>539.226</v>
      </c>
      <c r="W230" s="1">
        <v>267.89550000000003</v>
      </c>
      <c r="X230" s="1">
        <v>1056.2655</v>
      </c>
      <c r="Y230" s="1">
        <v>512.25</v>
      </c>
      <c r="Z230" s="1">
        <v>460.37849999999997</v>
      </c>
      <c r="AA230" s="3">
        <v>15000</v>
      </c>
      <c r="AB230" s="1">
        <v>6729.9519999999993</v>
      </c>
    </row>
    <row r="231" spans="1:28" x14ac:dyDescent="0.25">
      <c r="A231" s="1">
        <v>230</v>
      </c>
      <c r="B231" s="2">
        <v>52597</v>
      </c>
      <c r="C231" s="1">
        <v>1246.2885000000001</v>
      </c>
      <c r="D231" s="1">
        <v>112.30500000000001</v>
      </c>
      <c r="E231" s="1">
        <v>476.76299999999998</v>
      </c>
      <c r="F231" s="1">
        <v>506.71199999999999</v>
      </c>
      <c r="G231" s="1">
        <v>152.7405</v>
      </c>
      <c r="H231" s="1">
        <v>560.86500000000001</v>
      </c>
      <c r="I231" s="1">
        <v>401.14949999999999</v>
      </c>
      <c r="J231" s="1">
        <v>243</v>
      </c>
      <c r="K231" s="1">
        <v>316.61249999999995</v>
      </c>
      <c r="L231" s="1">
        <v>375.22500000000002</v>
      </c>
      <c r="M231" s="1">
        <v>448.21199999999999</v>
      </c>
      <c r="N231" s="4">
        <f t="shared" si="2"/>
        <v>36.396516819431532</v>
      </c>
      <c r="O231" s="1">
        <v>265.75049999999999</v>
      </c>
      <c r="P231" s="1">
        <v>218.17499999999998</v>
      </c>
      <c r="Q231" s="4">
        <v>412.27049999999997</v>
      </c>
      <c r="R231" s="4">
        <f t="shared" si="3"/>
        <v>60.817695604836537</v>
      </c>
      <c r="S231" s="1">
        <v>280.61249999999995</v>
      </c>
      <c r="T231" s="1">
        <v>632.83799999999997</v>
      </c>
      <c r="U231" s="1">
        <v>585.92550000000006</v>
      </c>
      <c r="V231" s="1">
        <v>535.75049999999999</v>
      </c>
      <c r="W231" s="1">
        <v>267.27449999999999</v>
      </c>
      <c r="X231" s="1">
        <v>1052.8499999999999</v>
      </c>
      <c r="Y231" s="1">
        <v>511.79999999999995</v>
      </c>
      <c r="Z231" s="1">
        <v>457.32449999999994</v>
      </c>
      <c r="AA231" s="3">
        <v>15000</v>
      </c>
      <c r="AB231" s="1">
        <v>6706.4739999999993</v>
      </c>
    </row>
    <row r="232" spans="1:28" x14ac:dyDescent="0.25">
      <c r="A232" s="1">
        <v>231</v>
      </c>
      <c r="B232" s="2">
        <v>52628</v>
      </c>
      <c r="C232" s="1">
        <v>1244.5259999999998</v>
      </c>
      <c r="D232" s="1">
        <v>111.76500000000001</v>
      </c>
      <c r="E232" s="1">
        <v>474.97950000000003</v>
      </c>
      <c r="F232" s="1">
        <v>502.947</v>
      </c>
      <c r="G232" s="1">
        <v>152.33850000000001</v>
      </c>
      <c r="H232" s="1">
        <v>560.39700000000005</v>
      </c>
      <c r="I232" s="1">
        <v>400.452</v>
      </c>
      <c r="J232" s="1">
        <v>242.637</v>
      </c>
      <c r="K232" s="1">
        <v>314.87850000000003</v>
      </c>
      <c r="L232" s="1">
        <v>373.77750000000003</v>
      </c>
      <c r="M232" s="1">
        <v>445.536</v>
      </c>
      <c r="N232" s="4">
        <f t="shared" si="2"/>
        <v>36.03255165123722</v>
      </c>
      <c r="O232" s="1">
        <v>264.50850000000003</v>
      </c>
      <c r="P232" s="1">
        <v>217.161</v>
      </c>
      <c r="Q232" s="4">
        <v>411.53700000000003</v>
      </c>
      <c r="R232" s="4">
        <f t="shared" si="3"/>
        <v>60.209518648788169</v>
      </c>
      <c r="S232" s="1">
        <v>279.375</v>
      </c>
      <c r="T232" s="1">
        <v>631.76549999999997</v>
      </c>
      <c r="U232" s="1">
        <v>583.91100000000006</v>
      </c>
      <c r="V232" s="1">
        <v>532.452</v>
      </c>
      <c r="W232" s="1">
        <v>266.73450000000003</v>
      </c>
      <c r="X232" s="1">
        <v>1049.6370000000002</v>
      </c>
      <c r="Y232" s="1">
        <v>511.37250000000006</v>
      </c>
      <c r="Z232" s="1">
        <v>454.428</v>
      </c>
      <c r="AA232" s="3">
        <v>15000</v>
      </c>
      <c r="AB232" s="1">
        <v>6684.2889999999998</v>
      </c>
    </row>
    <row r="233" spans="1:28" x14ac:dyDescent="0.25">
      <c r="A233" s="1">
        <v>232</v>
      </c>
      <c r="B233" s="2">
        <v>52657</v>
      </c>
      <c r="C233" s="1">
        <v>1242.8249999999998</v>
      </c>
      <c r="D233" s="1">
        <v>111.19800000000001</v>
      </c>
      <c r="E233" s="1">
        <v>473.16600000000005</v>
      </c>
      <c r="F233" s="1">
        <v>499.25850000000003</v>
      </c>
      <c r="G233" s="1">
        <v>151.85400000000001</v>
      </c>
      <c r="H233" s="1">
        <v>559.90049999999997</v>
      </c>
      <c r="I233" s="1">
        <v>399.84749999999997</v>
      </c>
      <c r="J233" s="1">
        <v>242.202</v>
      </c>
      <c r="K233" s="1">
        <v>313.149</v>
      </c>
      <c r="L233" s="1">
        <v>372.315</v>
      </c>
      <c r="M233" s="1">
        <v>442.88699999999994</v>
      </c>
      <c r="N233" s="4">
        <f t="shared" si="2"/>
        <v>35.672226134724845</v>
      </c>
      <c r="O233" s="1">
        <v>263.226</v>
      </c>
      <c r="P233" s="1">
        <v>216.1695</v>
      </c>
      <c r="Q233" s="4">
        <v>410.85450000000003</v>
      </c>
      <c r="R233" s="4">
        <f t="shared" si="3"/>
        <v>59.607423462300289</v>
      </c>
      <c r="S233" s="1">
        <v>278.15250000000003</v>
      </c>
      <c r="T233" s="1">
        <v>630.702</v>
      </c>
      <c r="U233" s="1">
        <v>581.952</v>
      </c>
      <c r="V233" s="1">
        <v>529.25850000000003</v>
      </c>
      <c r="W233" s="1">
        <v>266.166</v>
      </c>
      <c r="X233" s="1">
        <v>1046.3715</v>
      </c>
      <c r="Y233" s="1">
        <v>510.94350000000003</v>
      </c>
      <c r="Z233" s="1">
        <v>451.51199999999994</v>
      </c>
      <c r="AA233" s="3">
        <v>15000</v>
      </c>
      <c r="AB233" s="1">
        <v>6662.1639999999998</v>
      </c>
    </row>
    <row r="234" spans="1:28" x14ac:dyDescent="0.25">
      <c r="A234" s="1">
        <v>233</v>
      </c>
      <c r="B234" s="2">
        <v>52688</v>
      </c>
      <c r="C234" s="1">
        <v>1241.1374999999998</v>
      </c>
      <c r="D234" s="1">
        <v>110.69400000000002</v>
      </c>
      <c r="E234" s="1">
        <v>471.26250000000005</v>
      </c>
      <c r="F234" s="1">
        <v>495.32549999999998</v>
      </c>
      <c r="G234" s="1">
        <v>151.48949999999999</v>
      </c>
      <c r="H234" s="1">
        <v>559.39949999999999</v>
      </c>
      <c r="I234" s="1">
        <v>399.15000000000003</v>
      </c>
      <c r="J234" s="1">
        <v>241.79999999999998</v>
      </c>
      <c r="K234" s="1">
        <v>311.39999999999998</v>
      </c>
      <c r="L234" s="1">
        <v>370.78800000000001</v>
      </c>
      <c r="M234" s="1">
        <v>440.16300000000001</v>
      </c>
      <c r="N234" s="4">
        <f t="shared" si="2"/>
        <v>35.315503873377594</v>
      </c>
      <c r="O234" s="1">
        <v>261.87450000000001</v>
      </c>
      <c r="P234" s="1">
        <v>215.12549999999999</v>
      </c>
      <c r="Q234" s="4">
        <v>410.18999999999994</v>
      </c>
      <c r="R234" s="4">
        <f t="shared" si="3"/>
        <v>59.011349227677286</v>
      </c>
      <c r="S234" s="1">
        <v>276.87450000000001</v>
      </c>
      <c r="T234" s="1">
        <v>629.56200000000001</v>
      </c>
      <c r="U234" s="1">
        <v>579.87450000000001</v>
      </c>
      <c r="V234" s="1">
        <v>525.85050000000001</v>
      </c>
      <c r="W234" s="1">
        <v>265.56299999999999</v>
      </c>
      <c r="X234" s="1">
        <v>1042.9005000000002</v>
      </c>
      <c r="Y234" s="1">
        <v>510.49350000000004</v>
      </c>
      <c r="Z234" s="1">
        <v>448.46250000000003</v>
      </c>
      <c r="AA234" s="3">
        <v>15000</v>
      </c>
      <c r="AB234" s="1">
        <v>6639.101999999999</v>
      </c>
    </row>
    <row r="235" spans="1:28" x14ac:dyDescent="0.25">
      <c r="A235" s="1">
        <v>234</v>
      </c>
      <c r="B235" s="2">
        <v>52718</v>
      </c>
      <c r="C235" s="1">
        <v>1239.3285000000001</v>
      </c>
      <c r="D235" s="1">
        <v>110.1345</v>
      </c>
      <c r="E235" s="1">
        <v>469.524</v>
      </c>
      <c r="F235" s="1">
        <v>491.85450000000003</v>
      </c>
      <c r="G235" s="1">
        <v>151.06200000000001</v>
      </c>
      <c r="H235" s="1">
        <v>558.90899999999999</v>
      </c>
      <c r="I235" s="1">
        <v>398.51550000000003</v>
      </c>
      <c r="J235" s="1">
        <v>241.4025</v>
      </c>
      <c r="K235" s="1">
        <v>309.762</v>
      </c>
      <c r="L235" s="1">
        <v>369.399</v>
      </c>
      <c r="M235" s="1">
        <v>437.673</v>
      </c>
      <c r="N235" s="4">
        <f t="shared" si="2"/>
        <v>34.962348834643819</v>
      </c>
      <c r="O235" s="1">
        <v>260.637</v>
      </c>
      <c r="P235" s="1">
        <v>214.137</v>
      </c>
      <c r="Q235" s="4">
        <v>409.46250000000003</v>
      </c>
      <c r="R235" s="4">
        <f t="shared" si="3"/>
        <v>58.421235735400515</v>
      </c>
      <c r="S235" s="1">
        <v>275.685</v>
      </c>
      <c r="T235" s="1">
        <v>628.548</v>
      </c>
      <c r="U235" s="1">
        <v>578.00850000000003</v>
      </c>
      <c r="V235" s="1">
        <v>522.726</v>
      </c>
      <c r="W235" s="1">
        <v>265.053</v>
      </c>
      <c r="X235" s="1">
        <v>1039.7414999999999</v>
      </c>
      <c r="Y235" s="1">
        <v>510.06599999999997</v>
      </c>
      <c r="Z235" s="1">
        <v>445.65750000000003</v>
      </c>
      <c r="AA235" s="3">
        <v>15000</v>
      </c>
      <c r="AB235" s="1">
        <v>6617.7559999999994</v>
      </c>
    </row>
    <row r="236" spans="1:28" x14ac:dyDescent="0.25">
      <c r="A236" s="1">
        <v>235</v>
      </c>
      <c r="B236" s="2">
        <v>52749</v>
      </c>
      <c r="C236" s="1">
        <v>1237.5975000000001</v>
      </c>
      <c r="D236" s="1">
        <v>109.61849999999998</v>
      </c>
      <c r="E236" s="1">
        <v>467.625</v>
      </c>
      <c r="F236" s="1">
        <v>488.11200000000002</v>
      </c>
      <c r="G236" s="1">
        <v>150.6525</v>
      </c>
      <c r="H236" s="1">
        <v>558.423</v>
      </c>
      <c r="I236" s="1">
        <v>397.84950000000003</v>
      </c>
      <c r="J236" s="1">
        <v>241.00049999999999</v>
      </c>
      <c r="K236" s="1">
        <v>307.96199999999999</v>
      </c>
      <c r="L236" s="1">
        <v>367.90049999999997</v>
      </c>
      <c r="M236" s="1">
        <v>434.98800000000006</v>
      </c>
      <c r="N236" s="4">
        <f t="shared" si="2"/>
        <v>34.612725346297381</v>
      </c>
      <c r="O236" s="1">
        <v>259.27499999999998</v>
      </c>
      <c r="P236" s="1">
        <v>213.10050000000001</v>
      </c>
      <c r="Q236" s="4">
        <v>408.81000000000006</v>
      </c>
      <c r="R236" s="4">
        <f t="shared" si="3"/>
        <v>57.83702337804651</v>
      </c>
      <c r="S236" s="1">
        <v>274.43700000000001</v>
      </c>
      <c r="T236" s="1">
        <v>627.43799999999999</v>
      </c>
      <c r="U236" s="1">
        <v>576</v>
      </c>
      <c r="V236" s="1">
        <v>519.49950000000001</v>
      </c>
      <c r="W236" s="1">
        <v>264.47550000000001</v>
      </c>
      <c r="X236" s="1">
        <v>1036.2494999999999</v>
      </c>
      <c r="Y236" s="1">
        <v>509.61300000000006</v>
      </c>
      <c r="Z236" s="1">
        <v>442.61249999999995</v>
      </c>
      <c r="AA236" s="3">
        <v>15000</v>
      </c>
      <c r="AB236" s="1">
        <v>6595.0029999999997</v>
      </c>
    </row>
    <row r="237" spans="1:28" x14ac:dyDescent="0.25">
      <c r="A237" s="1">
        <v>236</v>
      </c>
      <c r="B237" s="2">
        <v>52779</v>
      </c>
      <c r="C237" s="1">
        <v>1235.7375000000002</v>
      </c>
      <c r="D237" s="1">
        <v>109.07250000000001</v>
      </c>
      <c r="E237" s="1">
        <v>465.84749999999997</v>
      </c>
      <c r="F237" s="1">
        <v>484.66949999999997</v>
      </c>
      <c r="G237" s="1">
        <v>150.30000000000001</v>
      </c>
      <c r="H237" s="1">
        <v>557.96399999999994</v>
      </c>
      <c r="I237" s="1">
        <v>397.18500000000006</v>
      </c>
      <c r="J237" s="1">
        <v>240.60449999999997</v>
      </c>
      <c r="K237" s="1">
        <v>306.291</v>
      </c>
      <c r="L237" s="1">
        <v>366.47249999999997</v>
      </c>
      <c r="M237" s="1">
        <v>432.45899999999995</v>
      </c>
      <c r="N237" s="4">
        <f t="shared" si="2"/>
        <v>34.266598092834407</v>
      </c>
      <c r="O237" s="1">
        <v>258.024</v>
      </c>
      <c r="P237" s="1">
        <v>212.12850000000003</v>
      </c>
      <c r="Q237" s="4">
        <v>408.07500000000005</v>
      </c>
      <c r="R237" s="4">
        <f t="shared" si="3"/>
        <v>57.258653144266042</v>
      </c>
      <c r="S237" s="1">
        <v>273.24149999999997</v>
      </c>
      <c r="T237" s="1">
        <v>626.37149999999997</v>
      </c>
      <c r="U237" s="1">
        <v>574.11300000000006</v>
      </c>
      <c r="V237" s="1">
        <v>516.33899999999994</v>
      </c>
      <c r="W237" s="1">
        <v>263.988</v>
      </c>
      <c r="X237" s="1">
        <v>1032.8955000000001</v>
      </c>
      <c r="Y237" s="1">
        <v>509.16600000000005</v>
      </c>
      <c r="Z237" s="1">
        <v>439.72950000000003</v>
      </c>
      <c r="AA237" s="3">
        <v>15000</v>
      </c>
      <c r="AB237" s="1">
        <v>6573.3300000000008</v>
      </c>
    </row>
    <row r="238" spans="1:28" x14ac:dyDescent="0.25">
      <c r="A238" s="1">
        <v>237</v>
      </c>
      <c r="B238" s="2">
        <v>52810</v>
      </c>
      <c r="C238" s="1">
        <v>1233.8715</v>
      </c>
      <c r="D238" s="1">
        <v>108.55199999999999</v>
      </c>
      <c r="E238" s="1">
        <v>464.11649999999997</v>
      </c>
      <c r="F238" s="1">
        <v>481.33050000000003</v>
      </c>
      <c r="G238" s="1">
        <v>150.13499999999999</v>
      </c>
      <c r="H238" s="1">
        <v>557.46749999999997</v>
      </c>
      <c r="I238" s="1">
        <v>396.58050000000003</v>
      </c>
      <c r="J238" s="1">
        <v>240.21750000000003</v>
      </c>
      <c r="K238" s="1">
        <v>304.74149999999997</v>
      </c>
      <c r="L238" s="1">
        <v>365.10449999999997</v>
      </c>
      <c r="M238" s="1">
        <v>430.101</v>
      </c>
      <c r="N238" s="4">
        <f t="shared" si="2"/>
        <v>33.923932111906062</v>
      </c>
      <c r="O238" s="1">
        <v>256.815</v>
      </c>
      <c r="P238" s="1">
        <v>211.185</v>
      </c>
      <c r="Q238" s="4">
        <v>407.39549999999997</v>
      </c>
      <c r="R238" s="4">
        <f t="shared" si="3"/>
        <v>56.686066612823382</v>
      </c>
      <c r="S238" s="1">
        <v>272.15250000000003</v>
      </c>
      <c r="T238" s="1">
        <v>625.36649999999997</v>
      </c>
      <c r="U238" s="1">
        <v>572.322</v>
      </c>
      <c r="V238" s="1">
        <v>513.29100000000005</v>
      </c>
      <c r="W238" s="1">
        <v>263.47949999999997</v>
      </c>
      <c r="X238" s="1">
        <v>1029.6524999999999</v>
      </c>
      <c r="Y238" s="1">
        <v>508.7355</v>
      </c>
      <c r="Z238" s="1">
        <v>436.99650000000003</v>
      </c>
      <c r="AA238" s="3">
        <v>15000</v>
      </c>
      <c r="AB238" s="1">
        <v>6552.6449999999995</v>
      </c>
    </row>
    <row r="239" spans="1:28" x14ac:dyDescent="0.25">
      <c r="A239" s="1">
        <v>238</v>
      </c>
      <c r="B239" s="2">
        <v>52841</v>
      </c>
      <c r="C239" s="1">
        <v>1232.0595000000001</v>
      </c>
      <c r="D239" s="1">
        <v>108.01950000000001</v>
      </c>
      <c r="E239" s="1">
        <v>462.19350000000003</v>
      </c>
      <c r="F239" s="1">
        <v>477.67199999999997</v>
      </c>
      <c r="G239" s="1">
        <v>149.94450000000001</v>
      </c>
      <c r="H239" s="1">
        <v>557.04449999999997</v>
      </c>
      <c r="I239" s="1">
        <v>395.89649999999995</v>
      </c>
      <c r="J239" s="1">
        <v>239.79300000000001</v>
      </c>
      <c r="K239" s="1">
        <v>302.94900000000001</v>
      </c>
      <c r="L239" s="1">
        <v>363.59550000000002</v>
      </c>
      <c r="M239" s="1">
        <v>427.44900000000001</v>
      </c>
      <c r="N239" s="4">
        <f t="shared" si="2"/>
        <v>33.584692790787003</v>
      </c>
      <c r="O239" s="1">
        <v>255.41400000000002</v>
      </c>
      <c r="P239" s="1">
        <v>210.1035</v>
      </c>
      <c r="Q239" s="4">
        <v>406.75349999999997</v>
      </c>
      <c r="R239" s="4">
        <f t="shared" si="3"/>
        <v>56.119205946695146</v>
      </c>
      <c r="S239" s="1">
        <v>270.90449999999998</v>
      </c>
      <c r="T239" s="1">
        <v>624.20699999999999</v>
      </c>
      <c r="U239" s="1">
        <v>570.33600000000001</v>
      </c>
      <c r="V239" s="1">
        <v>510</v>
      </c>
      <c r="W239" s="1">
        <v>262.93950000000001</v>
      </c>
      <c r="X239" s="1">
        <v>1025.9744999999998</v>
      </c>
      <c r="Y239" s="1">
        <v>508.24199999999996</v>
      </c>
      <c r="Z239" s="1">
        <v>433.91399999999999</v>
      </c>
      <c r="AA239" s="3">
        <v>15000</v>
      </c>
      <c r="AB239" s="1">
        <v>6529.7989999999991</v>
      </c>
    </row>
    <row r="240" spans="1:28" x14ac:dyDescent="0.25">
      <c r="A240" s="1">
        <v>239</v>
      </c>
      <c r="B240" s="2">
        <v>52871</v>
      </c>
      <c r="C240" s="1">
        <v>1230.0674999999999</v>
      </c>
      <c r="D240" s="1">
        <v>107.48850000000002</v>
      </c>
      <c r="E240" s="1">
        <v>460.23449999999997</v>
      </c>
      <c r="F240" s="1">
        <v>474.68999999999994</v>
      </c>
      <c r="G240" s="1">
        <v>149.53799999999998</v>
      </c>
      <c r="H240" s="1">
        <v>556.54650000000004</v>
      </c>
      <c r="I240" s="1">
        <v>395.298</v>
      </c>
      <c r="J240" s="1">
        <v>239.4195</v>
      </c>
      <c r="K240" s="1">
        <v>301.44</v>
      </c>
      <c r="L240" s="1">
        <v>362.274</v>
      </c>
      <c r="M240" s="1">
        <v>425.26199999999994</v>
      </c>
      <c r="N240" s="4">
        <f t="shared" si="2"/>
        <v>33.248845862879129</v>
      </c>
      <c r="O240" s="1">
        <v>254.25</v>
      </c>
      <c r="P240" s="1">
        <v>209.178</v>
      </c>
      <c r="Q240" s="4">
        <v>406.04699999999997</v>
      </c>
      <c r="R240" s="4">
        <f t="shared" si="3"/>
        <v>55.558013887228192</v>
      </c>
      <c r="S240" s="1">
        <v>269.78249999999997</v>
      </c>
      <c r="T240" s="1">
        <v>623.23800000000006</v>
      </c>
      <c r="U240" s="1">
        <v>568.74149999999997</v>
      </c>
      <c r="V240" s="1">
        <v>507.29100000000005</v>
      </c>
      <c r="W240" s="1">
        <v>262.476</v>
      </c>
      <c r="X240" s="1">
        <v>1022.8064999999999</v>
      </c>
      <c r="Y240" s="1">
        <v>507.81599999999997</v>
      </c>
      <c r="Z240" s="1">
        <v>431.31000000000006</v>
      </c>
      <c r="AA240" s="3">
        <v>15000</v>
      </c>
      <c r="AB240" s="1">
        <v>6509.7220000000007</v>
      </c>
    </row>
    <row r="241" spans="1:28" x14ac:dyDescent="0.25">
      <c r="A241" s="1">
        <v>240</v>
      </c>
      <c r="B241" s="2">
        <v>52902</v>
      </c>
      <c r="C241" s="1">
        <v>1228.1010000000001</v>
      </c>
      <c r="D241" s="1">
        <v>106.96950000000001</v>
      </c>
      <c r="E241" s="1">
        <v>457.24950000000001</v>
      </c>
      <c r="F241" s="1">
        <v>471.52500000000003</v>
      </c>
      <c r="G241" s="1">
        <v>149.23650000000001</v>
      </c>
      <c r="H241" s="1">
        <v>556.07849999999996</v>
      </c>
      <c r="I241" s="1">
        <v>394.65000000000003</v>
      </c>
      <c r="J241" s="1">
        <v>238.97550000000001</v>
      </c>
      <c r="K241" s="1">
        <v>299.88750000000005</v>
      </c>
      <c r="L241" s="1">
        <v>360.81299999999999</v>
      </c>
      <c r="M241" s="1">
        <v>423</v>
      </c>
      <c r="N241" s="4">
        <f t="shared" si="2"/>
        <v>32.916357404250334</v>
      </c>
      <c r="O241" s="1">
        <v>253.00049999999999</v>
      </c>
      <c r="P241" s="1">
        <v>208.20000000000002</v>
      </c>
      <c r="Q241" s="4">
        <v>405.43500000000006</v>
      </c>
      <c r="R241" s="4">
        <f t="shared" si="3"/>
        <v>55.002433748355912</v>
      </c>
      <c r="S241" s="1">
        <v>268.57500000000005</v>
      </c>
      <c r="T241" s="1">
        <v>622.13699999999994</v>
      </c>
      <c r="U241" s="1">
        <v>567.12450000000001</v>
      </c>
      <c r="V241" s="1">
        <v>504.45000000000005</v>
      </c>
      <c r="W241" s="1">
        <v>261.97500000000002</v>
      </c>
      <c r="X241" s="1">
        <v>1019.2244999999999</v>
      </c>
      <c r="Y241" s="1">
        <v>507.31200000000001</v>
      </c>
      <c r="Z241" s="1">
        <v>428.38799999999998</v>
      </c>
      <c r="AA241" s="3">
        <v>15000</v>
      </c>
      <c r="AB241" s="1">
        <v>6487.7569999999996</v>
      </c>
    </row>
    <row r="242" spans="1:28" x14ac:dyDescent="0.25">
      <c r="A242" s="1">
        <v>241</v>
      </c>
      <c r="B242" s="2">
        <v>52932</v>
      </c>
      <c r="C242" s="1">
        <v>1225.98</v>
      </c>
      <c r="D242" s="1">
        <v>106.42500000000001</v>
      </c>
      <c r="E242" s="1">
        <v>454.5</v>
      </c>
      <c r="F242" s="1">
        <v>468.678</v>
      </c>
      <c r="G242" s="1">
        <v>148.90049999999999</v>
      </c>
      <c r="H242" s="1">
        <v>555.60149999999999</v>
      </c>
      <c r="I242" s="1">
        <v>394.01550000000003</v>
      </c>
      <c r="J242" s="1">
        <v>238.62149999999997</v>
      </c>
      <c r="K242" s="1">
        <v>298.548</v>
      </c>
      <c r="L242" s="1">
        <v>359.47949999999997</v>
      </c>
      <c r="M242" s="1">
        <v>420.99149999999997</v>
      </c>
      <c r="N242" s="4">
        <f t="shared" si="2"/>
        <v>32.587193830207831</v>
      </c>
      <c r="O242" s="1">
        <v>251.85449999999997</v>
      </c>
      <c r="P242" s="1">
        <v>207.26549999999997</v>
      </c>
      <c r="Q242" s="4">
        <v>404.76299999999998</v>
      </c>
      <c r="R242" s="4">
        <f t="shared" si="3"/>
        <v>54.452409410872356</v>
      </c>
      <c r="S242" s="1">
        <v>267.48450000000003</v>
      </c>
      <c r="T242" s="1">
        <v>621.15750000000003</v>
      </c>
      <c r="U242" s="1">
        <v>565.69350000000009</v>
      </c>
      <c r="V242" s="1">
        <v>501.822</v>
      </c>
      <c r="W242" s="1">
        <v>261.49649999999997</v>
      </c>
      <c r="X242" s="1">
        <v>1015.9349999999999</v>
      </c>
      <c r="Y242" s="1">
        <v>506.86649999999997</v>
      </c>
      <c r="Z242" s="1">
        <v>425.77049999999997</v>
      </c>
      <c r="AA242" s="3">
        <v>15000</v>
      </c>
      <c r="AB242" s="1">
        <v>6467.4929999999995</v>
      </c>
    </row>
    <row r="243" spans="1:28" x14ac:dyDescent="0.25">
      <c r="A243" s="1">
        <v>242</v>
      </c>
      <c r="B243" s="2">
        <v>52963</v>
      </c>
      <c r="C243" s="1">
        <v>1223.8530000000001</v>
      </c>
      <c r="D243" s="1">
        <v>105.8835</v>
      </c>
      <c r="E243" s="1">
        <v>451.57500000000005</v>
      </c>
      <c r="F243" s="1">
        <v>465.61200000000002</v>
      </c>
      <c r="G243" s="1">
        <v>148.35750000000002</v>
      </c>
      <c r="H243" s="1">
        <v>555.17550000000006</v>
      </c>
      <c r="I243" s="1">
        <v>393.42450000000002</v>
      </c>
      <c r="J243" s="1">
        <v>238.17449999999997</v>
      </c>
      <c r="K243" s="1">
        <v>297.03750000000002</v>
      </c>
      <c r="L243" s="1">
        <v>358.03800000000001</v>
      </c>
      <c r="M243" s="1">
        <v>418.78800000000001</v>
      </c>
      <c r="N243" s="4">
        <f t="shared" si="2"/>
        <v>32.261321891905752</v>
      </c>
      <c r="O243" s="1">
        <v>250.64999999999998</v>
      </c>
      <c r="P243" s="1">
        <v>206.27549999999999</v>
      </c>
      <c r="Q243" s="4">
        <v>404.15250000000003</v>
      </c>
      <c r="R243" s="4">
        <f t="shared" si="3"/>
        <v>53.907885316763632</v>
      </c>
      <c r="S243" s="1">
        <v>266.29949999999997</v>
      </c>
      <c r="T243" s="1">
        <v>620.07449999999994</v>
      </c>
      <c r="U243" s="1">
        <v>564.12450000000001</v>
      </c>
      <c r="V243" s="1">
        <v>499.04999999999995</v>
      </c>
      <c r="W243" s="1">
        <v>260.988</v>
      </c>
      <c r="X243" s="1">
        <v>1012.3499999999999</v>
      </c>
      <c r="Y243" s="1">
        <v>506.35650000000004</v>
      </c>
      <c r="Z243" s="1">
        <v>422.96250000000003</v>
      </c>
      <c r="AA243" s="3">
        <v>15000</v>
      </c>
      <c r="AB243" s="1">
        <v>6445.6919999999991</v>
      </c>
    </row>
    <row r="244" spans="1:28" x14ac:dyDescent="0.25">
      <c r="A244" s="1">
        <v>243</v>
      </c>
      <c r="B244" s="2">
        <v>52994</v>
      </c>
      <c r="C244" s="1">
        <v>1221.5610000000001</v>
      </c>
      <c r="D244" s="1">
        <v>105.351</v>
      </c>
      <c r="E244" s="1">
        <v>448.86300000000006</v>
      </c>
      <c r="F244" s="1">
        <v>462.726</v>
      </c>
      <c r="G244" s="1">
        <v>147.9435</v>
      </c>
      <c r="H244" s="1">
        <v>554.67899999999997</v>
      </c>
      <c r="I244" s="1">
        <v>392.75850000000003</v>
      </c>
      <c r="J244" s="1">
        <v>237.798</v>
      </c>
      <c r="K244" s="1">
        <v>295.584</v>
      </c>
      <c r="L244" s="1">
        <v>356.661</v>
      </c>
      <c r="M244" s="1">
        <v>416.70899999999995</v>
      </c>
      <c r="N244" s="4">
        <f t="shared" si="2"/>
        <v>31.938708672986692</v>
      </c>
      <c r="O244" s="1">
        <v>249.5085</v>
      </c>
      <c r="P244" s="1">
        <v>205.37850000000003</v>
      </c>
      <c r="Q244" s="4">
        <v>403.48800000000006</v>
      </c>
      <c r="R244" s="4">
        <f t="shared" si="3"/>
        <v>53.368806463595995</v>
      </c>
      <c r="S244" s="1">
        <v>265.185</v>
      </c>
      <c r="T244" s="1">
        <v>619.06499999999994</v>
      </c>
      <c r="U244" s="1">
        <v>562.62149999999997</v>
      </c>
      <c r="V244" s="1">
        <v>496.5</v>
      </c>
      <c r="W244" s="1">
        <v>260.541</v>
      </c>
      <c r="X244" s="1">
        <v>1008.9435000000001</v>
      </c>
      <c r="Y244" s="1">
        <v>505.88100000000003</v>
      </c>
      <c r="Z244" s="1">
        <v>420.36300000000006</v>
      </c>
      <c r="AA244" s="3">
        <v>15000</v>
      </c>
      <c r="AB244" s="1">
        <v>6425.0030000000006</v>
      </c>
    </row>
    <row r="245" spans="1:28" x14ac:dyDescent="0.25">
      <c r="A245" s="1">
        <v>244</v>
      </c>
      <c r="B245" s="2">
        <v>53022</v>
      </c>
      <c r="C245" s="1">
        <v>1218.8924999999999</v>
      </c>
      <c r="D245" s="1">
        <v>104.79600000000001</v>
      </c>
      <c r="E245" s="1">
        <v>446.226</v>
      </c>
      <c r="F245" s="1">
        <v>459.93149999999997</v>
      </c>
      <c r="G245" s="1">
        <v>147.59550000000002</v>
      </c>
      <c r="H245" s="1">
        <v>554.25450000000001</v>
      </c>
      <c r="I245" s="1">
        <v>392.202</v>
      </c>
      <c r="J245" s="1">
        <v>237.387</v>
      </c>
      <c r="K245" s="1">
        <v>294.16949999999997</v>
      </c>
      <c r="L245" s="1">
        <v>355.29449999999997</v>
      </c>
      <c r="M245" s="1">
        <v>414.66600000000005</v>
      </c>
      <c r="N245" s="4">
        <f t="shared" si="2"/>
        <v>31.619321586256824</v>
      </c>
      <c r="O245" s="1">
        <v>248.44349999999997</v>
      </c>
      <c r="P245" s="1">
        <v>204.459</v>
      </c>
      <c r="Q245" s="4">
        <v>402.88350000000003</v>
      </c>
      <c r="R245" s="4">
        <f t="shared" si="3"/>
        <v>52.835118398960034</v>
      </c>
      <c r="S245" s="1">
        <v>264.072</v>
      </c>
      <c r="T245" s="1">
        <v>618.09749999999997</v>
      </c>
      <c r="U245" s="1">
        <v>561.19350000000009</v>
      </c>
      <c r="V245" s="1">
        <v>493.93500000000006</v>
      </c>
      <c r="W245" s="1">
        <v>260.06849999999997</v>
      </c>
      <c r="X245" s="1">
        <v>1005.5085000000001</v>
      </c>
      <c r="Y245" s="1">
        <v>505.3845</v>
      </c>
      <c r="Z245" s="1">
        <v>417.83399999999995</v>
      </c>
      <c r="AA245" s="3">
        <v>15000</v>
      </c>
      <c r="AB245" s="1">
        <v>6404.4759999999978</v>
      </c>
    </row>
    <row r="246" spans="1:28" x14ac:dyDescent="0.25">
      <c r="A246" s="1">
        <v>245</v>
      </c>
      <c r="B246" s="2">
        <v>53053</v>
      </c>
      <c r="C246" s="1">
        <v>1216.26</v>
      </c>
      <c r="D246" s="1">
        <v>104.27250000000001</v>
      </c>
      <c r="E246" s="1">
        <v>443.41200000000003</v>
      </c>
      <c r="F246" s="1">
        <v>456.97499999999997</v>
      </c>
      <c r="G246" s="1">
        <v>147.14400000000001</v>
      </c>
      <c r="H246" s="1">
        <v>553.7595</v>
      </c>
      <c r="I246" s="1">
        <v>391.57500000000005</v>
      </c>
      <c r="J246" s="1">
        <v>236.97450000000001</v>
      </c>
      <c r="K246" s="1">
        <v>292.72500000000002</v>
      </c>
      <c r="L246" s="1">
        <v>353.87549999999999</v>
      </c>
      <c r="M246" s="1">
        <v>412.53749999999997</v>
      </c>
      <c r="N246" s="4">
        <f t="shared" si="2"/>
        <v>31.303128370394255</v>
      </c>
      <c r="O246" s="1">
        <v>247.22550000000001</v>
      </c>
      <c r="P246" s="1">
        <v>203.50049999999999</v>
      </c>
      <c r="Q246" s="4">
        <v>402.303</v>
      </c>
      <c r="R246" s="4">
        <f t="shared" si="3"/>
        <v>52.306767214970435</v>
      </c>
      <c r="S246" s="1">
        <v>262.95000000000005</v>
      </c>
      <c r="T246" s="1">
        <v>617.02500000000009</v>
      </c>
      <c r="U246" s="1">
        <v>559.65000000000009</v>
      </c>
      <c r="V246" s="1">
        <v>491.14949999999999</v>
      </c>
      <c r="W246" s="1">
        <v>259.60050000000001</v>
      </c>
      <c r="X246" s="1">
        <v>1001.9250000000001</v>
      </c>
      <c r="Y246" s="1">
        <v>504.86850000000004</v>
      </c>
      <c r="Z246" s="1">
        <v>415.18799999999999</v>
      </c>
      <c r="AA246" s="3">
        <v>15000</v>
      </c>
      <c r="AB246" s="1">
        <v>6382.8290000000006</v>
      </c>
    </row>
    <row r="247" spans="1:28" x14ac:dyDescent="0.25">
      <c r="A247" s="1">
        <v>246</v>
      </c>
      <c r="B247" s="2">
        <v>53083</v>
      </c>
      <c r="C247" s="1">
        <v>1213.4580000000001</v>
      </c>
      <c r="D247" s="1">
        <v>103.7325</v>
      </c>
      <c r="E247" s="1">
        <v>440.93999999999994</v>
      </c>
      <c r="F247" s="1">
        <v>454.25850000000003</v>
      </c>
      <c r="G247" s="1">
        <v>146.874</v>
      </c>
      <c r="H247" s="1">
        <v>553.33349999999996</v>
      </c>
      <c r="I247" s="1">
        <v>390.99149999999997</v>
      </c>
      <c r="J247" s="1">
        <v>236.613</v>
      </c>
      <c r="K247" s="1">
        <v>291.363</v>
      </c>
      <c r="L247" s="1">
        <v>352.56</v>
      </c>
      <c r="M247" s="1">
        <v>410.577</v>
      </c>
      <c r="N247" s="4">
        <f t="shared" si="2"/>
        <v>30.990097086690312</v>
      </c>
      <c r="O247" s="1">
        <v>246.21750000000003</v>
      </c>
      <c r="P247" s="1">
        <v>202.62149999999997</v>
      </c>
      <c r="Q247" s="4">
        <v>401.65049999999997</v>
      </c>
      <c r="R247" s="4">
        <f t="shared" si="3"/>
        <v>51.783699542820727</v>
      </c>
      <c r="S247" s="1">
        <v>261.89550000000003</v>
      </c>
      <c r="T247" s="1">
        <v>616.08899999999994</v>
      </c>
      <c r="U247" s="1">
        <v>558.19350000000009</v>
      </c>
      <c r="V247" s="1">
        <v>488.70899999999995</v>
      </c>
      <c r="W247" s="1">
        <v>259.161</v>
      </c>
      <c r="X247" s="1">
        <v>998.61299999999994</v>
      </c>
      <c r="Y247" s="1">
        <v>504.38699999999994</v>
      </c>
      <c r="Z247" s="1">
        <v>412.851</v>
      </c>
      <c r="AA247" s="3">
        <v>15000</v>
      </c>
      <c r="AB247" s="1">
        <v>6363.0210000000006</v>
      </c>
    </row>
    <row r="248" spans="1:28" x14ac:dyDescent="0.25">
      <c r="A248" s="1">
        <v>247</v>
      </c>
      <c r="B248" s="2">
        <v>53114</v>
      </c>
      <c r="C248" s="1">
        <v>1210.596</v>
      </c>
      <c r="D248" s="1">
        <v>103.19850000000001</v>
      </c>
      <c r="E248" s="1">
        <v>438.22499999999997</v>
      </c>
      <c r="F248" s="1">
        <v>451.38750000000005</v>
      </c>
      <c r="G248" s="1">
        <v>146.649</v>
      </c>
      <c r="H248" s="1">
        <v>552.90599999999995</v>
      </c>
      <c r="I248" s="1">
        <v>390.375</v>
      </c>
      <c r="J248" s="1">
        <v>236.17499999999998</v>
      </c>
      <c r="K248" s="1">
        <v>289.863</v>
      </c>
      <c r="L248" s="1">
        <v>351.15</v>
      </c>
      <c r="M248" s="1">
        <v>408.46199999999999</v>
      </c>
      <c r="N248" s="4">
        <f t="shared" si="2"/>
        <v>30.68019611582341</v>
      </c>
      <c r="O248" s="1">
        <v>245.0505</v>
      </c>
      <c r="P248" s="1">
        <v>201.67499999999998</v>
      </c>
      <c r="Q248" s="4">
        <v>401.09249999999997</v>
      </c>
      <c r="R248" s="4">
        <f t="shared" si="3"/>
        <v>51.265862547392523</v>
      </c>
      <c r="S248" s="1">
        <v>260.74950000000001</v>
      </c>
      <c r="T248" s="1">
        <v>615.01199999999994</v>
      </c>
      <c r="U248" s="1">
        <v>556.65000000000009</v>
      </c>
      <c r="V248" s="1">
        <v>486.10050000000001</v>
      </c>
      <c r="W248" s="1">
        <v>258.71249999999998</v>
      </c>
      <c r="X248" s="1">
        <v>994.9994999999999</v>
      </c>
      <c r="Y248" s="1">
        <v>503.84400000000005</v>
      </c>
      <c r="Z248" s="1">
        <v>410.37450000000001</v>
      </c>
      <c r="AA248" s="3">
        <v>15000</v>
      </c>
      <c r="AB248" s="1">
        <v>6341.7370000000001</v>
      </c>
    </row>
    <row r="249" spans="1:28" x14ac:dyDescent="0.25">
      <c r="A249" s="1">
        <v>248</v>
      </c>
      <c r="B249" s="2">
        <v>53144</v>
      </c>
      <c r="C249" s="1">
        <v>1207.4100000000001</v>
      </c>
      <c r="D249" s="1">
        <v>102.669</v>
      </c>
      <c r="E249" s="1">
        <v>435.678</v>
      </c>
      <c r="F249" s="1">
        <v>448.75349999999997</v>
      </c>
      <c r="G249" s="1">
        <v>146.01749999999998</v>
      </c>
      <c r="H249" s="1">
        <v>552.43500000000006</v>
      </c>
      <c r="I249" s="1">
        <v>389.78250000000003</v>
      </c>
      <c r="J249" s="1">
        <v>235.815</v>
      </c>
      <c r="K249" s="1">
        <v>288.459</v>
      </c>
      <c r="L249" s="1">
        <v>349.815</v>
      </c>
      <c r="M249" s="1">
        <v>406.51199999999994</v>
      </c>
      <c r="N249" s="4">
        <f t="shared" si="2"/>
        <v>30.373394154665174</v>
      </c>
      <c r="O249" s="1">
        <v>244.01549999999997</v>
      </c>
      <c r="P249" s="1">
        <v>200.8305</v>
      </c>
      <c r="Q249" s="4">
        <v>400.45049999999998</v>
      </c>
      <c r="R249" s="4">
        <f t="shared" si="3"/>
        <v>50.753203921918598</v>
      </c>
      <c r="S249" s="1">
        <v>259.71750000000003</v>
      </c>
      <c r="T249" s="1">
        <v>614.04449999999997</v>
      </c>
      <c r="U249" s="1">
        <v>555.21749999999997</v>
      </c>
      <c r="V249" s="1">
        <v>483.58050000000003</v>
      </c>
      <c r="W249" s="1">
        <v>258.25350000000003</v>
      </c>
      <c r="X249" s="1">
        <v>991.572</v>
      </c>
      <c r="Y249" s="1">
        <v>503.37150000000003</v>
      </c>
      <c r="Z249" s="1">
        <v>408.08399999999995</v>
      </c>
      <c r="AA249" s="3">
        <v>15000</v>
      </c>
      <c r="AB249" s="1">
        <v>6321.2699999999995</v>
      </c>
    </row>
    <row r="250" spans="1:28" x14ac:dyDescent="0.25">
      <c r="A250" s="1">
        <v>249</v>
      </c>
      <c r="B250" s="2">
        <v>53175</v>
      </c>
      <c r="C250" s="1">
        <v>1203.6524999999999</v>
      </c>
      <c r="D250" s="1">
        <v>102.14850000000001</v>
      </c>
      <c r="E250" s="1">
        <v>433.28250000000003</v>
      </c>
      <c r="F250" s="1">
        <v>446.286</v>
      </c>
      <c r="G250" s="1">
        <v>145.45650000000001</v>
      </c>
      <c r="H250" s="1">
        <v>552.01049999999998</v>
      </c>
      <c r="I250" s="1">
        <v>389.298</v>
      </c>
      <c r="J250" s="1">
        <v>235.428</v>
      </c>
      <c r="K250" s="1">
        <v>287.202</v>
      </c>
      <c r="L250" s="1">
        <v>348.55650000000003</v>
      </c>
      <c r="M250" s="1">
        <v>404.697</v>
      </c>
      <c r="N250" s="4">
        <f t="shared" si="2"/>
        <v>30.069660213118521</v>
      </c>
      <c r="O250" s="1">
        <v>243.024</v>
      </c>
      <c r="P250" s="1">
        <v>199.935</v>
      </c>
      <c r="Q250" s="4">
        <v>399.87150000000003</v>
      </c>
      <c r="R250" s="4">
        <f t="shared" si="3"/>
        <v>50.245671882699412</v>
      </c>
      <c r="S250" s="1">
        <v>258.702</v>
      </c>
      <c r="T250" s="1">
        <v>613.11300000000006</v>
      </c>
      <c r="U250" s="1">
        <v>553.81499999999994</v>
      </c>
      <c r="V250" s="1">
        <v>481.30649999999997</v>
      </c>
      <c r="W250" s="1">
        <v>257.86649999999997</v>
      </c>
      <c r="X250" s="1">
        <v>988.35450000000003</v>
      </c>
      <c r="Y250" s="1">
        <v>502.86300000000006</v>
      </c>
      <c r="Z250" s="1">
        <v>405.96749999999997</v>
      </c>
      <c r="AA250" s="3">
        <v>15000</v>
      </c>
      <c r="AB250" s="1">
        <v>6301.5280000000002</v>
      </c>
    </row>
    <row r="251" spans="1:28" x14ac:dyDescent="0.25">
      <c r="A251" s="1">
        <v>250</v>
      </c>
      <c r="B251" s="2">
        <v>53206</v>
      </c>
      <c r="C251" s="1">
        <v>1199.472</v>
      </c>
      <c r="D251" s="1">
        <v>101.66250000000001</v>
      </c>
      <c r="E251" s="1">
        <v>430.52699999999993</v>
      </c>
      <c r="F251" s="1">
        <v>443.41050000000007</v>
      </c>
      <c r="G251" s="1">
        <v>145.49099999999999</v>
      </c>
      <c r="H251" s="1">
        <v>551.59199999999998</v>
      </c>
      <c r="I251" s="1">
        <v>388.63350000000003</v>
      </c>
      <c r="J251" s="1">
        <v>234.9915</v>
      </c>
      <c r="K251" s="1">
        <v>285.66899999999998</v>
      </c>
      <c r="L251" s="1">
        <v>347.07599999999996</v>
      </c>
      <c r="M251" s="1">
        <v>402.54899999999998</v>
      </c>
      <c r="N251" s="4">
        <f t="shared" si="2"/>
        <v>29.768963610987335</v>
      </c>
      <c r="O251" s="1">
        <v>241.875</v>
      </c>
      <c r="P251" s="1">
        <v>198.96449999999999</v>
      </c>
      <c r="Q251" s="4">
        <v>399.327</v>
      </c>
      <c r="R251" s="4">
        <f t="shared" si="3"/>
        <v>49.743215163872421</v>
      </c>
      <c r="S251" s="1">
        <v>257.57100000000003</v>
      </c>
      <c r="T251" s="1">
        <v>611.98649999999998</v>
      </c>
      <c r="U251" s="1">
        <v>552.1875</v>
      </c>
      <c r="V251" s="1">
        <v>478.5</v>
      </c>
      <c r="W251" s="1">
        <v>257.39700000000005</v>
      </c>
      <c r="X251" s="1">
        <v>984.5625</v>
      </c>
      <c r="Y251" s="1">
        <v>502.28550000000007</v>
      </c>
      <c r="Z251" s="1">
        <v>403.48649999999998</v>
      </c>
      <c r="AA251" s="3">
        <v>15000</v>
      </c>
      <c r="AB251" s="1">
        <v>6279.0280000000002</v>
      </c>
    </row>
    <row r="252" spans="1:28" x14ac:dyDescent="0.25">
      <c r="A252" s="1">
        <v>251</v>
      </c>
      <c r="B252" s="2">
        <v>53236</v>
      </c>
      <c r="C252" s="1">
        <v>1193.0685000000001</v>
      </c>
      <c r="D252" s="1">
        <v>101.15700000000001</v>
      </c>
      <c r="E252" s="1">
        <v>428.34749999999997</v>
      </c>
      <c r="F252" s="1">
        <v>441.12150000000003</v>
      </c>
      <c r="G252" s="1">
        <v>145.27350000000001</v>
      </c>
      <c r="H252" s="1">
        <v>551.16</v>
      </c>
      <c r="I252" s="1">
        <v>388.13699999999994</v>
      </c>
      <c r="J252" s="1">
        <v>234.62850000000003</v>
      </c>
      <c r="K252" s="1">
        <v>284.40749999999997</v>
      </c>
      <c r="L252" s="1">
        <v>345.89550000000003</v>
      </c>
      <c r="M252" s="1">
        <v>400.827</v>
      </c>
      <c r="N252" s="4">
        <f t="shared" si="2"/>
        <v>29.471273974877462</v>
      </c>
      <c r="O252" s="1">
        <v>240.9915</v>
      </c>
      <c r="P252" s="1">
        <v>198.1695</v>
      </c>
      <c r="Q252" s="4">
        <v>398.65199999999993</v>
      </c>
      <c r="R252" s="4">
        <f t="shared" si="3"/>
        <v>49.245783012233694</v>
      </c>
      <c r="S252" s="1">
        <v>256.64550000000003</v>
      </c>
      <c r="T252" s="1">
        <v>611.11649999999997</v>
      </c>
      <c r="U252" s="1">
        <v>550.83899999999994</v>
      </c>
      <c r="V252" s="1">
        <v>476.37150000000003</v>
      </c>
      <c r="W252" s="1">
        <v>257.00850000000003</v>
      </c>
      <c r="X252" s="1">
        <v>981.48450000000003</v>
      </c>
      <c r="Y252" s="1">
        <v>501.81000000000006</v>
      </c>
      <c r="Z252" s="1">
        <v>401.553</v>
      </c>
      <c r="AA252" s="3">
        <v>15000</v>
      </c>
      <c r="AB252" s="1">
        <v>6258.7610000000004</v>
      </c>
    </row>
    <row r="253" spans="1:28" x14ac:dyDescent="0.25">
      <c r="A253" s="1">
        <v>252</v>
      </c>
      <c r="B253" s="2">
        <v>53267</v>
      </c>
      <c r="C253" s="1">
        <v>1184.6189999999999</v>
      </c>
      <c r="D253" s="1">
        <v>100.65899999999999</v>
      </c>
      <c r="E253" s="1">
        <v>425.8125</v>
      </c>
      <c r="F253" s="1">
        <v>438.48749999999995</v>
      </c>
      <c r="G253" s="1">
        <v>145.07399999999998</v>
      </c>
      <c r="H253" s="1">
        <v>550.70849999999996</v>
      </c>
      <c r="I253" s="1">
        <v>387.55050000000006</v>
      </c>
      <c r="J253" s="1">
        <v>234.25049999999999</v>
      </c>
      <c r="K253" s="1">
        <v>282.97500000000002</v>
      </c>
      <c r="L253" s="1">
        <v>344.51250000000005</v>
      </c>
      <c r="M253" s="1">
        <v>398.83799999999997</v>
      </c>
      <c r="N253" s="4">
        <f t="shared" si="2"/>
        <v>29.176561235128688</v>
      </c>
      <c r="O253" s="1">
        <v>239.92499999999998</v>
      </c>
      <c r="P253" s="1">
        <v>197.20050000000003</v>
      </c>
      <c r="Q253" s="4">
        <v>398.12849999999997</v>
      </c>
      <c r="R253" s="4">
        <f t="shared" si="3"/>
        <v>48.753325182111354</v>
      </c>
      <c r="S253" s="1">
        <v>255.5745</v>
      </c>
      <c r="T253" s="1">
        <v>610.07549999999992</v>
      </c>
      <c r="U253" s="1">
        <v>549.29999999999995</v>
      </c>
      <c r="V253" s="1">
        <v>473.84999999999997</v>
      </c>
      <c r="W253" s="1">
        <v>256.58699999999999</v>
      </c>
      <c r="X253" s="1">
        <v>977.8755000000001</v>
      </c>
      <c r="Y253" s="1">
        <v>501.26250000000005</v>
      </c>
      <c r="Z253" s="1">
        <v>399.29999999999995</v>
      </c>
      <c r="AA253" s="3">
        <v>15000</v>
      </c>
      <c r="AB253" s="1">
        <v>6234.6329999999989</v>
      </c>
    </row>
    <row r="254" spans="1:28" x14ac:dyDescent="0.25">
      <c r="A254" s="1">
        <v>253</v>
      </c>
      <c r="B254" s="2">
        <v>53297</v>
      </c>
      <c r="C254" s="1">
        <v>1172.796</v>
      </c>
      <c r="D254" s="1">
        <v>100.15350000000001</v>
      </c>
      <c r="E254" s="1">
        <v>423.48449999999997</v>
      </c>
      <c r="F254" s="1">
        <v>436.11300000000006</v>
      </c>
      <c r="G254" s="1">
        <v>144.24</v>
      </c>
      <c r="H254" s="1">
        <v>550.28550000000007</v>
      </c>
      <c r="I254" s="1">
        <v>387.024</v>
      </c>
      <c r="J254" s="1">
        <v>233.85449999999997</v>
      </c>
      <c r="K254" s="1">
        <v>281.697</v>
      </c>
      <c r="L254" s="1">
        <v>343.22249999999997</v>
      </c>
      <c r="M254" s="1">
        <v>397.06499999999994</v>
      </c>
      <c r="N254" s="4">
        <f t="shared" si="2"/>
        <v>28.8847956227774</v>
      </c>
      <c r="O254" s="1">
        <v>238.959</v>
      </c>
      <c r="P254" s="1">
        <v>196.35449999999997</v>
      </c>
      <c r="Q254" s="4">
        <v>397.51199999999994</v>
      </c>
      <c r="R254" s="4">
        <f t="shared" si="3"/>
        <v>48.265791930290241</v>
      </c>
      <c r="S254" s="1">
        <v>254.613</v>
      </c>
      <c r="T254" s="1">
        <v>609.12149999999997</v>
      </c>
      <c r="U254" s="1">
        <v>547.88699999999994</v>
      </c>
      <c r="V254" s="1">
        <v>471.53250000000003</v>
      </c>
      <c r="W254" s="1">
        <v>256.173</v>
      </c>
      <c r="X254" s="1">
        <v>974.61299999999994</v>
      </c>
      <c r="Y254" s="1">
        <v>500.74650000000003</v>
      </c>
      <c r="Z254" s="1">
        <v>397.27049999999997</v>
      </c>
      <c r="AA254" s="3">
        <v>15000</v>
      </c>
      <c r="AB254" s="1">
        <v>6209.4649999999992</v>
      </c>
    </row>
    <row r="255" spans="1:28" x14ac:dyDescent="0.25">
      <c r="A255" s="1">
        <v>254</v>
      </c>
      <c r="B255" s="2">
        <v>53328</v>
      </c>
      <c r="C255" s="1">
        <v>1158.6914999999999</v>
      </c>
      <c r="D255" s="1">
        <v>99.670500000000004</v>
      </c>
      <c r="E255" s="1">
        <v>421.00049999999999</v>
      </c>
      <c r="F255" s="1">
        <v>433.54950000000002</v>
      </c>
      <c r="G255" s="1">
        <v>144.26249999999999</v>
      </c>
      <c r="H255" s="1">
        <v>549.85350000000005</v>
      </c>
      <c r="I255" s="1">
        <v>386.42550000000006</v>
      </c>
      <c r="J255" s="1">
        <v>233.4495</v>
      </c>
      <c r="K255" s="1">
        <v>280.28700000000003</v>
      </c>
      <c r="L255" s="1">
        <v>341.86199999999997</v>
      </c>
      <c r="M255" s="1">
        <v>395.12549999999999</v>
      </c>
      <c r="N255" s="4">
        <f t="shared" si="2"/>
        <v>28.595947666549627</v>
      </c>
      <c r="O255" s="1">
        <v>237.9495</v>
      </c>
      <c r="P255" s="1">
        <v>195.42449999999997</v>
      </c>
      <c r="Q255" s="4">
        <v>396.99149999999997</v>
      </c>
      <c r="R255" s="4">
        <f t="shared" si="3"/>
        <v>47.783134010987339</v>
      </c>
      <c r="S255" s="1">
        <v>253.57500000000002</v>
      </c>
      <c r="T255" s="1">
        <v>608.05050000000006</v>
      </c>
      <c r="U255" s="1">
        <v>546.34950000000003</v>
      </c>
      <c r="V255" s="1">
        <v>469.04999999999995</v>
      </c>
      <c r="W255" s="1">
        <v>255.75</v>
      </c>
      <c r="X255" s="1">
        <v>970.97550000000001</v>
      </c>
      <c r="Y255" s="1">
        <v>500.17499999999995</v>
      </c>
      <c r="Z255" s="1">
        <v>395.09999999999997</v>
      </c>
      <c r="AA255" s="3">
        <v>15000</v>
      </c>
      <c r="AB255" s="1">
        <v>6181.9679999999989</v>
      </c>
    </row>
    <row r="256" spans="1:28" x14ac:dyDescent="0.25">
      <c r="A256" s="1">
        <v>255</v>
      </c>
      <c r="B256" s="2">
        <v>53359</v>
      </c>
      <c r="C256" s="1">
        <v>1141.3724999999999</v>
      </c>
      <c r="D256" s="1">
        <v>99.1965</v>
      </c>
      <c r="E256" s="1">
        <v>418.70550000000003</v>
      </c>
      <c r="F256" s="1">
        <v>431.202</v>
      </c>
      <c r="G256" s="1">
        <v>143.685</v>
      </c>
      <c r="H256" s="1">
        <v>549.43500000000006</v>
      </c>
      <c r="I256" s="1">
        <v>385.88699999999994</v>
      </c>
      <c r="J256" s="1">
        <v>233.05650000000003</v>
      </c>
      <c r="K256" s="1">
        <v>278.916</v>
      </c>
      <c r="L256" s="1">
        <v>340.56</v>
      </c>
      <c r="M256" s="1">
        <v>393.303</v>
      </c>
      <c r="N256" s="4">
        <f t="shared" si="2"/>
        <v>28.30998818988413</v>
      </c>
      <c r="O256" s="1">
        <v>237</v>
      </c>
      <c r="P256" s="1">
        <v>194.541</v>
      </c>
      <c r="Q256" s="4">
        <v>396.375</v>
      </c>
      <c r="R256" s="4">
        <f t="shared" si="3"/>
        <v>47.305302670877467</v>
      </c>
      <c r="S256" s="1">
        <v>252.62850000000003</v>
      </c>
      <c r="T256" s="1">
        <v>607.077</v>
      </c>
      <c r="U256" s="1">
        <v>544.98450000000003</v>
      </c>
      <c r="V256" s="1">
        <v>466.74149999999997</v>
      </c>
      <c r="W256" s="1">
        <v>255.363</v>
      </c>
      <c r="X256" s="1">
        <v>967.62149999999997</v>
      </c>
      <c r="Y256" s="1">
        <v>499.62150000000003</v>
      </c>
      <c r="Z256" s="1">
        <v>393.09749999999997</v>
      </c>
      <c r="AA256" s="3">
        <v>15000</v>
      </c>
      <c r="AB256" s="1">
        <v>6153.2250000000004</v>
      </c>
    </row>
    <row r="257" spans="1:28" x14ac:dyDescent="0.25">
      <c r="A257" s="1">
        <v>256</v>
      </c>
      <c r="B257" s="2">
        <v>53387</v>
      </c>
      <c r="C257" s="1">
        <v>1121.7165</v>
      </c>
      <c r="D257" s="1">
        <v>98.712000000000018</v>
      </c>
      <c r="E257" s="1">
        <v>416.40750000000003</v>
      </c>
      <c r="F257" s="1">
        <v>428.87849999999997</v>
      </c>
      <c r="G257" s="1">
        <v>143.1885</v>
      </c>
      <c r="H257" s="1">
        <v>549.00900000000001</v>
      </c>
      <c r="I257" s="1">
        <v>385.35450000000003</v>
      </c>
      <c r="J257" s="1">
        <v>232.6695</v>
      </c>
      <c r="K257" s="1">
        <v>277.584</v>
      </c>
      <c r="L257" s="1">
        <v>339.24149999999997</v>
      </c>
      <c r="M257" s="1">
        <v>391.5</v>
      </c>
      <c r="N257" s="4">
        <f t="shared" si="2"/>
        <v>28.026888307985288</v>
      </c>
      <c r="O257" s="1">
        <v>236.10449999999997</v>
      </c>
      <c r="P257" s="1">
        <v>193.64550000000003</v>
      </c>
      <c r="Q257" s="4">
        <v>395.84249999999997</v>
      </c>
      <c r="R257" s="4">
        <f t="shared" si="3"/>
        <v>46.832249644168691</v>
      </c>
      <c r="S257" s="1">
        <v>251.661</v>
      </c>
      <c r="T257" s="1">
        <v>606.06000000000006</v>
      </c>
      <c r="U257" s="1">
        <v>543.58050000000003</v>
      </c>
      <c r="V257" s="1">
        <v>464.51550000000003</v>
      </c>
      <c r="W257" s="1">
        <v>254.976</v>
      </c>
      <c r="X257" s="1">
        <v>964.25850000000014</v>
      </c>
      <c r="Y257" s="1">
        <v>499.089</v>
      </c>
      <c r="Z257" s="1">
        <v>391.101</v>
      </c>
      <c r="AA257" s="3">
        <v>15000</v>
      </c>
      <c r="AB257" s="1">
        <v>6123.018</v>
      </c>
    </row>
    <row r="258" spans="1:28" x14ac:dyDescent="0.25">
      <c r="A258" s="1">
        <v>257</v>
      </c>
      <c r="B258" s="2">
        <v>53418</v>
      </c>
      <c r="C258" s="1">
        <v>1100.9279999999999</v>
      </c>
      <c r="D258" s="1">
        <v>98.218500000000006</v>
      </c>
      <c r="E258" s="1">
        <v>413.97450000000003</v>
      </c>
      <c r="F258" s="1">
        <v>426.40049999999997</v>
      </c>
      <c r="G258" s="1">
        <v>143.1705</v>
      </c>
      <c r="H258" s="1">
        <v>548.58450000000005</v>
      </c>
      <c r="I258" s="1">
        <v>384.77549999999997</v>
      </c>
      <c r="J258" s="1">
        <v>232.24950000000001</v>
      </c>
      <c r="K258" s="1">
        <v>276.22500000000002</v>
      </c>
      <c r="L258" s="1">
        <v>337.90049999999997</v>
      </c>
      <c r="M258" s="1">
        <v>389.65049999999997</v>
      </c>
      <c r="N258" s="4">
        <f t="shared" si="2"/>
        <v>27.746619424905436</v>
      </c>
      <c r="O258" s="1">
        <v>235.09950000000001</v>
      </c>
      <c r="P258" s="1">
        <v>192.70050000000003</v>
      </c>
      <c r="Q258" s="4">
        <v>395.274</v>
      </c>
      <c r="R258" s="4">
        <f t="shared" si="3"/>
        <v>46.363927147727004</v>
      </c>
      <c r="S258" s="1">
        <v>250.6995</v>
      </c>
      <c r="T258" s="1">
        <v>605.01299999999992</v>
      </c>
      <c r="U258" s="1">
        <v>542.07449999999994</v>
      </c>
      <c r="V258" s="1">
        <v>462.04950000000002</v>
      </c>
      <c r="W258" s="1">
        <v>254.56200000000001</v>
      </c>
      <c r="X258" s="1">
        <v>960.67500000000007</v>
      </c>
      <c r="Y258" s="1">
        <v>498.49950000000001</v>
      </c>
      <c r="Z258" s="1">
        <v>389.07449999999994</v>
      </c>
      <c r="AA258" s="3">
        <v>15000</v>
      </c>
      <c r="AB258" s="1">
        <v>6091.4829999999993</v>
      </c>
    </row>
    <row r="259" spans="1:28" x14ac:dyDescent="0.25">
      <c r="A259" s="1">
        <v>258</v>
      </c>
      <c r="B259" s="2">
        <v>53448</v>
      </c>
      <c r="C259" s="1">
        <v>1078.527</v>
      </c>
      <c r="D259" s="1">
        <v>97.766999999999996</v>
      </c>
      <c r="E259" s="1">
        <v>411.786</v>
      </c>
      <c r="F259" s="1">
        <v>424.161</v>
      </c>
      <c r="G259" s="1">
        <v>142.6215</v>
      </c>
      <c r="H259" s="1">
        <v>548.1825</v>
      </c>
      <c r="I259" s="1">
        <v>384.24149999999997</v>
      </c>
      <c r="J259" s="1">
        <v>231.9195</v>
      </c>
      <c r="K259" s="1">
        <v>274.923</v>
      </c>
      <c r="L259" s="1">
        <v>336.62850000000003</v>
      </c>
      <c r="M259" s="1">
        <v>387.93149999999997</v>
      </c>
      <c r="N259" s="4">
        <f t="shared" si="2"/>
        <v>27.469153230656381</v>
      </c>
      <c r="O259" s="1">
        <v>234.21750000000003</v>
      </c>
      <c r="P259" s="1">
        <v>191.9025</v>
      </c>
      <c r="Q259" s="4">
        <v>394.69949999999994</v>
      </c>
      <c r="R259" s="4">
        <f t="shared" si="3"/>
        <v>45.900287876249735</v>
      </c>
      <c r="S259" s="1">
        <v>249.75</v>
      </c>
      <c r="T259" s="1">
        <v>604.01549999999997</v>
      </c>
      <c r="U259" s="1">
        <v>540.702</v>
      </c>
      <c r="V259" s="1">
        <v>459.87150000000003</v>
      </c>
      <c r="W259" s="1">
        <v>254.178</v>
      </c>
      <c r="X259" s="1">
        <v>957.43499999999995</v>
      </c>
      <c r="Y259" s="1">
        <v>497.964</v>
      </c>
      <c r="Z259" s="1">
        <v>387.25349999999997</v>
      </c>
      <c r="AA259" s="3">
        <v>15000</v>
      </c>
      <c r="AB259" s="1">
        <v>6060.0929999999998</v>
      </c>
    </row>
    <row r="260" spans="1:28" x14ac:dyDescent="0.25">
      <c r="A260" s="1">
        <v>259</v>
      </c>
      <c r="B260" s="2">
        <v>53479</v>
      </c>
      <c r="C260" s="1">
        <v>1055.0535</v>
      </c>
      <c r="D260" s="1">
        <v>97.301999999999992</v>
      </c>
      <c r="E260" s="1">
        <v>409.3125</v>
      </c>
      <c r="F260" s="1">
        <v>421.69949999999994</v>
      </c>
      <c r="G260" s="1">
        <v>142.46850000000001</v>
      </c>
      <c r="H260" s="1">
        <v>547.779</v>
      </c>
      <c r="I260" s="1">
        <v>383.72550000000001</v>
      </c>
      <c r="J260" s="1">
        <v>231.52499999999998</v>
      </c>
      <c r="K260" s="1">
        <v>273.34950000000003</v>
      </c>
      <c r="L260" s="1">
        <v>335.27549999999997</v>
      </c>
      <c r="M260" s="1">
        <v>385.875</v>
      </c>
      <c r="N260" s="4">
        <f t="shared" si="2"/>
        <v>27.194461698349816</v>
      </c>
      <c r="O260" s="1">
        <v>233.25</v>
      </c>
      <c r="P260" s="1">
        <v>190.92449999999999</v>
      </c>
      <c r="Q260" s="4">
        <v>394.161</v>
      </c>
      <c r="R260" s="4">
        <f t="shared" si="3"/>
        <v>45.441284997487237</v>
      </c>
      <c r="S260" s="1">
        <v>248.8245</v>
      </c>
      <c r="T260" s="1">
        <v>602.93700000000001</v>
      </c>
      <c r="U260" s="1">
        <v>539.05050000000006</v>
      </c>
      <c r="V260" s="1">
        <v>457.39949999999999</v>
      </c>
      <c r="W260" s="1">
        <v>253.56299999999999</v>
      </c>
      <c r="X260" s="1">
        <v>955.2494999999999</v>
      </c>
      <c r="Y260" s="1">
        <v>498.06299999999999</v>
      </c>
      <c r="Z260" s="1">
        <v>385.24950000000001</v>
      </c>
      <c r="AA260" s="3">
        <v>15000</v>
      </c>
      <c r="AB260" s="1">
        <v>6027.643</v>
      </c>
    </row>
    <row r="261" spans="1:28" x14ac:dyDescent="0.25">
      <c r="A261" s="1">
        <v>260</v>
      </c>
      <c r="B261" s="2">
        <v>53509</v>
      </c>
      <c r="C261" s="1">
        <v>1031.1555000000001</v>
      </c>
      <c r="D261" s="1">
        <v>96.834000000000003</v>
      </c>
      <c r="E261" s="1">
        <v>406.95899999999995</v>
      </c>
      <c r="F261" s="1">
        <v>419.41949999999997</v>
      </c>
      <c r="G261" s="1">
        <v>142.155</v>
      </c>
      <c r="H261" s="1">
        <v>547.35599999999999</v>
      </c>
      <c r="I261" s="1">
        <v>383.202</v>
      </c>
      <c r="J261" s="1">
        <v>231.2415</v>
      </c>
      <c r="K261" s="1">
        <v>271.803</v>
      </c>
      <c r="L261" s="1">
        <v>334.00350000000003</v>
      </c>
      <c r="M261" s="1">
        <v>383.928</v>
      </c>
      <c r="N261" s="4">
        <f t="shared" si="2"/>
        <v>26.922517081366319</v>
      </c>
      <c r="O261" s="1">
        <v>232.3305</v>
      </c>
      <c r="P261" s="1">
        <v>190.137</v>
      </c>
      <c r="Q261" s="4">
        <v>393.58799999999997</v>
      </c>
      <c r="R261" s="4">
        <f t="shared" si="3"/>
        <v>44.986872147512365</v>
      </c>
      <c r="S261" s="1">
        <v>247.935</v>
      </c>
      <c r="T261" s="1">
        <v>601.91100000000006</v>
      </c>
      <c r="U261" s="1">
        <v>537.50850000000003</v>
      </c>
      <c r="V261" s="1">
        <v>455.03250000000003</v>
      </c>
      <c r="W261" s="1">
        <v>253.053</v>
      </c>
      <c r="X261" s="1">
        <v>953.25</v>
      </c>
      <c r="Y261" s="1">
        <v>498.29100000000005</v>
      </c>
      <c r="Z261" s="1">
        <v>383.41949999999997</v>
      </c>
      <c r="AA261" s="3">
        <v>15000</v>
      </c>
      <c r="AB261" s="1">
        <v>5995.9820000000009</v>
      </c>
    </row>
    <row r="262" spans="1:28" x14ac:dyDescent="0.25">
      <c r="A262" s="1">
        <v>261</v>
      </c>
      <c r="B262" s="2">
        <v>53540</v>
      </c>
      <c r="C262" s="1">
        <v>1008.3795</v>
      </c>
      <c r="D262" s="1">
        <v>96.359999999999985</v>
      </c>
      <c r="E262" s="1">
        <v>404.78250000000003</v>
      </c>
      <c r="F262" s="1">
        <v>417.36300000000006</v>
      </c>
      <c r="G262" s="1">
        <v>141.8475</v>
      </c>
      <c r="H262" s="1">
        <v>546.95400000000006</v>
      </c>
      <c r="I262" s="1">
        <v>382.74149999999997</v>
      </c>
      <c r="J262" s="1">
        <v>230.976</v>
      </c>
      <c r="K262" s="1">
        <v>270.459</v>
      </c>
      <c r="L262" s="1">
        <v>332.78249999999997</v>
      </c>
      <c r="M262" s="1">
        <v>382.173</v>
      </c>
      <c r="N262" s="4">
        <f t="shared" si="2"/>
        <v>26.653291910552657</v>
      </c>
      <c r="O262" s="1">
        <v>231.459</v>
      </c>
      <c r="P262" s="1">
        <v>189.291</v>
      </c>
      <c r="Q262" s="4">
        <v>393.048</v>
      </c>
      <c r="R262" s="4">
        <f t="shared" si="3"/>
        <v>44.537003426037238</v>
      </c>
      <c r="S262" s="1">
        <v>247.065</v>
      </c>
      <c r="T262" s="1">
        <v>600.99149999999997</v>
      </c>
      <c r="U262" s="1">
        <v>536.05649999999991</v>
      </c>
      <c r="V262" s="1">
        <v>452.90250000000003</v>
      </c>
      <c r="W262" s="1">
        <v>252.6525</v>
      </c>
      <c r="X262" s="1">
        <v>951.12149999999997</v>
      </c>
      <c r="Y262" s="1">
        <v>498.411</v>
      </c>
      <c r="Z262" s="1">
        <v>381.714</v>
      </c>
      <c r="AA262" s="3">
        <v>15000</v>
      </c>
      <c r="AB262" s="1">
        <v>5966.0400000000009</v>
      </c>
    </row>
    <row r="263" spans="1:28" x14ac:dyDescent="0.25">
      <c r="A263" s="1">
        <v>262</v>
      </c>
      <c r="B263" s="2">
        <v>53571</v>
      </c>
      <c r="C263" s="1">
        <v>988.84799999999996</v>
      </c>
      <c r="D263" s="1">
        <v>95.947500000000005</v>
      </c>
      <c r="E263" s="1">
        <v>402.255</v>
      </c>
      <c r="F263" s="1">
        <v>414.96449999999993</v>
      </c>
      <c r="G263" s="1">
        <v>141.39599999999999</v>
      </c>
      <c r="H263" s="1">
        <v>546.54300000000001</v>
      </c>
      <c r="I263" s="1">
        <v>382.15199999999999</v>
      </c>
      <c r="J263" s="1">
        <v>230.65199999999999</v>
      </c>
      <c r="K263" s="1">
        <v>268.79399999999998</v>
      </c>
      <c r="L263" s="1">
        <v>331.38</v>
      </c>
      <c r="M263" s="1">
        <v>380.08949999999999</v>
      </c>
      <c r="N263" s="4">
        <f t="shared" si="2"/>
        <v>26.386758991447131</v>
      </c>
      <c r="O263" s="1">
        <v>230.41050000000001</v>
      </c>
      <c r="P263" s="1">
        <v>188.3835</v>
      </c>
      <c r="Q263" s="4">
        <v>392.577</v>
      </c>
      <c r="R263" s="4">
        <f t="shared" si="3"/>
        <v>44.091633391776867</v>
      </c>
      <c r="S263" s="1">
        <v>246.1335</v>
      </c>
      <c r="T263" s="1">
        <v>599.83949999999993</v>
      </c>
      <c r="U263" s="1">
        <v>534.34800000000007</v>
      </c>
      <c r="V263" s="1">
        <v>450.375</v>
      </c>
      <c r="W263" s="1">
        <v>252.1875</v>
      </c>
      <c r="X263" s="1">
        <v>948.5625</v>
      </c>
      <c r="Y263" s="1">
        <v>498.45599999999996</v>
      </c>
      <c r="Z263" s="1">
        <v>379.6875</v>
      </c>
      <c r="AA263" s="3">
        <v>15000</v>
      </c>
      <c r="AB263" s="1">
        <v>5935.5650000000005</v>
      </c>
    </row>
    <row r="264" spans="1:28" x14ac:dyDescent="0.25">
      <c r="A264" s="1">
        <v>263</v>
      </c>
      <c r="B264" s="2">
        <v>53601</v>
      </c>
      <c r="C264" s="1">
        <v>968.71050000000002</v>
      </c>
      <c r="D264" s="1">
        <v>95.486999999999995</v>
      </c>
      <c r="E264" s="1">
        <v>400.28250000000003</v>
      </c>
      <c r="F264" s="1">
        <v>413.03250000000003</v>
      </c>
      <c r="G264" s="1">
        <v>141.14999999999998</v>
      </c>
      <c r="H264" s="1">
        <v>546.19799999999998</v>
      </c>
      <c r="I264" s="1">
        <v>381.726</v>
      </c>
      <c r="J264" s="1">
        <v>230.39550000000003</v>
      </c>
      <c r="K264" s="1">
        <v>267.58050000000003</v>
      </c>
      <c r="L264" s="1">
        <v>330.24149999999997</v>
      </c>
      <c r="M264" s="1">
        <v>378.56849999999997</v>
      </c>
      <c r="N264" s="4">
        <f t="shared" si="2"/>
        <v>26.122891401532659</v>
      </c>
      <c r="O264" s="1">
        <v>229.62149999999997</v>
      </c>
      <c r="P264" s="1">
        <v>187.572</v>
      </c>
      <c r="Q264" s="4">
        <v>391.9425</v>
      </c>
      <c r="R264" s="4">
        <f t="shared" si="3"/>
        <v>43.650717057859097</v>
      </c>
      <c r="S264" s="1">
        <v>245.298</v>
      </c>
      <c r="T264" s="1">
        <v>598.947</v>
      </c>
      <c r="U264" s="1">
        <v>532.95899999999995</v>
      </c>
      <c r="V264" s="1">
        <v>448.5</v>
      </c>
      <c r="W264" s="1">
        <v>251.84250000000003</v>
      </c>
      <c r="X264" s="1">
        <v>946.13700000000006</v>
      </c>
      <c r="Y264" s="1">
        <v>498.339</v>
      </c>
      <c r="Z264" s="1">
        <v>378.072</v>
      </c>
      <c r="AA264" s="3">
        <v>15000</v>
      </c>
      <c r="AB264" s="1">
        <v>5908.0990000000002</v>
      </c>
    </row>
    <row r="265" spans="1:28" x14ac:dyDescent="0.25">
      <c r="A265" s="1">
        <v>264</v>
      </c>
      <c r="B265" s="2">
        <v>53632</v>
      </c>
      <c r="C265" s="1">
        <v>950.41499999999996</v>
      </c>
      <c r="D265" s="1">
        <v>95.044499999999999</v>
      </c>
      <c r="E265" s="1">
        <v>397.98749999999995</v>
      </c>
      <c r="F265" s="1">
        <v>410.80050000000006</v>
      </c>
      <c r="G265" s="1">
        <v>140.93700000000001</v>
      </c>
      <c r="H265" s="1">
        <v>545.77649999999994</v>
      </c>
      <c r="I265" s="1">
        <v>381.1755</v>
      </c>
      <c r="J265" s="1">
        <v>229.99950000000001</v>
      </c>
      <c r="K265" s="1">
        <v>265.93799999999999</v>
      </c>
      <c r="L265" s="1">
        <v>328.91250000000002</v>
      </c>
      <c r="M265" s="1">
        <v>376.6755</v>
      </c>
      <c r="N265" s="4">
        <f t="shared" si="2"/>
        <v>25.861662487517332</v>
      </c>
      <c r="O265" s="1">
        <v>228.67499999999998</v>
      </c>
      <c r="P265" s="1">
        <v>186.70050000000001</v>
      </c>
      <c r="Q265" s="4">
        <v>391.48800000000006</v>
      </c>
      <c r="R265" s="4">
        <f t="shared" si="3"/>
        <v>43.214209887280504</v>
      </c>
      <c r="S265" s="1">
        <v>244.42499999999998</v>
      </c>
      <c r="T265" s="1">
        <v>597.88799999999992</v>
      </c>
      <c r="U265" s="1">
        <v>531.42450000000008</v>
      </c>
      <c r="V265" s="1">
        <v>446.25</v>
      </c>
      <c r="W265" s="1">
        <v>251.46299999999999</v>
      </c>
      <c r="X265" s="1">
        <v>943.19999999999993</v>
      </c>
      <c r="Y265" s="1">
        <v>498.10050000000001</v>
      </c>
      <c r="Z265" s="1">
        <v>376.20000000000005</v>
      </c>
      <c r="AA265" s="3">
        <v>15000</v>
      </c>
      <c r="AB265" s="1">
        <v>5879.2670000000007</v>
      </c>
    </row>
    <row r="266" spans="1:28" x14ac:dyDescent="0.25">
      <c r="A266" s="1">
        <v>265</v>
      </c>
      <c r="B266" s="2">
        <v>53662</v>
      </c>
      <c r="C266" s="1">
        <v>932.86950000000002</v>
      </c>
      <c r="D266" s="1">
        <v>94.600499999999997</v>
      </c>
      <c r="E266" s="1">
        <v>395.89050000000003</v>
      </c>
      <c r="F266" s="1">
        <v>408.75</v>
      </c>
      <c r="G266" s="1">
        <v>140.29949999999999</v>
      </c>
      <c r="H266" s="1">
        <v>545.41800000000001</v>
      </c>
      <c r="I266" s="1">
        <v>380.73450000000003</v>
      </c>
      <c r="J266" s="1">
        <v>229.69349999999997</v>
      </c>
      <c r="K266" s="1">
        <v>264.64049999999997</v>
      </c>
      <c r="L266" s="1">
        <v>327.738</v>
      </c>
      <c r="M266" s="1">
        <v>375.048</v>
      </c>
      <c r="N266" s="4">
        <f t="shared" si="2"/>
        <v>25.603045862642158</v>
      </c>
      <c r="O266" s="1">
        <v>227.8305</v>
      </c>
      <c r="P266" s="1">
        <v>185.9025</v>
      </c>
      <c r="Q266" s="4">
        <v>390.91200000000003</v>
      </c>
      <c r="R266" s="4">
        <f t="shared" si="3"/>
        <v>42.782067788407701</v>
      </c>
      <c r="S266" s="1">
        <v>243.62850000000003</v>
      </c>
      <c r="T266" s="1">
        <v>596.91600000000005</v>
      </c>
      <c r="U266" s="1">
        <v>529.95899999999995</v>
      </c>
      <c r="V266" s="1">
        <v>444.09749999999997</v>
      </c>
      <c r="W266" s="1">
        <v>251.09250000000003</v>
      </c>
      <c r="X266" s="1">
        <v>940.23450000000003</v>
      </c>
      <c r="Y266" s="1">
        <v>497.75850000000003</v>
      </c>
      <c r="Z266" s="1">
        <v>374.553</v>
      </c>
      <c r="AA266" s="3">
        <v>15000</v>
      </c>
      <c r="AB266" s="1">
        <v>5852.0520000000015</v>
      </c>
    </row>
    <row r="267" spans="1:28" x14ac:dyDescent="0.25">
      <c r="A267" s="1">
        <v>266</v>
      </c>
      <c r="B267" s="2">
        <v>53693</v>
      </c>
      <c r="C267" s="1">
        <v>916.96800000000007</v>
      </c>
      <c r="D267" s="1">
        <v>94.165500000000009</v>
      </c>
      <c r="E267" s="1">
        <v>393.68700000000001</v>
      </c>
      <c r="F267" s="1">
        <v>406.52549999999997</v>
      </c>
      <c r="G267" s="1">
        <v>139.422</v>
      </c>
      <c r="H267" s="1">
        <v>545.01900000000001</v>
      </c>
      <c r="I267" s="1">
        <v>380.17499999999995</v>
      </c>
      <c r="J267" s="1">
        <v>229.24950000000001</v>
      </c>
      <c r="K267" s="1">
        <v>263.14949999999999</v>
      </c>
      <c r="L267" s="1">
        <v>326.4255</v>
      </c>
      <c r="M267" s="1">
        <v>373.3005</v>
      </c>
      <c r="N267" s="4">
        <f t="shared" si="2"/>
        <v>25.347015404015735</v>
      </c>
      <c r="O267" s="1">
        <v>226.92449999999997</v>
      </c>
      <c r="P267" s="1">
        <v>184.97549999999998</v>
      </c>
      <c r="Q267" s="4">
        <v>390.423</v>
      </c>
      <c r="R267" s="4">
        <f t="shared" si="3"/>
        <v>42.354247110523623</v>
      </c>
      <c r="S267" s="1">
        <v>242.72550000000001</v>
      </c>
      <c r="T267" s="1">
        <v>595.875</v>
      </c>
      <c r="U267" s="1">
        <v>528.47550000000001</v>
      </c>
      <c r="V267" s="1">
        <v>441.94949999999994</v>
      </c>
      <c r="W267" s="1">
        <v>250.71299999999999</v>
      </c>
      <c r="X267" s="1">
        <v>936.90000000000009</v>
      </c>
      <c r="Y267" s="1">
        <v>497.27549999999997</v>
      </c>
      <c r="Z267" s="1">
        <v>372.738</v>
      </c>
      <c r="AA267" s="3">
        <v>15000</v>
      </c>
      <c r="AB267" s="1">
        <v>5824.3340000000007</v>
      </c>
    </row>
    <row r="268" spans="1:28" x14ac:dyDescent="0.25">
      <c r="A268" s="1">
        <v>267</v>
      </c>
      <c r="B268" s="2">
        <v>53724</v>
      </c>
      <c r="C268" s="1">
        <v>901.80000000000007</v>
      </c>
      <c r="D268" s="1">
        <v>93.713999999999999</v>
      </c>
      <c r="E268" s="1">
        <v>391.65750000000003</v>
      </c>
      <c r="F268" s="1">
        <v>404.51550000000003</v>
      </c>
      <c r="G268" s="1">
        <v>139.125</v>
      </c>
      <c r="H268" s="1">
        <v>544.68600000000004</v>
      </c>
      <c r="I268" s="1">
        <v>379.71750000000003</v>
      </c>
      <c r="J268" s="1">
        <v>228.87149999999997</v>
      </c>
      <c r="K268" s="1">
        <v>261.762</v>
      </c>
      <c r="L268" s="1">
        <v>325.209</v>
      </c>
      <c r="M268" s="1">
        <v>371.72249999999997</v>
      </c>
      <c r="N268" s="4">
        <f t="shared" si="2"/>
        <v>25.093545249975577</v>
      </c>
      <c r="O268" s="1">
        <v>226.041</v>
      </c>
      <c r="P268" s="1">
        <v>184.185</v>
      </c>
      <c r="Q268" s="4">
        <v>389.86200000000002</v>
      </c>
      <c r="R268" s="4">
        <f t="shared" si="3"/>
        <v>41.930704639418387</v>
      </c>
      <c r="S268" s="1">
        <v>241.959</v>
      </c>
      <c r="T268" s="1">
        <v>594.89549999999997</v>
      </c>
      <c r="U268" s="1">
        <v>527.12850000000003</v>
      </c>
      <c r="V268" s="1">
        <v>439.98449999999997</v>
      </c>
      <c r="W268" s="1">
        <v>250.3665</v>
      </c>
      <c r="X268" s="1">
        <v>933.31500000000005</v>
      </c>
      <c r="Y268" s="1">
        <v>496.58399999999995</v>
      </c>
      <c r="Z268" s="1">
        <v>371.03249999999997</v>
      </c>
      <c r="AA268" s="3">
        <v>15000</v>
      </c>
      <c r="AB268" s="1">
        <v>5798.436999999999</v>
      </c>
    </row>
    <row r="269" spans="1:28" x14ac:dyDescent="0.25">
      <c r="A269" s="1">
        <v>268</v>
      </c>
      <c r="B269" s="2">
        <v>53752</v>
      </c>
      <c r="C269" s="1">
        <v>887.64750000000004</v>
      </c>
      <c r="D269" s="1">
        <v>93.289500000000004</v>
      </c>
      <c r="E269" s="1">
        <v>389.70899999999995</v>
      </c>
      <c r="F269" s="1">
        <v>402.48449999999997</v>
      </c>
      <c r="G269" s="1">
        <v>138.48149999999998</v>
      </c>
      <c r="H269" s="1">
        <v>544.28399999999999</v>
      </c>
      <c r="I269" s="1">
        <v>379.23450000000003</v>
      </c>
      <c r="J269" s="1">
        <v>228.435</v>
      </c>
      <c r="K269" s="1">
        <v>260.40749999999997</v>
      </c>
      <c r="L269" s="1">
        <v>324.012</v>
      </c>
      <c r="M269" s="1">
        <v>370.173</v>
      </c>
      <c r="N269" s="4">
        <f t="shared" si="2"/>
        <v>24.84260979747582</v>
      </c>
      <c r="O269" s="1">
        <v>225.26549999999997</v>
      </c>
      <c r="P269" s="1">
        <v>183.291</v>
      </c>
      <c r="Q269" s="4">
        <v>389.38350000000003</v>
      </c>
      <c r="R269" s="4">
        <f t="shared" si="3"/>
        <v>41.511397593024206</v>
      </c>
      <c r="S269" s="1">
        <v>241.113</v>
      </c>
      <c r="T269" s="1">
        <v>593.90250000000003</v>
      </c>
      <c r="U269" s="1">
        <v>525.798</v>
      </c>
      <c r="V269" s="1">
        <v>437.952</v>
      </c>
      <c r="W269" s="1">
        <v>250.041</v>
      </c>
      <c r="X269" s="1">
        <v>929.58899999999994</v>
      </c>
      <c r="Y269" s="1">
        <v>495.81000000000006</v>
      </c>
      <c r="Z269" s="1">
        <v>369.351</v>
      </c>
      <c r="AA269" s="3">
        <v>15000</v>
      </c>
      <c r="AB269" s="1">
        <v>5772.7640000000001</v>
      </c>
    </row>
    <row r="270" spans="1:28" x14ac:dyDescent="0.25">
      <c r="A270" s="1">
        <v>269</v>
      </c>
      <c r="B270" s="2">
        <v>53783</v>
      </c>
      <c r="C270" s="1">
        <v>874.85400000000004</v>
      </c>
      <c r="D270" s="1">
        <v>92.858999999999995</v>
      </c>
      <c r="E270" s="1">
        <v>387.61200000000002</v>
      </c>
      <c r="F270" s="1">
        <v>400.34999999999997</v>
      </c>
      <c r="G270" s="1">
        <v>138.32399999999998</v>
      </c>
      <c r="H270" s="1">
        <v>543.92099999999994</v>
      </c>
      <c r="I270" s="1">
        <v>378.70050000000003</v>
      </c>
      <c r="J270" s="1">
        <v>228</v>
      </c>
      <c r="K270" s="1">
        <v>259.04999999999995</v>
      </c>
      <c r="L270" s="1">
        <v>322.72500000000002</v>
      </c>
      <c r="M270" s="1">
        <v>368.57550000000003</v>
      </c>
      <c r="N270" s="4">
        <f t="shared" si="2"/>
        <v>24.594183699501063</v>
      </c>
      <c r="O270" s="1">
        <v>224.35050000000001</v>
      </c>
      <c r="P270" s="1">
        <v>182.4495</v>
      </c>
      <c r="Q270" s="4">
        <v>388.875</v>
      </c>
      <c r="R270" s="4">
        <f t="shared" si="3"/>
        <v>41.096283617093967</v>
      </c>
      <c r="S270" s="1">
        <v>240.32550000000003</v>
      </c>
      <c r="T270" s="1">
        <v>592.86300000000006</v>
      </c>
      <c r="U270" s="1">
        <v>524.44949999999994</v>
      </c>
      <c r="V270" s="1">
        <v>435.90000000000003</v>
      </c>
      <c r="W270" s="1">
        <v>249.66300000000001</v>
      </c>
      <c r="X270" s="1">
        <v>925.60050000000001</v>
      </c>
      <c r="Y270" s="1">
        <v>494.96250000000003</v>
      </c>
      <c r="Z270" s="1">
        <v>367.57500000000005</v>
      </c>
      <c r="AA270" s="3">
        <v>15000</v>
      </c>
      <c r="AB270" s="1">
        <v>5747.6400000000012</v>
      </c>
    </row>
    <row r="271" spans="1:28" x14ac:dyDescent="0.25">
      <c r="A271" s="1">
        <v>270</v>
      </c>
      <c r="B271" s="2">
        <v>53813</v>
      </c>
      <c r="C271" s="1">
        <v>862.46250000000009</v>
      </c>
      <c r="D271" s="1">
        <v>92.427000000000007</v>
      </c>
      <c r="E271" s="1">
        <v>385.75349999999997</v>
      </c>
      <c r="F271" s="1">
        <v>398.39549999999997</v>
      </c>
      <c r="G271" s="1">
        <v>137.92500000000001</v>
      </c>
      <c r="H271" s="1">
        <v>543.57449999999994</v>
      </c>
      <c r="I271" s="1">
        <v>378.24149999999997</v>
      </c>
      <c r="J271" s="1">
        <v>227.589</v>
      </c>
      <c r="K271" s="1">
        <v>257.80650000000003</v>
      </c>
      <c r="L271" s="1">
        <v>321.55650000000003</v>
      </c>
      <c r="M271" s="1">
        <v>367.125</v>
      </c>
      <c r="N271" s="4">
        <f t="shared" si="2"/>
        <v>24.34824186250605</v>
      </c>
      <c r="O271" s="1">
        <v>223.548</v>
      </c>
      <c r="P271" s="1">
        <v>181.6215</v>
      </c>
      <c r="Q271" s="4">
        <v>388.34999999999997</v>
      </c>
      <c r="R271" s="4">
        <f t="shared" si="3"/>
        <v>40.685320780923028</v>
      </c>
      <c r="S271" s="1">
        <v>239.541</v>
      </c>
      <c r="T271" s="1">
        <v>591.89549999999997</v>
      </c>
      <c r="U271" s="1">
        <v>523.23450000000003</v>
      </c>
      <c r="V271" s="1">
        <v>434.03250000000003</v>
      </c>
      <c r="W271" s="1">
        <v>249.339</v>
      </c>
      <c r="X271" s="1">
        <v>921.84750000000008</v>
      </c>
      <c r="Y271" s="1">
        <v>494.11649999999997</v>
      </c>
      <c r="Z271" s="1">
        <v>365.952</v>
      </c>
      <c r="AA271" s="3">
        <v>15000</v>
      </c>
      <c r="AB271" s="1">
        <v>5723.920000000001</v>
      </c>
    </row>
    <row r="272" spans="1:28" x14ac:dyDescent="0.25">
      <c r="A272" s="1">
        <v>271</v>
      </c>
      <c r="B272" s="2">
        <v>53844</v>
      </c>
      <c r="C272" s="1">
        <v>851.09850000000006</v>
      </c>
      <c r="D272" s="1">
        <v>92.003999999999991</v>
      </c>
      <c r="E272" s="1">
        <v>383.73749999999995</v>
      </c>
      <c r="F272" s="1">
        <v>396.27449999999999</v>
      </c>
      <c r="G272" s="1">
        <v>137.19450000000001</v>
      </c>
      <c r="H272" s="1">
        <v>543.23700000000008</v>
      </c>
      <c r="I272" s="1">
        <v>377.74950000000001</v>
      </c>
      <c r="J272" s="1">
        <v>227.12549999999999</v>
      </c>
      <c r="K272" s="1">
        <v>256.42499999999995</v>
      </c>
      <c r="L272" s="1">
        <v>320.262</v>
      </c>
      <c r="M272" s="1">
        <v>365.53800000000001</v>
      </c>
      <c r="N272" s="4">
        <f t="shared" si="2"/>
        <v>24.10475944388099</v>
      </c>
      <c r="O272" s="1">
        <v>222.70050000000003</v>
      </c>
      <c r="P272" s="1">
        <v>180.70050000000001</v>
      </c>
      <c r="Q272" s="4">
        <v>387.89549999999997</v>
      </c>
      <c r="R272" s="4">
        <f t="shared" si="3"/>
        <v>40.278467573113801</v>
      </c>
      <c r="S272" s="1">
        <v>238.77449999999999</v>
      </c>
      <c r="T272" s="1">
        <v>590.82449999999994</v>
      </c>
      <c r="U272" s="1">
        <v>521.89949999999999</v>
      </c>
      <c r="V272" s="1">
        <v>431.89949999999999</v>
      </c>
      <c r="W272" s="1">
        <v>249</v>
      </c>
      <c r="X272" s="1">
        <v>917.7494999999999</v>
      </c>
      <c r="Y272" s="1">
        <v>493.18799999999999</v>
      </c>
      <c r="Z272" s="1">
        <v>364.21199999999999</v>
      </c>
      <c r="AA272" s="3">
        <v>15000</v>
      </c>
      <c r="AB272" s="1">
        <v>5699.3129999999992</v>
      </c>
    </row>
    <row r="273" spans="1:28" x14ac:dyDescent="0.25">
      <c r="A273" s="1">
        <v>272</v>
      </c>
      <c r="B273" s="2">
        <v>53874</v>
      </c>
      <c r="C273" s="1">
        <v>838.83600000000001</v>
      </c>
      <c r="D273" s="1">
        <v>91.57650000000001</v>
      </c>
      <c r="E273" s="1">
        <v>381.87149999999997</v>
      </c>
      <c r="F273" s="1">
        <v>394.30649999999997</v>
      </c>
      <c r="G273" s="1">
        <v>136.821</v>
      </c>
      <c r="H273" s="1">
        <v>542.89049999999997</v>
      </c>
      <c r="I273" s="1">
        <v>377.274</v>
      </c>
      <c r="J273" s="1">
        <v>226.69349999999997</v>
      </c>
      <c r="K273" s="1">
        <v>255.15749999999997</v>
      </c>
      <c r="L273" s="1">
        <v>319.077</v>
      </c>
      <c r="M273" s="1">
        <v>364.089</v>
      </c>
      <c r="N273" s="4">
        <f t="shared" ref="N273:N336" si="4">N272*0.99</f>
        <v>23.863711849442179</v>
      </c>
      <c r="O273" s="1">
        <v>221.9025</v>
      </c>
      <c r="P273" s="1">
        <v>179.9025</v>
      </c>
      <c r="Q273" s="4">
        <v>387.375</v>
      </c>
      <c r="R273" s="4">
        <f t="shared" si="3"/>
        <v>39.87568289738266</v>
      </c>
      <c r="S273" s="1">
        <v>238.01549999999997</v>
      </c>
      <c r="T273" s="1">
        <v>589.827</v>
      </c>
      <c r="U273" s="1">
        <v>520.74149999999997</v>
      </c>
      <c r="V273" s="1">
        <v>430.01550000000003</v>
      </c>
      <c r="W273" s="1">
        <v>248.673</v>
      </c>
      <c r="X273" s="1">
        <v>913.83899999999994</v>
      </c>
      <c r="Y273" s="1">
        <v>492.303</v>
      </c>
      <c r="Z273" s="1">
        <v>362.601</v>
      </c>
      <c r="AA273" s="3">
        <v>15000</v>
      </c>
      <c r="AB273" s="1">
        <v>5675.5439999999999</v>
      </c>
    </row>
    <row r="274" spans="1:28" x14ac:dyDescent="0.25">
      <c r="A274" s="1">
        <v>273</v>
      </c>
      <c r="B274" s="2">
        <v>53905</v>
      </c>
      <c r="C274" s="1">
        <v>826.21949999999993</v>
      </c>
      <c r="D274" s="1">
        <v>91.14</v>
      </c>
      <c r="E274" s="1">
        <v>380.08050000000003</v>
      </c>
      <c r="F274" s="1">
        <v>392.44350000000003</v>
      </c>
      <c r="G274" s="1">
        <v>136.15350000000001</v>
      </c>
      <c r="H274" s="1">
        <v>542.53499999999997</v>
      </c>
      <c r="I274" s="1">
        <v>376.815</v>
      </c>
      <c r="J274" s="1">
        <v>226.30650000000003</v>
      </c>
      <c r="K274" s="1">
        <v>253.99649999999997</v>
      </c>
      <c r="L274" s="1">
        <v>317.94</v>
      </c>
      <c r="M274" s="1">
        <v>362.697</v>
      </c>
      <c r="N274" s="4">
        <f t="shared" si="4"/>
        <v>23.625074730947759</v>
      </c>
      <c r="O274" s="1">
        <v>221.10449999999997</v>
      </c>
      <c r="P274" s="1">
        <v>179.0565</v>
      </c>
      <c r="Q274" s="4">
        <v>386.90250000000003</v>
      </c>
      <c r="R274" s="4">
        <f t="shared" si="3"/>
        <v>39.476926068408837</v>
      </c>
      <c r="S274" s="1">
        <v>237.339</v>
      </c>
      <c r="T274" s="1">
        <v>588.91949999999997</v>
      </c>
      <c r="U274" s="1">
        <v>519.60450000000003</v>
      </c>
      <c r="V274" s="1">
        <v>428.226</v>
      </c>
      <c r="W274" s="1">
        <v>248.3475</v>
      </c>
      <c r="X274" s="1">
        <v>910.16100000000006</v>
      </c>
      <c r="Y274" s="1">
        <v>491.44350000000003</v>
      </c>
      <c r="Z274" s="1">
        <v>361.065</v>
      </c>
      <c r="AA274" s="3">
        <v>15000</v>
      </c>
      <c r="AB274" s="1">
        <v>5652.0569999999998</v>
      </c>
    </row>
    <row r="275" spans="1:28" x14ac:dyDescent="0.25">
      <c r="A275" s="1">
        <v>274</v>
      </c>
      <c r="B275" s="2">
        <v>53936</v>
      </c>
      <c r="C275" s="1">
        <v>815.31600000000003</v>
      </c>
      <c r="D275" s="1">
        <v>90.754500000000007</v>
      </c>
      <c r="E275" s="1">
        <v>378.01349999999996</v>
      </c>
      <c r="F275" s="1">
        <v>390.24149999999997</v>
      </c>
      <c r="G275" s="1">
        <v>135.70050000000001</v>
      </c>
      <c r="H275" s="1">
        <v>542.25450000000001</v>
      </c>
      <c r="I275" s="1">
        <v>376.3125</v>
      </c>
      <c r="J275" s="1">
        <v>225.85649999999998</v>
      </c>
      <c r="K275" s="1">
        <v>252.60299999999998</v>
      </c>
      <c r="L275" s="1">
        <v>316.59300000000002</v>
      </c>
      <c r="M275" s="1">
        <v>361.08450000000005</v>
      </c>
      <c r="N275" s="4">
        <f t="shared" si="4"/>
        <v>23.388823983638282</v>
      </c>
      <c r="O275" s="1">
        <v>220.23149999999998</v>
      </c>
      <c r="P275" s="1">
        <v>178.125</v>
      </c>
      <c r="Q275" s="4">
        <v>386.49149999999997</v>
      </c>
      <c r="R275" s="4">
        <f t="shared" si="3"/>
        <v>39.082156807724751</v>
      </c>
      <c r="S275" s="1">
        <v>236.54399999999998</v>
      </c>
      <c r="T275" s="1">
        <v>587.79899999999998</v>
      </c>
      <c r="U275" s="1">
        <v>518.3309999999999</v>
      </c>
      <c r="V275" s="1">
        <v>426.05399999999997</v>
      </c>
      <c r="W275" s="1">
        <v>247.98149999999998</v>
      </c>
      <c r="X275" s="1">
        <v>905.83950000000004</v>
      </c>
      <c r="Y275" s="1">
        <v>490.4325</v>
      </c>
      <c r="Z275" s="1">
        <v>359.26349999999996</v>
      </c>
      <c r="AA275" s="3">
        <v>15000</v>
      </c>
      <c r="AB275" s="1">
        <v>5627.5159999999996</v>
      </c>
    </row>
    <row r="276" spans="1:28" x14ac:dyDescent="0.25">
      <c r="A276" s="1">
        <v>275</v>
      </c>
      <c r="B276" s="2">
        <v>53966</v>
      </c>
      <c r="C276" s="1">
        <v>803.94</v>
      </c>
      <c r="D276" s="1">
        <v>90.335999999999999</v>
      </c>
      <c r="E276" s="1">
        <v>376.37850000000003</v>
      </c>
      <c r="F276" s="1">
        <v>388.5</v>
      </c>
      <c r="G276" s="1">
        <v>135.77549999999999</v>
      </c>
      <c r="H276" s="1">
        <v>541.94550000000004</v>
      </c>
      <c r="I276" s="1">
        <v>375.87149999999997</v>
      </c>
      <c r="J276" s="1">
        <v>225.459</v>
      </c>
      <c r="K276" s="1">
        <v>251.47949999999997</v>
      </c>
      <c r="L276" s="1">
        <v>315.50850000000003</v>
      </c>
      <c r="M276" s="1">
        <v>359.79449999999997</v>
      </c>
      <c r="N276" s="4">
        <f t="shared" si="4"/>
        <v>23.1549357438019</v>
      </c>
      <c r="O276" s="1">
        <v>219.48450000000003</v>
      </c>
      <c r="P276" s="1">
        <v>177.363</v>
      </c>
      <c r="Q276" s="4">
        <v>385.9425</v>
      </c>
      <c r="R276" s="4">
        <f t="shared" si="3"/>
        <v>38.691335239647501</v>
      </c>
      <c r="S276" s="1">
        <v>235.911</v>
      </c>
      <c r="T276" s="1">
        <v>586.91100000000006</v>
      </c>
      <c r="U276" s="1">
        <v>517.28250000000003</v>
      </c>
      <c r="V276" s="1">
        <v>424.35450000000003</v>
      </c>
      <c r="W276" s="1">
        <v>247.69349999999997</v>
      </c>
      <c r="X276" s="1">
        <v>902.37149999999997</v>
      </c>
      <c r="Y276" s="1">
        <v>489.65250000000003</v>
      </c>
      <c r="Z276" s="1">
        <v>357.81</v>
      </c>
      <c r="AA276" s="3">
        <v>15000</v>
      </c>
      <c r="AB276" s="1">
        <v>5606.2309999999998</v>
      </c>
    </row>
    <row r="277" spans="1:28" x14ac:dyDescent="0.25">
      <c r="A277" s="1">
        <v>276</v>
      </c>
      <c r="B277" s="2">
        <v>53997</v>
      </c>
      <c r="C277" s="1">
        <v>793.21349999999995</v>
      </c>
      <c r="D277" s="1">
        <v>89.929500000000004</v>
      </c>
      <c r="E277" s="1">
        <v>374.4375</v>
      </c>
      <c r="F277" s="1">
        <v>386.50049999999999</v>
      </c>
      <c r="G277" s="1">
        <v>135.2175</v>
      </c>
      <c r="H277" s="1">
        <v>541.65000000000009</v>
      </c>
      <c r="I277" s="1">
        <v>375.375</v>
      </c>
      <c r="J277" s="1">
        <v>225.02549999999999</v>
      </c>
      <c r="K277" s="1">
        <v>250.17449999999997</v>
      </c>
      <c r="L277" s="1">
        <v>314.238</v>
      </c>
      <c r="M277" s="1">
        <v>358.24950000000001</v>
      </c>
      <c r="N277" s="4">
        <f t="shared" si="4"/>
        <v>22.92338638636388</v>
      </c>
      <c r="O277" s="1">
        <v>218.65049999999999</v>
      </c>
      <c r="P277" s="1">
        <v>176.47500000000002</v>
      </c>
      <c r="Q277" s="4">
        <v>385.524</v>
      </c>
      <c r="R277" s="4">
        <f t="shared" si="3"/>
        <v>38.304421887251024</v>
      </c>
      <c r="S277" s="1">
        <v>235.17449999999997</v>
      </c>
      <c r="T277" s="1">
        <v>585.88799999999992</v>
      </c>
      <c r="U277" s="1">
        <v>516.07500000000005</v>
      </c>
      <c r="V277" s="1">
        <v>422.40000000000003</v>
      </c>
      <c r="W277" s="1">
        <v>247.3005</v>
      </c>
      <c r="X277" s="1">
        <v>898.34999999999991</v>
      </c>
      <c r="Y277" s="1">
        <v>488.74950000000001</v>
      </c>
      <c r="Z277" s="1">
        <v>356.12549999999999</v>
      </c>
      <c r="AA277" s="3">
        <v>15000</v>
      </c>
      <c r="AB277" s="1">
        <v>5582.8160000000007</v>
      </c>
    </row>
    <row r="278" spans="1:28" x14ac:dyDescent="0.25">
      <c r="A278" s="1">
        <v>277</v>
      </c>
      <c r="B278" s="2">
        <v>54027</v>
      </c>
      <c r="C278" s="1">
        <v>782.60400000000004</v>
      </c>
      <c r="D278" s="1">
        <v>89.509500000000003</v>
      </c>
      <c r="E278" s="1">
        <v>372.666</v>
      </c>
      <c r="F278" s="1">
        <v>384.62849999999997</v>
      </c>
      <c r="G278" s="1">
        <v>134.77800000000002</v>
      </c>
      <c r="H278" s="1">
        <v>541.30649999999991</v>
      </c>
      <c r="I278" s="1">
        <v>374.928</v>
      </c>
      <c r="J278" s="1">
        <v>224.637</v>
      </c>
      <c r="K278" s="1">
        <v>249.024</v>
      </c>
      <c r="L278" s="1">
        <v>313.065</v>
      </c>
      <c r="M278" s="1">
        <v>356.89049999999997</v>
      </c>
      <c r="N278" s="4">
        <f t="shared" si="4"/>
        <v>22.694152522500243</v>
      </c>
      <c r="O278" s="1">
        <v>217.839</v>
      </c>
      <c r="P278" s="1">
        <v>175.6455</v>
      </c>
      <c r="Q278" s="4">
        <v>385.02449999999999</v>
      </c>
      <c r="R278" s="4">
        <f t="shared" si="3"/>
        <v>37.921377668378511</v>
      </c>
      <c r="S278" s="1">
        <v>234.5805</v>
      </c>
      <c r="T278" s="1">
        <v>584.93999999999994</v>
      </c>
      <c r="U278" s="1">
        <v>514.95899999999995</v>
      </c>
      <c r="V278" s="1">
        <v>420.58050000000003</v>
      </c>
      <c r="W278" s="1">
        <v>246.9915</v>
      </c>
      <c r="X278" s="1">
        <v>894.702</v>
      </c>
      <c r="Y278" s="1">
        <v>487.899</v>
      </c>
      <c r="Z278" s="1">
        <v>354.58050000000003</v>
      </c>
      <c r="AA278" s="3">
        <v>15000</v>
      </c>
      <c r="AB278" s="1">
        <v>5560.89</v>
      </c>
    </row>
    <row r="279" spans="1:28" x14ac:dyDescent="0.25">
      <c r="A279" s="1">
        <v>278</v>
      </c>
      <c r="B279" s="2">
        <v>54058</v>
      </c>
      <c r="C279" s="1">
        <v>772.68000000000006</v>
      </c>
      <c r="D279" s="1">
        <v>89.111999999999995</v>
      </c>
      <c r="E279" s="1">
        <v>370.81200000000001</v>
      </c>
      <c r="F279" s="1">
        <v>382.65</v>
      </c>
      <c r="G279" s="1">
        <v>134.14350000000002</v>
      </c>
      <c r="H279" s="1">
        <v>541.03949999999998</v>
      </c>
      <c r="I279" s="1">
        <v>374.47500000000002</v>
      </c>
      <c r="J279" s="1">
        <v>224.25</v>
      </c>
      <c r="K279" s="1">
        <v>247.72500000000002</v>
      </c>
      <c r="L279" s="1">
        <v>311.78700000000003</v>
      </c>
      <c r="M279" s="1">
        <v>355.39949999999999</v>
      </c>
      <c r="N279" s="4">
        <f t="shared" si="4"/>
        <v>22.467210997275242</v>
      </c>
      <c r="O279" s="1">
        <v>217.02449999999999</v>
      </c>
      <c r="P279" s="1">
        <v>174.72450000000001</v>
      </c>
      <c r="Q279" s="4">
        <v>384.58050000000003</v>
      </c>
      <c r="R279" s="4">
        <f t="shared" si="3"/>
        <v>37.542163891694727</v>
      </c>
      <c r="S279" s="1">
        <v>233.89949999999999</v>
      </c>
      <c r="T279" s="1">
        <v>583.92450000000008</v>
      </c>
      <c r="U279" s="1">
        <v>513.72450000000003</v>
      </c>
      <c r="V279" s="1">
        <v>418.60050000000001</v>
      </c>
      <c r="W279" s="1">
        <v>246.64949999999999</v>
      </c>
      <c r="X279" s="1">
        <v>890.80049999999994</v>
      </c>
      <c r="Y279" s="1">
        <v>487.04999999999995</v>
      </c>
      <c r="Z279" s="1">
        <v>352.90049999999997</v>
      </c>
      <c r="AA279" s="3">
        <v>15000</v>
      </c>
      <c r="AB279" s="1">
        <v>5538.3150000000005</v>
      </c>
    </row>
    <row r="280" spans="1:28" x14ac:dyDescent="0.25">
      <c r="A280" s="1">
        <v>279</v>
      </c>
      <c r="B280" s="2">
        <v>54089</v>
      </c>
      <c r="C280" s="1">
        <v>762.99450000000002</v>
      </c>
      <c r="D280" s="1">
        <v>88.823999999999998</v>
      </c>
      <c r="E280" s="1">
        <v>369.048</v>
      </c>
      <c r="F280" s="1">
        <v>380.80650000000003</v>
      </c>
      <c r="G280" s="1">
        <v>134.0745</v>
      </c>
      <c r="H280" s="1">
        <v>540.71699999999998</v>
      </c>
      <c r="I280" s="1">
        <v>374.03249999999997</v>
      </c>
      <c r="J280" s="1">
        <v>223.863</v>
      </c>
      <c r="K280" s="1">
        <v>246.5085</v>
      </c>
      <c r="L280" s="1">
        <v>310.584</v>
      </c>
      <c r="M280" s="1">
        <v>353.976</v>
      </c>
      <c r="N280" s="4">
        <f t="shared" si="4"/>
        <v>22.242538887302491</v>
      </c>
      <c r="O280" s="1">
        <v>216.21750000000003</v>
      </c>
      <c r="P280" s="1">
        <v>173.928</v>
      </c>
      <c r="Q280" s="4">
        <v>384.10050000000001</v>
      </c>
      <c r="R280" s="4">
        <f t="shared" si="3"/>
        <v>37.16674225277778</v>
      </c>
      <c r="S280" s="1">
        <v>233.274</v>
      </c>
      <c r="T280" s="1">
        <v>582.99149999999997</v>
      </c>
      <c r="U280" s="1">
        <v>512.63699999999994</v>
      </c>
      <c r="V280" s="1">
        <v>416.80649999999997</v>
      </c>
      <c r="W280" s="1">
        <v>246.26549999999997</v>
      </c>
      <c r="X280" s="1">
        <v>887.15249999999992</v>
      </c>
      <c r="Y280" s="1">
        <v>486.25349999999997</v>
      </c>
      <c r="Z280" s="1">
        <v>351.339</v>
      </c>
      <c r="AA280" s="3">
        <v>15000</v>
      </c>
      <c r="AB280" s="1">
        <v>5517.2789999999995</v>
      </c>
    </row>
    <row r="281" spans="1:28" x14ac:dyDescent="0.25">
      <c r="A281" s="1">
        <v>280</v>
      </c>
      <c r="B281" s="2">
        <v>54118</v>
      </c>
      <c r="C281" s="1">
        <v>753.85050000000001</v>
      </c>
      <c r="D281" s="1">
        <v>88.268999999999991</v>
      </c>
      <c r="E281" s="1">
        <v>367.31849999999997</v>
      </c>
      <c r="F281" s="1">
        <v>378.96750000000003</v>
      </c>
      <c r="G281" s="1">
        <v>133.785</v>
      </c>
      <c r="H281" s="1">
        <v>540.48</v>
      </c>
      <c r="I281" s="1">
        <v>373.59749999999997</v>
      </c>
      <c r="J281" s="1">
        <v>223.452</v>
      </c>
      <c r="K281" s="1">
        <v>245.298</v>
      </c>
      <c r="L281" s="1">
        <v>309.399</v>
      </c>
      <c r="M281" s="1">
        <v>352.572</v>
      </c>
      <c r="N281" s="4">
        <f t="shared" si="4"/>
        <v>22.020113498429467</v>
      </c>
      <c r="O281" s="1">
        <v>215.4195</v>
      </c>
      <c r="P281" s="1">
        <v>173.0565</v>
      </c>
      <c r="Q281" s="4">
        <v>383.625</v>
      </c>
      <c r="R281" s="4">
        <f t="shared" si="3"/>
        <v>36.795074830250002</v>
      </c>
      <c r="S281" s="1">
        <v>232.69349999999997</v>
      </c>
      <c r="T281" s="1">
        <v>582.06000000000006</v>
      </c>
      <c r="U281" s="1">
        <v>511.452</v>
      </c>
      <c r="V281" s="1">
        <v>414.91949999999997</v>
      </c>
      <c r="W281" s="1">
        <v>245.928</v>
      </c>
      <c r="X281" s="1">
        <v>883.572</v>
      </c>
      <c r="Y281" s="1">
        <v>485.45550000000003</v>
      </c>
      <c r="Z281" s="1">
        <v>349.75350000000003</v>
      </c>
      <c r="AA281" s="3">
        <v>15000</v>
      </c>
      <c r="AB281" s="1">
        <v>5496.3259999999991</v>
      </c>
    </row>
    <row r="282" spans="1:28" x14ac:dyDescent="0.25">
      <c r="A282" s="1">
        <v>281</v>
      </c>
      <c r="B282" s="2">
        <v>54149</v>
      </c>
      <c r="C282" s="1">
        <v>745.50749999999994</v>
      </c>
      <c r="D282" s="1">
        <v>87.976500000000001</v>
      </c>
      <c r="E282" s="1">
        <v>365.46299999999997</v>
      </c>
      <c r="F282" s="1">
        <v>376.99950000000001</v>
      </c>
      <c r="G282" s="1">
        <v>133.56299999999999</v>
      </c>
      <c r="H282" s="1">
        <v>540.18600000000004</v>
      </c>
      <c r="I282" s="1">
        <v>373.15049999999997</v>
      </c>
      <c r="J282" s="1">
        <v>223.09950000000001</v>
      </c>
      <c r="K282" s="1">
        <v>244.06200000000001</v>
      </c>
      <c r="L282" s="1">
        <v>308.12549999999999</v>
      </c>
      <c r="M282" s="1">
        <v>351.12450000000001</v>
      </c>
      <c r="N282" s="4">
        <f t="shared" si="4"/>
        <v>21.799912363445173</v>
      </c>
      <c r="O282" s="1">
        <v>214.54949999999997</v>
      </c>
      <c r="P282" s="1">
        <v>172.17449999999999</v>
      </c>
      <c r="Q282" s="4">
        <v>383.19</v>
      </c>
      <c r="R282" s="4">
        <f t="shared" si="3"/>
        <v>36.427124081947504</v>
      </c>
      <c r="S282" s="1">
        <v>232.09950000000001</v>
      </c>
      <c r="T282" s="1">
        <v>581.12549999999999</v>
      </c>
      <c r="U282" s="1">
        <v>510.25049999999999</v>
      </c>
      <c r="V282" s="1">
        <v>412.95000000000005</v>
      </c>
      <c r="W282" s="1">
        <v>245.57550000000003</v>
      </c>
      <c r="X282" s="1">
        <v>879.94950000000006</v>
      </c>
      <c r="Y282" s="1">
        <v>484.73700000000002</v>
      </c>
      <c r="Z282" s="1">
        <v>348.13800000000003</v>
      </c>
      <c r="AA282" s="3">
        <v>15000</v>
      </c>
      <c r="AB282" s="1">
        <v>5475.6709999999994</v>
      </c>
    </row>
    <row r="283" spans="1:28" x14ac:dyDescent="0.25">
      <c r="A283" s="1">
        <v>282</v>
      </c>
      <c r="B283" s="2">
        <v>54179</v>
      </c>
      <c r="C283" s="1">
        <v>737.43000000000006</v>
      </c>
      <c r="D283" s="1">
        <v>87.453000000000003</v>
      </c>
      <c r="E283" s="1">
        <v>364.173</v>
      </c>
      <c r="F283" s="1">
        <v>375.702</v>
      </c>
      <c r="G283" s="1">
        <v>133.17150000000001</v>
      </c>
      <c r="H283" s="1">
        <v>539.91300000000001</v>
      </c>
      <c r="I283" s="1">
        <v>372.87149999999997</v>
      </c>
      <c r="J283" s="1">
        <v>222.822</v>
      </c>
      <c r="K283" s="1">
        <v>243.15749999999997</v>
      </c>
      <c r="L283" s="1">
        <v>307.22249999999997</v>
      </c>
      <c r="M283" s="1">
        <v>350.06849999999997</v>
      </c>
      <c r="N283" s="4">
        <f t="shared" si="4"/>
        <v>21.581913239810721</v>
      </c>
      <c r="O283" s="1">
        <v>213.9915</v>
      </c>
      <c r="P283" s="1">
        <v>171.5085</v>
      </c>
      <c r="Q283" s="4">
        <v>382.6995</v>
      </c>
      <c r="R283" s="4">
        <f t="shared" si="3"/>
        <v>36.062852841128027</v>
      </c>
      <c r="S283" s="1">
        <v>231.678</v>
      </c>
      <c r="T283" s="1">
        <v>580.548</v>
      </c>
      <c r="U283" s="1">
        <v>509.37150000000003</v>
      </c>
      <c r="V283" s="1">
        <v>411.58050000000003</v>
      </c>
      <c r="W283" s="1">
        <v>245.274</v>
      </c>
      <c r="X283" s="1">
        <v>877.33049999999992</v>
      </c>
      <c r="Y283" s="1">
        <v>484.20899999999995</v>
      </c>
      <c r="Z283" s="1">
        <v>347.00850000000003</v>
      </c>
      <c r="AA283" s="3">
        <v>15000</v>
      </c>
      <c r="AB283" s="1">
        <v>5459.3069999999989</v>
      </c>
    </row>
    <row r="284" spans="1:28" x14ac:dyDescent="0.25">
      <c r="A284" s="1">
        <v>283</v>
      </c>
      <c r="B284" s="2">
        <v>54210</v>
      </c>
      <c r="C284" s="1">
        <v>730.10249999999996</v>
      </c>
      <c r="D284" s="1">
        <v>87.085499999999996</v>
      </c>
      <c r="E284" s="1">
        <v>362.4255</v>
      </c>
      <c r="F284" s="1">
        <v>373.79999999999995</v>
      </c>
      <c r="G284" s="1">
        <v>132.95849999999999</v>
      </c>
      <c r="H284" s="1">
        <v>539.673</v>
      </c>
      <c r="I284" s="1">
        <v>372.42449999999997</v>
      </c>
      <c r="J284" s="1">
        <v>222.47550000000001</v>
      </c>
      <c r="K284" s="1">
        <v>241.887</v>
      </c>
      <c r="L284" s="1">
        <v>306.012</v>
      </c>
      <c r="M284" s="1">
        <v>348.6</v>
      </c>
      <c r="N284" s="4">
        <f t="shared" si="4"/>
        <v>21.366094107412614</v>
      </c>
      <c r="O284" s="1">
        <v>213.1755</v>
      </c>
      <c r="P284" s="1">
        <v>170.67449999999999</v>
      </c>
      <c r="Q284" s="4">
        <v>382.476</v>
      </c>
      <c r="R284" s="4">
        <f t="shared" si="3"/>
        <v>35.702224312716744</v>
      </c>
      <c r="S284" s="1">
        <v>231.1755</v>
      </c>
      <c r="T284" s="1">
        <v>579.66300000000001</v>
      </c>
      <c r="U284" s="1">
        <v>508.17450000000002</v>
      </c>
      <c r="V284" s="1">
        <v>409.79999999999995</v>
      </c>
      <c r="W284" s="1">
        <v>244.875</v>
      </c>
      <c r="X284" s="1">
        <v>874.17450000000008</v>
      </c>
      <c r="Y284" s="1">
        <v>483.66300000000001</v>
      </c>
      <c r="Z284" s="1">
        <v>345.42449999999997</v>
      </c>
      <c r="AA284" s="3">
        <v>15000</v>
      </c>
      <c r="AB284" s="1">
        <v>5440.188000000001</v>
      </c>
    </row>
    <row r="285" spans="1:28" x14ac:dyDescent="0.25">
      <c r="A285" s="1">
        <v>284</v>
      </c>
      <c r="B285" s="2">
        <v>54240</v>
      </c>
      <c r="C285" s="1">
        <v>723.06600000000003</v>
      </c>
      <c r="D285" s="1">
        <v>86.697000000000003</v>
      </c>
      <c r="E285" s="1">
        <v>360.27750000000003</v>
      </c>
      <c r="F285" s="1">
        <v>371.613</v>
      </c>
      <c r="G285" s="1">
        <v>132.84</v>
      </c>
      <c r="H285" s="1">
        <v>539.39400000000001</v>
      </c>
      <c r="I285" s="1">
        <v>371.85449999999997</v>
      </c>
      <c r="J285" s="1">
        <v>222.0975</v>
      </c>
      <c r="K285" s="1">
        <v>240.339</v>
      </c>
      <c r="L285" s="1">
        <v>304.536</v>
      </c>
      <c r="M285" s="1">
        <v>346.815</v>
      </c>
      <c r="N285" s="4">
        <f t="shared" si="4"/>
        <v>21.152433166338486</v>
      </c>
      <c r="O285" s="1">
        <v>212.178</v>
      </c>
      <c r="P285" s="1">
        <v>169.6935</v>
      </c>
      <c r="Q285" s="4">
        <v>382.03800000000001</v>
      </c>
      <c r="R285" s="4">
        <f t="shared" si="3"/>
        <v>35.345202069589575</v>
      </c>
      <c r="S285" s="1">
        <v>230.541</v>
      </c>
      <c r="T285" s="1">
        <v>578.601</v>
      </c>
      <c r="U285" s="1">
        <v>506.63699999999994</v>
      </c>
      <c r="V285" s="1">
        <v>407.46749999999997</v>
      </c>
      <c r="W285" s="1">
        <v>244.4025</v>
      </c>
      <c r="X285" s="1">
        <v>870.94350000000009</v>
      </c>
      <c r="Y285" s="1">
        <v>483.29100000000005</v>
      </c>
      <c r="Z285" s="1">
        <v>343.512</v>
      </c>
      <c r="AA285" s="3">
        <v>15000</v>
      </c>
      <c r="AB285" s="1">
        <v>5418.7889999999998</v>
      </c>
    </row>
    <row r="286" spans="1:28" x14ac:dyDescent="0.25">
      <c r="A286" s="1">
        <v>285</v>
      </c>
      <c r="B286" s="2">
        <v>54271</v>
      </c>
      <c r="C286" s="1">
        <v>716.52149999999995</v>
      </c>
      <c r="D286" s="1">
        <v>86.306999999999988</v>
      </c>
      <c r="E286" s="1">
        <v>358.572</v>
      </c>
      <c r="F286" s="1">
        <v>369.89550000000003</v>
      </c>
      <c r="G286" s="1">
        <v>132.66299999999998</v>
      </c>
      <c r="H286" s="1">
        <v>539.18100000000004</v>
      </c>
      <c r="I286" s="1">
        <v>371.41949999999997</v>
      </c>
      <c r="J286" s="1">
        <v>221.7585</v>
      </c>
      <c r="K286" s="1">
        <v>239.14049999999997</v>
      </c>
      <c r="L286" s="1">
        <v>303.363</v>
      </c>
      <c r="M286" s="1">
        <v>345.423</v>
      </c>
      <c r="N286" s="4">
        <f t="shared" si="4"/>
        <v>20.940908834675103</v>
      </c>
      <c r="O286" s="1">
        <v>211.428</v>
      </c>
      <c r="P286" s="1">
        <v>168.8475</v>
      </c>
      <c r="Q286" s="4">
        <v>381.387</v>
      </c>
      <c r="R286" s="4">
        <f t="shared" si="3"/>
        <v>34.991750048893678</v>
      </c>
      <c r="S286" s="1">
        <v>230.0805</v>
      </c>
      <c r="T286" s="1">
        <v>577.803</v>
      </c>
      <c r="U286" s="1">
        <v>505.428</v>
      </c>
      <c r="V286" s="1">
        <v>405.726</v>
      </c>
      <c r="W286" s="1">
        <v>244.01549999999997</v>
      </c>
      <c r="X286" s="1">
        <v>868.20900000000006</v>
      </c>
      <c r="Y286" s="1">
        <v>482.952</v>
      </c>
      <c r="Z286" s="1">
        <v>342.012</v>
      </c>
      <c r="AA286" s="3">
        <v>15000</v>
      </c>
      <c r="AB286" s="1">
        <v>5401.1320000000005</v>
      </c>
    </row>
    <row r="287" spans="1:28" x14ac:dyDescent="0.25">
      <c r="A287" s="1">
        <v>286</v>
      </c>
      <c r="B287" s="2">
        <v>54302</v>
      </c>
      <c r="C287" s="1">
        <v>710.75249999999994</v>
      </c>
      <c r="D287" s="1">
        <v>85.945499999999996</v>
      </c>
      <c r="E287" s="1">
        <v>356.75400000000002</v>
      </c>
      <c r="F287" s="1">
        <v>368.01749999999998</v>
      </c>
      <c r="G287" s="1">
        <v>132.60599999999999</v>
      </c>
      <c r="H287" s="1">
        <v>538.91100000000006</v>
      </c>
      <c r="I287" s="1">
        <v>370.96500000000003</v>
      </c>
      <c r="J287" s="1">
        <v>221.45699999999999</v>
      </c>
      <c r="K287" s="1">
        <v>237.77549999999999</v>
      </c>
      <c r="L287" s="1">
        <v>302.09550000000002</v>
      </c>
      <c r="M287" s="1">
        <v>343.88849999999996</v>
      </c>
      <c r="N287" s="4">
        <f t="shared" si="4"/>
        <v>20.73149974632835</v>
      </c>
      <c r="O287" s="1">
        <v>210.59549999999999</v>
      </c>
      <c r="P287" s="1">
        <v>168</v>
      </c>
      <c r="Q287" s="4">
        <v>380.952</v>
      </c>
      <c r="R287" s="4">
        <f t="shared" si="3"/>
        <v>34.641832548404743</v>
      </c>
      <c r="S287" s="1">
        <v>229.65450000000001</v>
      </c>
      <c r="T287" s="1">
        <v>576.97050000000002</v>
      </c>
      <c r="U287" s="1">
        <v>504.07800000000003</v>
      </c>
      <c r="V287" s="1">
        <v>403.75800000000004</v>
      </c>
      <c r="W287" s="1">
        <v>243.62099999999998</v>
      </c>
      <c r="X287" s="1">
        <v>865.18949999999995</v>
      </c>
      <c r="Y287" s="1">
        <v>482.61149999999998</v>
      </c>
      <c r="Z287" s="1">
        <v>340.37099999999998</v>
      </c>
      <c r="AA287" s="3">
        <v>15000</v>
      </c>
      <c r="AB287" s="1">
        <v>5382.9739999999993</v>
      </c>
    </row>
    <row r="288" spans="1:28" x14ac:dyDescent="0.25">
      <c r="A288" s="1">
        <v>287</v>
      </c>
      <c r="B288" s="2">
        <v>54332</v>
      </c>
      <c r="C288" s="1">
        <v>705.01499999999999</v>
      </c>
      <c r="D288" s="1">
        <v>85.551000000000002</v>
      </c>
      <c r="E288" s="1">
        <v>355.185</v>
      </c>
      <c r="F288" s="1">
        <v>366.435</v>
      </c>
      <c r="G288" s="1">
        <v>131.90100000000001</v>
      </c>
      <c r="H288" s="1">
        <v>538.68449999999996</v>
      </c>
      <c r="I288" s="1">
        <v>370.572</v>
      </c>
      <c r="J288" s="1">
        <v>221.1525</v>
      </c>
      <c r="K288" s="1">
        <v>236.613</v>
      </c>
      <c r="L288" s="1">
        <v>300.99149999999997</v>
      </c>
      <c r="M288" s="1">
        <v>342.60449999999997</v>
      </c>
      <c r="N288" s="4">
        <f t="shared" si="4"/>
        <v>20.524184748865068</v>
      </c>
      <c r="O288" s="1">
        <v>209.87850000000003</v>
      </c>
      <c r="P288" s="1">
        <v>167.202</v>
      </c>
      <c r="Q288" s="4">
        <v>380.44349999999997</v>
      </c>
      <c r="R288" s="4">
        <f t="shared" si="3"/>
        <v>34.295414222920698</v>
      </c>
      <c r="S288" s="1">
        <v>229.28249999999997</v>
      </c>
      <c r="T288" s="1">
        <v>576.26549999999997</v>
      </c>
      <c r="U288" s="1">
        <v>502.911</v>
      </c>
      <c r="V288" s="1">
        <v>402.14549999999997</v>
      </c>
      <c r="W288" s="1">
        <v>243.2415</v>
      </c>
      <c r="X288" s="1">
        <v>862.5</v>
      </c>
      <c r="Y288" s="1">
        <v>482.25</v>
      </c>
      <c r="Z288" s="1">
        <v>338.988</v>
      </c>
      <c r="AA288" s="3">
        <v>15000</v>
      </c>
      <c r="AB288" s="1">
        <v>5366.26</v>
      </c>
    </row>
    <row r="289" spans="1:28" x14ac:dyDescent="0.25">
      <c r="A289" s="1">
        <v>288</v>
      </c>
      <c r="B289" s="2">
        <v>54363</v>
      </c>
      <c r="C289" s="1">
        <v>699.78</v>
      </c>
      <c r="D289" s="1">
        <v>85.180499999999995</v>
      </c>
      <c r="E289" s="1">
        <v>353.50049999999999</v>
      </c>
      <c r="F289" s="1">
        <v>364.72500000000002</v>
      </c>
      <c r="G289" s="1">
        <v>131.62799999999999</v>
      </c>
      <c r="H289" s="1">
        <v>538.476</v>
      </c>
      <c r="I289" s="1">
        <v>370.15049999999997</v>
      </c>
      <c r="J289" s="1">
        <v>220.84950000000001</v>
      </c>
      <c r="K289" s="1">
        <v>235.3005</v>
      </c>
      <c r="L289" s="1">
        <v>299.76300000000003</v>
      </c>
      <c r="M289" s="1">
        <v>341.18700000000001</v>
      </c>
      <c r="N289" s="4">
        <f t="shared" si="4"/>
        <v>20.318942901376417</v>
      </c>
      <c r="O289" s="1">
        <v>209.10000000000002</v>
      </c>
      <c r="P289" s="1">
        <v>166.35000000000002</v>
      </c>
      <c r="Q289" s="4">
        <v>380.02050000000003</v>
      </c>
      <c r="R289" s="4">
        <f t="shared" si="3"/>
        <v>33.952460080691488</v>
      </c>
      <c r="S289" s="1">
        <v>228.89999999999998</v>
      </c>
      <c r="T289" s="1">
        <v>575.50049999999999</v>
      </c>
      <c r="U289" s="1">
        <v>501.59999999999997</v>
      </c>
      <c r="V289" s="1">
        <v>400.34999999999997</v>
      </c>
      <c r="W289" s="1">
        <v>242.89949999999999</v>
      </c>
      <c r="X289" s="1">
        <v>859.42500000000007</v>
      </c>
      <c r="Y289" s="1">
        <v>481.81200000000001</v>
      </c>
      <c r="Z289" s="1">
        <v>337.42499999999995</v>
      </c>
      <c r="AA289" s="3">
        <v>15000</v>
      </c>
      <c r="AB289" s="1">
        <v>5348.9679999999998</v>
      </c>
    </row>
    <row r="290" spans="1:28" x14ac:dyDescent="0.25">
      <c r="A290" s="1">
        <v>289</v>
      </c>
      <c r="B290" s="2">
        <v>54393</v>
      </c>
      <c r="C290" s="1">
        <v>694.71449999999993</v>
      </c>
      <c r="D290" s="1">
        <v>84.772500000000008</v>
      </c>
      <c r="E290" s="1">
        <v>351.90749999999997</v>
      </c>
      <c r="F290" s="1">
        <v>363.072</v>
      </c>
      <c r="G290" s="1">
        <v>131.44650000000001</v>
      </c>
      <c r="H290" s="1">
        <v>538.25850000000003</v>
      </c>
      <c r="I290" s="1">
        <v>369.75</v>
      </c>
      <c r="J290" s="1">
        <v>220.476</v>
      </c>
      <c r="K290" s="1">
        <v>234.2055</v>
      </c>
      <c r="L290" s="1">
        <v>298.64550000000003</v>
      </c>
      <c r="M290" s="1">
        <v>339.93150000000003</v>
      </c>
      <c r="N290" s="4">
        <f t="shared" si="4"/>
        <v>20.115753472362652</v>
      </c>
      <c r="O290" s="1">
        <v>208.37850000000003</v>
      </c>
      <c r="P290" s="1">
        <v>165.5565</v>
      </c>
      <c r="Q290" s="4">
        <v>379.54949999999997</v>
      </c>
      <c r="R290" s="4">
        <f t="shared" si="3"/>
        <v>33.61293547988457</v>
      </c>
      <c r="S290" s="1">
        <v>228.55650000000003</v>
      </c>
      <c r="T290" s="1">
        <v>574.83899999999994</v>
      </c>
      <c r="U290" s="1">
        <v>500.46749999999997</v>
      </c>
      <c r="V290" s="1">
        <v>398.70899999999995</v>
      </c>
      <c r="W290" s="1">
        <v>242.541</v>
      </c>
      <c r="X290" s="1">
        <v>856.5</v>
      </c>
      <c r="Y290" s="1">
        <v>481.33050000000003</v>
      </c>
      <c r="Z290" s="1">
        <v>336.024</v>
      </c>
      <c r="AA290" s="3">
        <v>15000</v>
      </c>
      <c r="AB290" s="1">
        <v>5332.8049999999994</v>
      </c>
    </row>
    <row r="291" spans="1:28" x14ac:dyDescent="0.25">
      <c r="A291" s="1">
        <v>290</v>
      </c>
      <c r="B291" s="2">
        <v>54424</v>
      </c>
      <c r="C291" s="1">
        <v>690.11249999999995</v>
      </c>
      <c r="D291" s="1">
        <v>84.387</v>
      </c>
      <c r="E291" s="1">
        <v>350.238</v>
      </c>
      <c r="F291" s="1">
        <v>361.37549999999999</v>
      </c>
      <c r="G291" s="1">
        <v>131.30549999999999</v>
      </c>
      <c r="H291" s="1">
        <v>538.06200000000001</v>
      </c>
      <c r="I291" s="1">
        <v>369.29999999999995</v>
      </c>
      <c r="J291" s="1">
        <v>220.15049999999999</v>
      </c>
      <c r="K291" s="1">
        <v>232.92449999999997</v>
      </c>
      <c r="L291" s="1">
        <v>297.41250000000002</v>
      </c>
      <c r="M291" s="1">
        <v>338.57550000000003</v>
      </c>
      <c r="N291" s="4">
        <f t="shared" si="4"/>
        <v>19.914595937639024</v>
      </c>
      <c r="O291" s="1">
        <v>207.60000000000002</v>
      </c>
      <c r="P291" s="1">
        <v>164.67449999999999</v>
      </c>
      <c r="Q291" s="4">
        <v>379.125</v>
      </c>
      <c r="R291" s="4">
        <f t="shared" si="3"/>
        <v>33.27680612508572</v>
      </c>
      <c r="S291" s="1">
        <v>228.22500000000002</v>
      </c>
      <c r="T291" s="1">
        <v>574.125</v>
      </c>
      <c r="U291" s="1">
        <v>499.24950000000001</v>
      </c>
      <c r="V291" s="1">
        <v>396.90000000000003</v>
      </c>
      <c r="W291" s="1">
        <v>242.17499999999998</v>
      </c>
      <c r="X291" s="1">
        <v>853.2494999999999</v>
      </c>
      <c r="Y291" s="1">
        <v>480.76199999999994</v>
      </c>
      <c r="Z291" s="1">
        <v>334.488</v>
      </c>
      <c r="AA291" s="3">
        <v>15000</v>
      </c>
      <c r="AB291" s="1">
        <v>5315.9859999999999</v>
      </c>
    </row>
    <row r="292" spans="1:28" x14ac:dyDescent="0.25">
      <c r="A292" s="1">
        <v>291</v>
      </c>
      <c r="B292" s="2">
        <v>54455</v>
      </c>
      <c r="C292" s="1">
        <v>685.428</v>
      </c>
      <c r="D292" s="1">
        <v>83.980500000000006</v>
      </c>
      <c r="E292" s="1">
        <v>389.274</v>
      </c>
      <c r="F292" s="1">
        <v>431.202</v>
      </c>
      <c r="G292" s="1">
        <v>130.45349999999999</v>
      </c>
      <c r="H292" s="1">
        <v>537.83399999999995</v>
      </c>
      <c r="I292" s="1">
        <v>369.09749999999997</v>
      </c>
      <c r="J292" s="1">
        <v>219.702</v>
      </c>
      <c r="K292" s="1">
        <v>291.072</v>
      </c>
      <c r="L292" s="1">
        <v>296.31</v>
      </c>
      <c r="M292" s="1">
        <v>411.99149999999997</v>
      </c>
      <c r="N292" s="4">
        <f t="shared" si="4"/>
        <v>19.715449978262633</v>
      </c>
      <c r="O292" s="1">
        <v>204.75</v>
      </c>
      <c r="P292" s="1">
        <f>P291*0.99</f>
        <v>163.02775499999998</v>
      </c>
      <c r="Q292" s="4">
        <v>378.68700000000001</v>
      </c>
      <c r="R292" s="4">
        <f t="shared" ref="R292:R355" si="5">R291*0.99</f>
        <v>32.94403806383486</v>
      </c>
      <c r="S292" s="1">
        <v>229.30650000000003</v>
      </c>
      <c r="T292" s="1">
        <v>574.99649999999997</v>
      </c>
      <c r="U292" s="1">
        <v>606.19350000000009</v>
      </c>
      <c r="V292" s="1">
        <v>488.661</v>
      </c>
      <c r="W292" s="1">
        <v>241.76549999999997</v>
      </c>
      <c r="X292" s="1">
        <v>848.39549999999997</v>
      </c>
      <c r="Y292" s="1">
        <v>477.774</v>
      </c>
      <c r="Z292" s="1">
        <v>336.459</v>
      </c>
      <c r="AA292" s="3">
        <v>15000</v>
      </c>
      <c r="AB292" s="1">
        <v>5499.3668999999991</v>
      </c>
    </row>
    <row r="293" spans="1:28" x14ac:dyDescent="0.25">
      <c r="A293" s="1">
        <v>292</v>
      </c>
      <c r="B293" s="2">
        <v>54483</v>
      </c>
      <c r="C293" s="1">
        <v>680.60849999999994</v>
      </c>
      <c r="D293" s="1">
        <v>83.602499999999992</v>
      </c>
      <c r="E293" s="1">
        <v>391.56000000000006</v>
      </c>
      <c r="F293" s="1">
        <v>435.29100000000005</v>
      </c>
      <c r="G293" s="1">
        <v>130.12950000000001</v>
      </c>
      <c r="H293" s="1">
        <v>537.64499999999998</v>
      </c>
      <c r="I293" s="1">
        <v>369.048</v>
      </c>
      <c r="J293" s="1">
        <v>219.26549999999997</v>
      </c>
      <c r="K293" s="1">
        <v>294.786</v>
      </c>
      <c r="L293" s="1">
        <v>294.99149999999997</v>
      </c>
      <c r="M293" s="1">
        <v>417.59249999999997</v>
      </c>
      <c r="N293" s="4">
        <f t="shared" si="4"/>
        <v>19.518295478480006</v>
      </c>
      <c r="O293" s="1">
        <v>202.137</v>
      </c>
      <c r="P293" s="4">
        <f t="shared" ref="P293:P356" si="6">P292*0.99</f>
        <v>161.39747745</v>
      </c>
      <c r="Q293" s="4">
        <v>378.48450000000003</v>
      </c>
      <c r="R293" s="4">
        <f t="shared" si="5"/>
        <v>32.614597683196514</v>
      </c>
      <c r="S293" s="1">
        <v>230.685</v>
      </c>
      <c r="T293" s="1">
        <v>575.601</v>
      </c>
      <c r="U293" s="1">
        <v>610.572</v>
      </c>
      <c r="V293" s="1">
        <v>490.74149999999997</v>
      </c>
      <c r="W293" s="1">
        <v>241.3305</v>
      </c>
      <c r="X293" s="1">
        <v>844.28250000000003</v>
      </c>
      <c r="Y293" s="1">
        <v>476.51550000000003</v>
      </c>
      <c r="Z293" s="1">
        <v>337.161</v>
      </c>
      <c r="AA293" s="3">
        <v>15000</v>
      </c>
      <c r="AB293" s="1">
        <v>5494.7910000000002</v>
      </c>
    </row>
    <row r="294" spans="1:28" x14ac:dyDescent="0.25">
      <c r="A294" s="1">
        <v>293</v>
      </c>
      <c r="B294" s="2">
        <v>54514</v>
      </c>
      <c r="C294" s="1">
        <v>675.12149999999997</v>
      </c>
      <c r="D294" s="1">
        <v>83.215499999999992</v>
      </c>
      <c r="E294" s="1">
        <v>390.21299999999997</v>
      </c>
      <c r="F294" s="1">
        <v>432.62549999999999</v>
      </c>
      <c r="G294" s="1">
        <v>129.62700000000001</v>
      </c>
      <c r="H294" s="1">
        <v>537.45150000000001</v>
      </c>
      <c r="I294" s="1">
        <v>369.22500000000002</v>
      </c>
      <c r="J294" s="1">
        <v>218.8005</v>
      </c>
      <c r="K294" s="1">
        <v>288.5505</v>
      </c>
      <c r="L294" s="1">
        <v>293.625</v>
      </c>
      <c r="M294" s="1">
        <v>414.98700000000002</v>
      </c>
      <c r="N294" s="4">
        <f t="shared" si="4"/>
        <v>19.323112523695205</v>
      </c>
      <c r="O294" s="1">
        <v>199.99950000000001</v>
      </c>
      <c r="P294" s="4">
        <f t="shared" si="6"/>
        <v>159.78350267549999</v>
      </c>
      <c r="Q294" s="4">
        <v>378.64049999999997</v>
      </c>
      <c r="R294" s="4">
        <f t="shared" si="5"/>
        <v>32.288451706364548</v>
      </c>
      <c r="S294" s="1">
        <v>231.97500000000002</v>
      </c>
      <c r="T294" s="1">
        <v>576.85050000000001</v>
      </c>
      <c r="U294" s="1">
        <v>606.25049999999999</v>
      </c>
      <c r="V294" s="1">
        <v>486.90000000000003</v>
      </c>
      <c r="W294" s="1">
        <v>240.89999999999998</v>
      </c>
      <c r="X294" s="1">
        <v>840.17549999999994</v>
      </c>
      <c r="Y294" s="1">
        <v>475.72499999999997</v>
      </c>
      <c r="Z294" s="1">
        <v>337.27499999999998</v>
      </c>
      <c r="AA294" s="3">
        <v>15000</v>
      </c>
      <c r="AB294" s="1">
        <v>5472.3120000000008</v>
      </c>
    </row>
    <row r="295" spans="1:28" x14ac:dyDescent="0.25">
      <c r="A295" s="1">
        <v>294</v>
      </c>
      <c r="B295" s="2">
        <v>54544</v>
      </c>
      <c r="C295" s="1">
        <v>668.96100000000001</v>
      </c>
      <c r="D295" s="1">
        <v>82.810500000000005</v>
      </c>
      <c r="E295" s="1">
        <v>389.274</v>
      </c>
      <c r="F295" s="1">
        <v>430.86300000000006</v>
      </c>
      <c r="G295" s="1">
        <v>129.4845</v>
      </c>
      <c r="H295" s="1">
        <v>537.24299999999994</v>
      </c>
      <c r="I295" s="1">
        <v>369.50850000000003</v>
      </c>
      <c r="J295" s="1">
        <v>218.322</v>
      </c>
      <c r="K295" s="1">
        <v>284.90250000000003</v>
      </c>
      <c r="L295" s="1">
        <v>292.428</v>
      </c>
      <c r="M295" s="1">
        <v>413.02049999999997</v>
      </c>
      <c r="N295" s="4">
        <f t="shared" si="4"/>
        <v>19.129881398458252</v>
      </c>
      <c r="O295" s="1">
        <v>198.55650000000003</v>
      </c>
      <c r="P295" s="4">
        <f t="shared" si="6"/>
        <v>158.18566764874498</v>
      </c>
      <c r="Q295" s="4">
        <v>378.97500000000002</v>
      </c>
      <c r="R295" s="4">
        <f t="shared" si="5"/>
        <v>31.965567189300902</v>
      </c>
      <c r="S295" s="1">
        <v>232.815</v>
      </c>
      <c r="T295" s="1">
        <v>578.31000000000006</v>
      </c>
      <c r="U295" s="1">
        <v>602.49149999999997</v>
      </c>
      <c r="V295" s="1">
        <v>482.178</v>
      </c>
      <c r="W295" s="1">
        <v>240.5085</v>
      </c>
      <c r="X295" s="1">
        <v>836.63700000000006</v>
      </c>
      <c r="Y295" s="1">
        <v>475.11300000000006</v>
      </c>
      <c r="Z295" s="1">
        <v>337.041</v>
      </c>
      <c r="AA295" s="3">
        <v>15000</v>
      </c>
      <c r="AB295" s="1">
        <v>5453.2470000000003</v>
      </c>
    </row>
    <row r="296" spans="1:28" x14ac:dyDescent="0.25">
      <c r="A296" s="1">
        <v>295</v>
      </c>
      <c r="B296" s="2">
        <v>54575</v>
      </c>
      <c r="C296" s="1">
        <v>663.37950000000001</v>
      </c>
      <c r="D296" s="1">
        <v>82.445999999999998</v>
      </c>
      <c r="E296" s="1">
        <v>388.15049999999997</v>
      </c>
      <c r="F296" s="1">
        <v>428.59950000000003</v>
      </c>
      <c r="G296" s="1">
        <v>129.327</v>
      </c>
      <c r="H296" s="1">
        <v>537.06000000000006</v>
      </c>
      <c r="I296" s="1">
        <v>369.67499999999995</v>
      </c>
      <c r="J296" s="1">
        <v>217.79999999999998</v>
      </c>
      <c r="K296" s="1">
        <v>282.21299999999997</v>
      </c>
      <c r="L296" s="1">
        <v>291.1755</v>
      </c>
      <c r="M296" s="1">
        <v>410.54999999999995</v>
      </c>
      <c r="N296" s="4">
        <f t="shared" si="4"/>
        <v>18.938582584473668</v>
      </c>
      <c r="O296" s="1">
        <v>197.54999999999998</v>
      </c>
      <c r="P296" s="4">
        <f t="shared" si="6"/>
        <v>156.60381097225752</v>
      </c>
      <c r="Q296" s="4">
        <v>379.40250000000003</v>
      </c>
      <c r="R296" s="4">
        <f t="shared" si="5"/>
        <v>31.645911517407892</v>
      </c>
      <c r="S296" s="1">
        <v>233.4495</v>
      </c>
      <c r="T296" s="1">
        <v>579.72450000000003</v>
      </c>
      <c r="U296" s="1">
        <v>599.32500000000005</v>
      </c>
      <c r="V296" s="1">
        <v>478.5</v>
      </c>
      <c r="W296" s="1">
        <v>240.10050000000001</v>
      </c>
      <c r="X296" s="1">
        <v>832.92450000000008</v>
      </c>
      <c r="Y296" s="1">
        <v>474.46199999999999</v>
      </c>
      <c r="Z296" s="1">
        <v>336.12450000000001</v>
      </c>
      <c r="AA296" s="3">
        <v>15000</v>
      </c>
      <c r="AB296" s="1">
        <v>5434.8580000000002</v>
      </c>
    </row>
    <row r="297" spans="1:28" x14ac:dyDescent="0.25">
      <c r="A297" s="1">
        <v>296</v>
      </c>
      <c r="B297" s="2">
        <v>54605</v>
      </c>
      <c r="C297" s="1">
        <v>657.88049999999998</v>
      </c>
      <c r="D297" s="1">
        <v>82.02</v>
      </c>
      <c r="E297" s="1">
        <v>387.22950000000003</v>
      </c>
      <c r="F297" s="1">
        <v>426.024</v>
      </c>
      <c r="G297" s="1">
        <v>129.285</v>
      </c>
      <c r="H297" s="1">
        <v>536.91300000000001</v>
      </c>
      <c r="I297" s="1">
        <v>369.89550000000003</v>
      </c>
      <c r="J297" s="1">
        <v>217.35449999999997</v>
      </c>
      <c r="K297" s="1">
        <v>280.089</v>
      </c>
      <c r="L297" s="1">
        <v>289.959</v>
      </c>
      <c r="M297" s="1">
        <v>407.80649999999997</v>
      </c>
      <c r="N297" s="4">
        <f t="shared" si="4"/>
        <v>18.74919675862893</v>
      </c>
      <c r="O297" s="1">
        <v>196.37850000000003</v>
      </c>
      <c r="P297" s="4">
        <f t="shared" si="6"/>
        <v>155.03777286253495</v>
      </c>
      <c r="Q297" s="4">
        <v>379.75049999999999</v>
      </c>
      <c r="R297" s="4">
        <f t="shared" si="5"/>
        <v>31.329452402233812</v>
      </c>
      <c r="S297" s="1">
        <v>233.928</v>
      </c>
      <c r="T297" s="1">
        <v>580.37850000000003</v>
      </c>
      <c r="U297" s="1">
        <v>596.51549999999997</v>
      </c>
      <c r="V297" s="1">
        <v>475.64549999999997</v>
      </c>
      <c r="W297" s="1">
        <v>239.661</v>
      </c>
      <c r="X297" s="1">
        <v>829.62149999999997</v>
      </c>
      <c r="Y297" s="1">
        <v>473.83050000000003</v>
      </c>
      <c r="Z297" s="1">
        <v>335.649</v>
      </c>
      <c r="AA297" s="3">
        <v>15000</v>
      </c>
      <c r="AB297" s="1">
        <v>5417.4459999999999</v>
      </c>
    </row>
    <row r="298" spans="1:28" x14ac:dyDescent="0.25">
      <c r="A298" s="1">
        <v>297</v>
      </c>
      <c r="B298" s="2">
        <v>54636</v>
      </c>
      <c r="C298" s="1">
        <v>652.63499999999999</v>
      </c>
      <c r="D298" s="1">
        <v>81.652500000000003</v>
      </c>
      <c r="E298" s="1">
        <v>386.35949999999997</v>
      </c>
      <c r="F298" s="1">
        <v>423.65250000000003</v>
      </c>
      <c r="G298" s="1">
        <v>128.7405</v>
      </c>
      <c r="H298" s="1">
        <v>536.70000000000005</v>
      </c>
      <c r="I298" s="1">
        <v>370.113</v>
      </c>
      <c r="J298" s="1">
        <v>216.89550000000003</v>
      </c>
      <c r="K298" s="1">
        <v>278.50350000000003</v>
      </c>
      <c r="L298" s="1">
        <v>288.87149999999997</v>
      </c>
      <c r="M298" s="1">
        <v>405.411</v>
      </c>
      <c r="N298" s="4">
        <f t="shared" si="4"/>
        <v>18.56170479104264</v>
      </c>
      <c r="O298" s="1">
        <v>195.411</v>
      </c>
      <c r="P298" s="4">
        <f t="shared" si="6"/>
        <v>153.48739513390959</v>
      </c>
      <c r="Q298" s="4">
        <v>380.10449999999997</v>
      </c>
      <c r="R298" s="4">
        <f t="shared" si="5"/>
        <v>31.016157878211473</v>
      </c>
      <c r="S298" s="1">
        <v>234.411</v>
      </c>
      <c r="T298" s="1">
        <v>580.452</v>
      </c>
      <c r="U298" s="1">
        <v>593.80649999999991</v>
      </c>
      <c r="V298" s="1">
        <v>473.08050000000003</v>
      </c>
      <c r="W298" s="1">
        <v>239.322</v>
      </c>
      <c r="X298" s="1">
        <v>826.52399999999989</v>
      </c>
      <c r="Y298" s="1">
        <v>473.23800000000006</v>
      </c>
      <c r="Z298" s="1">
        <v>335.10449999999997</v>
      </c>
      <c r="AA298" s="3">
        <v>15000</v>
      </c>
      <c r="AB298" s="1">
        <v>5400.8769999999995</v>
      </c>
    </row>
    <row r="299" spans="1:28" x14ac:dyDescent="0.25">
      <c r="A299" s="1">
        <v>298</v>
      </c>
      <c r="B299" s="2">
        <v>54667</v>
      </c>
      <c r="C299" s="1">
        <v>648.14099999999996</v>
      </c>
      <c r="D299" s="1">
        <v>81.284999999999997</v>
      </c>
      <c r="E299" s="1">
        <v>385.21800000000002</v>
      </c>
      <c r="F299" s="1">
        <v>421.01849999999996</v>
      </c>
      <c r="G299" s="1">
        <v>128.56649999999999</v>
      </c>
      <c r="H299" s="1">
        <v>536.577</v>
      </c>
      <c r="I299" s="1">
        <v>370.28550000000001</v>
      </c>
      <c r="J299" s="1">
        <v>216.375</v>
      </c>
      <c r="K299" s="1">
        <v>276.40199999999999</v>
      </c>
      <c r="L299" s="1">
        <v>287.57100000000003</v>
      </c>
      <c r="M299" s="1">
        <v>402.88350000000003</v>
      </c>
      <c r="N299" s="4">
        <f t="shared" si="4"/>
        <v>18.376087743132214</v>
      </c>
      <c r="O299" s="1">
        <v>194.41050000000001</v>
      </c>
      <c r="P299" s="4">
        <f t="shared" si="6"/>
        <v>151.95252118257048</v>
      </c>
      <c r="Q299" s="4">
        <v>380.43150000000003</v>
      </c>
      <c r="R299" s="4">
        <f t="shared" si="5"/>
        <v>30.705996299429358</v>
      </c>
      <c r="S299" s="1">
        <v>234.8835</v>
      </c>
      <c r="T299" s="1">
        <v>580.59300000000007</v>
      </c>
      <c r="U299" s="1">
        <v>590.3309999999999</v>
      </c>
      <c r="V299" s="1">
        <v>470.19600000000003</v>
      </c>
      <c r="W299" s="1">
        <v>238.84800000000001</v>
      </c>
      <c r="X299" s="1">
        <v>823.0440000000001</v>
      </c>
      <c r="Y299" s="1">
        <v>472.5675</v>
      </c>
      <c r="Z299" s="1">
        <v>334.45950000000005</v>
      </c>
      <c r="AA299" s="3">
        <v>15000</v>
      </c>
      <c r="AB299" s="1">
        <v>5382.9520000000002</v>
      </c>
    </row>
    <row r="300" spans="1:28" x14ac:dyDescent="0.25">
      <c r="A300" s="1">
        <v>299</v>
      </c>
      <c r="B300" s="2">
        <v>54697</v>
      </c>
      <c r="C300" s="1">
        <v>643.39649999999995</v>
      </c>
      <c r="D300" s="1">
        <v>80.908500000000004</v>
      </c>
      <c r="E300" s="1">
        <v>384.26550000000003</v>
      </c>
      <c r="F300" s="1">
        <v>418.95899999999995</v>
      </c>
      <c r="G300" s="1">
        <v>128.262</v>
      </c>
      <c r="H300" s="1">
        <v>536.41650000000004</v>
      </c>
      <c r="I300" s="1">
        <v>370.37850000000003</v>
      </c>
      <c r="J300" s="1">
        <v>215.976</v>
      </c>
      <c r="K300" s="1">
        <v>274.71750000000003</v>
      </c>
      <c r="L300" s="1">
        <v>286.56</v>
      </c>
      <c r="M300" s="1">
        <v>401.02049999999997</v>
      </c>
      <c r="N300" s="4">
        <f t="shared" si="4"/>
        <v>18.192326865700892</v>
      </c>
      <c r="O300" s="1">
        <v>193.64550000000003</v>
      </c>
      <c r="P300" s="4">
        <f t="shared" si="6"/>
        <v>150.43299597074477</v>
      </c>
      <c r="Q300" s="4">
        <v>380.77200000000005</v>
      </c>
      <c r="R300" s="4">
        <f t="shared" si="5"/>
        <v>30.398936336435064</v>
      </c>
      <c r="S300" s="1">
        <v>235.2585</v>
      </c>
      <c r="T300" s="1">
        <v>580.66949999999997</v>
      </c>
      <c r="U300" s="1">
        <v>587.46749999999997</v>
      </c>
      <c r="V300" s="1">
        <v>467.952</v>
      </c>
      <c r="W300" s="1">
        <v>238.476</v>
      </c>
      <c r="X300" s="1">
        <v>820.33049999999992</v>
      </c>
      <c r="Y300" s="1">
        <v>471.99149999999997</v>
      </c>
      <c r="Z300" s="1">
        <v>333.822</v>
      </c>
      <c r="AA300" s="3">
        <v>15000</v>
      </c>
      <c r="AB300" s="1">
        <v>5367.6410000000005</v>
      </c>
    </row>
    <row r="301" spans="1:28" x14ac:dyDescent="0.25">
      <c r="A301" s="1">
        <v>300</v>
      </c>
      <c r="B301" s="2">
        <v>54728</v>
      </c>
      <c r="C301" s="1">
        <v>639.06299999999999</v>
      </c>
      <c r="D301" s="1">
        <v>80.516999999999996</v>
      </c>
      <c r="E301" s="1">
        <v>383.0745</v>
      </c>
      <c r="F301" s="1">
        <v>416.54999999999995</v>
      </c>
      <c r="G301" s="1">
        <v>128.0085</v>
      </c>
      <c r="H301" s="1">
        <v>536.25450000000001</v>
      </c>
      <c r="I301" s="1">
        <v>370.5</v>
      </c>
      <c r="J301" s="1">
        <v>215.52449999999999</v>
      </c>
      <c r="K301" s="1">
        <v>272.76300000000003</v>
      </c>
      <c r="L301" s="1">
        <v>285.34950000000003</v>
      </c>
      <c r="M301" s="1">
        <v>398.93700000000001</v>
      </c>
      <c r="N301" s="4">
        <f t="shared" si="4"/>
        <v>18.010403597043883</v>
      </c>
      <c r="O301" s="1">
        <v>192.70050000000003</v>
      </c>
      <c r="P301" s="4">
        <f t="shared" si="6"/>
        <v>148.92866601103731</v>
      </c>
      <c r="Q301" s="4">
        <v>380.988</v>
      </c>
      <c r="R301" s="4">
        <f t="shared" si="5"/>
        <v>30.094946973070712</v>
      </c>
      <c r="S301" s="1">
        <v>235.62450000000001</v>
      </c>
      <c r="T301" s="1">
        <v>580.75049999999999</v>
      </c>
      <c r="U301" s="1">
        <v>584.14949999999999</v>
      </c>
      <c r="V301" s="1">
        <v>465.49950000000001</v>
      </c>
      <c r="W301" s="1">
        <v>238.07550000000003</v>
      </c>
      <c r="X301" s="1">
        <v>817.09949999999992</v>
      </c>
      <c r="Y301" s="1">
        <v>471.33750000000003</v>
      </c>
      <c r="Z301" s="1">
        <v>333.012</v>
      </c>
      <c r="AA301" s="3">
        <v>15000</v>
      </c>
      <c r="AB301" s="1">
        <v>5350.66</v>
      </c>
    </row>
    <row r="302" spans="1:28" x14ac:dyDescent="0.25">
      <c r="A302" s="1">
        <v>301</v>
      </c>
      <c r="B302" s="2">
        <v>54758</v>
      </c>
      <c r="C302" s="1">
        <v>634.70249999999999</v>
      </c>
      <c r="D302" s="1">
        <v>80.152500000000003</v>
      </c>
      <c r="E302" s="1">
        <v>381.93150000000003</v>
      </c>
      <c r="F302" s="1">
        <v>414.19350000000003</v>
      </c>
      <c r="G302" s="1">
        <v>127.63050000000001</v>
      </c>
      <c r="H302" s="1">
        <v>536.08500000000004</v>
      </c>
      <c r="I302" s="1">
        <v>370.5</v>
      </c>
      <c r="J302" s="1">
        <v>215.10449999999997</v>
      </c>
      <c r="K302" s="1">
        <v>271.089</v>
      </c>
      <c r="L302" s="1">
        <v>284.262</v>
      </c>
      <c r="M302" s="1">
        <v>397.125</v>
      </c>
      <c r="N302" s="4">
        <f t="shared" si="4"/>
        <v>17.830299561073446</v>
      </c>
      <c r="O302" s="1">
        <v>191.8785</v>
      </c>
      <c r="P302" s="4">
        <f t="shared" si="6"/>
        <v>147.43937935092694</v>
      </c>
      <c r="Q302" s="4">
        <v>381.1995</v>
      </c>
      <c r="R302" s="4">
        <f t="shared" si="5"/>
        <v>29.793997503340005</v>
      </c>
      <c r="S302" s="1">
        <v>236.0085</v>
      </c>
      <c r="T302" s="1">
        <v>580.74149999999997</v>
      </c>
      <c r="U302" s="1">
        <v>581.10450000000003</v>
      </c>
      <c r="V302" s="1">
        <v>463.11300000000006</v>
      </c>
      <c r="W302" s="1">
        <v>237.62850000000003</v>
      </c>
      <c r="X302" s="1">
        <v>814.40249999999992</v>
      </c>
      <c r="Y302" s="1">
        <v>470.72249999999997</v>
      </c>
      <c r="Z302" s="1">
        <v>332.178</v>
      </c>
      <c r="AA302" s="3">
        <v>15000</v>
      </c>
      <c r="AB302" s="1">
        <v>5334.6029999999992</v>
      </c>
    </row>
    <row r="303" spans="1:28" x14ac:dyDescent="0.25">
      <c r="A303" s="1">
        <v>302</v>
      </c>
      <c r="B303" s="2">
        <v>54789</v>
      </c>
      <c r="C303" s="1">
        <v>630.73800000000006</v>
      </c>
      <c r="D303" s="1">
        <v>79.772999999999996</v>
      </c>
      <c r="E303" s="1">
        <v>380.625</v>
      </c>
      <c r="F303" s="1">
        <v>411.77549999999997</v>
      </c>
      <c r="G303" s="1">
        <v>127.38600000000001</v>
      </c>
      <c r="H303" s="1">
        <v>535.93799999999999</v>
      </c>
      <c r="I303" s="1">
        <v>370.5</v>
      </c>
      <c r="J303" s="1">
        <v>214.64999999999998</v>
      </c>
      <c r="K303" s="1">
        <v>269.18700000000001</v>
      </c>
      <c r="L303" s="1">
        <v>283.04999999999995</v>
      </c>
      <c r="M303" s="1">
        <v>395.21250000000003</v>
      </c>
      <c r="N303" s="4">
        <f t="shared" si="4"/>
        <v>17.65199656546271</v>
      </c>
      <c r="O303" s="1">
        <v>190.875</v>
      </c>
      <c r="P303" s="4">
        <f t="shared" si="6"/>
        <v>145.96498555741766</v>
      </c>
      <c r="Q303" s="4">
        <v>381.351</v>
      </c>
      <c r="R303" s="4">
        <f t="shared" si="5"/>
        <v>29.496057528306604</v>
      </c>
      <c r="S303" s="1">
        <v>236.37450000000001</v>
      </c>
      <c r="T303" s="1">
        <v>580.65000000000009</v>
      </c>
      <c r="U303" s="1">
        <v>577.95000000000005</v>
      </c>
      <c r="V303" s="1">
        <v>460.65000000000003</v>
      </c>
      <c r="W303" s="1">
        <v>237.25049999999999</v>
      </c>
      <c r="X303" s="1">
        <v>811.30049999999994</v>
      </c>
      <c r="Y303" s="1">
        <v>470.03700000000003</v>
      </c>
      <c r="Z303" s="1">
        <v>331.17449999999997</v>
      </c>
      <c r="AA303" s="3">
        <v>15000</v>
      </c>
      <c r="AB303" s="1">
        <v>5317.6810000000005</v>
      </c>
    </row>
    <row r="304" spans="1:28" x14ac:dyDescent="0.25">
      <c r="A304" s="1">
        <v>303</v>
      </c>
      <c r="B304" s="2">
        <v>54820</v>
      </c>
      <c r="C304" s="1">
        <v>626.7645</v>
      </c>
      <c r="D304" s="1">
        <v>79.408500000000004</v>
      </c>
      <c r="E304" s="1">
        <v>379.33050000000003</v>
      </c>
      <c r="F304" s="1">
        <v>409.452</v>
      </c>
      <c r="G304" s="1">
        <v>126.33150000000001</v>
      </c>
      <c r="H304" s="1">
        <v>535.82549999999992</v>
      </c>
      <c r="I304" s="1">
        <v>370.452</v>
      </c>
      <c r="J304" s="1">
        <v>214.28249999999997</v>
      </c>
      <c r="K304" s="1">
        <v>267.375</v>
      </c>
      <c r="L304" s="1">
        <v>281.94</v>
      </c>
      <c r="M304" s="1">
        <v>393.45899999999995</v>
      </c>
      <c r="N304" s="4">
        <f t="shared" si="4"/>
        <v>17.475476599808083</v>
      </c>
      <c r="O304" s="1">
        <v>189.9195</v>
      </c>
      <c r="P304" s="4">
        <f t="shared" si="6"/>
        <v>144.50533570184348</v>
      </c>
      <c r="Q304" s="4">
        <v>381.42449999999997</v>
      </c>
      <c r="R304" s="4">
        <f t="shared" si="5"/>
        <v>29.201096953023537</v>
      </c>
      <c r="S304" s="1">
        <v>236.7585</v>
      </c>
      <c r="T304" s="1">
        <v>580.524</v>
      </c>
      <c r="U304" s="1">
        <v>575.03250000000003</v>
      </c>
      <c r="V304" s="1">
        <v>458.41949999999997</v>
      </c>
      <c r="W304" s="1">
        <v>236.80650000000003</v>
      </c>
      <c r="X304" s="1">
        <v>808.548</v>
      </c>
      <c r="Y304" s="1">
        <v>469.37849999999997</v>
      </c>
      <c r="Z304" s="1">
        <v>330.15749999999997</v>
      </c>
      <c r="AA304" s="3">
        <v>15000</v>
      </c>
      <c r="AB304" s="1">
        <v>5301.0829999999996</v>
      </c>
    </row>
    <row r="305" spans="1:28" x14ac:dyDescent="0.25">
      <c r="A305" s="1">
        <v>304</v>
      </c>
      <c r="B305" s="2">
        <v>54848</v>
      </c>
      <c r="C305" s="1">
        <v>622.86599999999999</v>
      </c>
      <c r="D305" s="1">
        <v>79.018500000000003</v>
      </c>
      <c r="E305" s="1">
        <v>378.012</v>
      </c>
      <c r="F305" s="1">
        <v>407.15250000000003</v>
      </c>
      <c r="G305" s="1">
        <v>125.66399999999999</v>
      </c>
      <c r="H305" s="1">
        <v>535.66050000000007</v>
      </c>
      <c r="I305" s="1">
        <v>370.37850000000003</v>
      </c>
      <c r="J305" s="1">
        <v>213.87149999999997</v>
      </c>
      <c r="K305" s="1">
        <v>265.59749999999997</v>
      </c>
      <c r="L305" s="1">
        <v>280.839</v>
      </c>
      <c r="M305" s="1">
        <v>391.74149999999997</v>
      </c>
      <c r="N305" s="4">
        <f t="shared" si="4"/>
        <v>17.300721833810002</v>
      </c>
      <c r="O305" s="1">
        <v>188.952</v>
      </c>
      <c r="P305" s="4">
        <f t="shared" si="6"/>
        <v>143.06028234482505</v>
      </c>
      <c r="Q305" s="4">
        <v>381.459</v>
      </c>
      <c r="R305" s="4">
        <f t="shared" si="5"/>
        <v>28.909085983493302</v>
      </c>
      <c r="S305" s="1">
        <v>237.14550000000003</v>
      </c>
      <c r="T305" s="1">
        <v>580.30649999999991</v>
      </c>
      <c r="U305" s="1">
        <v>572.25</v>
      </c>
      <c r="V305" s="1">
        <v>456.14549999999997</v>
      </c>
      <c r="W305" s="1">
        <v>236.4195</v>
      </c>
      <c r="X305" s="1">
        <v>805.83899999999994</v>
      </c>
      <c r="Y305" s="1">
        <v>468.702</v>
      </c>
      <c r="Z305" s="1">
        <v>329.06849999999997</v>
      </c>
      <c r="AA305" s="3">
        <v>15000</v>
      </c>
      <c r="AB305" s="1">
        <v>5284.7259999999997</v>
      </c>
    </row>
    <row r="306" spans="1:28" x14ac:dyDescent="0.25">
      <c r="A306" s="1">
        <v>305</v>
      </c>
      <c r="B306" s="2">
        <v>54879</v>
      </c>
      <c r="C306" s="1">
        <v>619.23900000000003</v>
      </c>
      <c r="D306" s="1">
        <v>78.661500000000004</v>
      </c>
      <c r="E306" s="1">
        <v>376.52549999999997</v>
      </c>
      <c r="F306" s="1">
        <v>404.65049999999997</v>
      </c>
      <c r="G306" s="1">
        <v>125.15849999999999</v>
      </c>
      <c r="H306" s="1">
        <v>535.52250000000004</v>
      </c>
      <c r="I306" s="1">
        <v>370.22550000000001</v>
      </c>
      <c r="J306" s="1">
        <v>213.47550000000001</v>
      </c>
      <c r="K306" s="1">
        <v>263.85000000000002</v>
      </c>
      <c r="L306" s="1">
        <v>279.66300000000001</v>
      </c>
      <c r="M306" s="1">
        <v>390.01199999999994</v>
      </c>
      <c r="N306" s="4">
        <f t="shared" si="4"/>
        <v>17.127714615471902</v>
      </c>
      <c r="O306" s="1">
        <v>187.90049999999999</v>
      </c>
      <c r="P306" s="4">
        <f t="shared" si="6"/>
        <v>141.6296795213768</v>
      </c>
      <c r="Q306" s="4">
        <v>381.459</v>
      </c>
      <c r="R306" s="4">
        <f t="shared" si="5"/>
        <v>28.61999512365837</v>
      </c>
      <c r="S306" s="1">
        <v>237.52499999999998</v>
      </c>
      <c r="T306" s="1">
        <v>579.92550000000006</v>
      </c>
      <c r="U306" s="1">
        <v>569.42550000000006</v>
      </c>
      <c r="V306" s="1">
        <v>453.79950000000002</v>
      </c>
      <c r="W306" s="1">
        <v>235.97550000000001</v>
      </c>
      <c r="X306" s="1">
        <v>802.94999999999993</v>
      </c>
      <c r="Y306" s="1">
        <v>467.95049999999998</v>
      </c>
      <c r="Z306" s="1">
        <v>327.88800000000003</v>
      </c>
      <c r="AA306" s="3">
        <v>15000</v>
      </c>
      <c r="AB306" s="1">
        <v>5267.799</v>
      </c>
    </row>
    <row r="307" spans="1:28" x14ac:dyDescent="0.25">
      <c r="A307" s="1">
        <v>306</v>
      </c>
      <c r="B307" s="2">
        <v>54909</v>
      </c>
      <c r="C307" s="1">
        <v>615.471</v>
      </c>
      <c r="D307" s="1">
        <v>78.286500000000004</v>
      </c>
      <c r="E307" s="1">
        <v>375.012</v>
      </c>
      <c r="F307" s="1">
        <v>413.25</v>
      </c>
      <c r="G307" s="1">
        <v>125.44499999999999</v>
      </c>
      <c r="H307" s="1">
        <v>535.40100000000007</v>
      </c>
      <c r="I307" s="1">
        <v>370.863</v>
      </c>
      <c r="J307" s="1">
        <v>213.12149999999997</v>
      </c>
      <c r="K307" s="1">
        <v>276.666</v>
      </c>
      <c r="L307" s="1">
        <v>278.589</v>
      </c>
      <c r="M307" s="1">
        <v>399.375</v>
      </c>
      <c r="N307" s="4">
        <f t="shared" si="4"/>
        <v>16.956437469317184</v>
      </c>
      <c r="O307" s="1">
        <f>O306*0.99</f>
        <v>186.02149499999999</v>
      </c>
      <c r="P307" s="4">
        <f t="shared" si="6"/>
        <v>140.21338272616302</v>
      </c>
      <c r="Q307" s="4">
        <v>381.375</v>
      </c>
      <c r="R307" s="4">
        <f t="shared" si="5"/>
        <v>28.333795172421787</v>
      </c>
      <c r="S307" s="1">
        <v>238.62149999999997</v>
      </c>
      <c r="T307" s="1">
        <v>579.41100000000006</v>
      </c>
      <c r="U307" s="1">
        <v>593.63699999999994</v>
      </c>
      <c r="V307" s="1">
        <v>521.46749999999997</v>
      </c>
      <c r="W307" s="1">
        <v>235.5975</v>
      </c>
      <c r="X307" s="1">
        <v>799.88700000000006</v>
      </c>
      <c r="Y307" s="1">
        <v>466.65750000000003</v>
      </c>
      <c r="Z307" s="1">
        <v>328.149</v>
      </c>
      <c r="AA307" s="3">
        <v>15000</v>
      </c>
      <c r="AB307" s="1">
        <v>5230.2878999999994</v>
      </c>
    </row>
    <row r="308" spans="1:28" x14ac:dyDescent="0.25">
      <c r="A308" s="1">
        <v>307</v>
      </c>
      <c r="B308" s="2">
        <v>54940</v>
      </c>
      <c r="C308" s="1">
        <v>612.03600000000006</v>
      </c>
      <c r="D308" s="1">
        <v>77.941499999999991</v>
      </c>
      <c r="E308" s="1">
        <v>374.59950000000003</v>
      </c>
      <c r="F308" s="1">
        <v>412.79999999999995</v>
      </c>
      <c r="G308" s="1">
        <v>124.92</v>
      </c>
      <c r="H308" s="1">
        <v>535.27800000000002</v>
      </c>
      <c r="I308" s="1">
        <v>371.57550000000003</v>
      </c>
      <c r="J308" s="1">
        <v>212.52449999999999</v>
      </c>
      <c r="K308" s="1">
        <v>277.03800000000001</v>
      </c>
      <c r="L308" s="1">
        <v>277.93799999999999</v>
      </c>
      <c r="M308" s="1">
        <v>399.67499999999995</v>
      </c>
      <c r="N308" s="4">
        <f t="shared" si="4"/>
        <v>16.78687309462401</v>
      </c>
      <c r="O308" s="4">
        <f t="shared" ref="O308:O371" si="7">O307*0.99</f>
        <v>184.16128004999999</v>
      </c>
      <c r="P308" s="4">
        <f t="shared" si="6"/>
        <v>138.8112488989014</v>
      </c>
      <c r="Q308" s="4">
        <v>382.35449999999997</v>
      </c>
      <c r="R308" s="4">
        <f t="shared" si="5"/>
        <v>28.05045722069757</v>
      </c>
      <c r="S308" s="1">
        <v>239.85000000000002</v>
      </c>
      <c r="T308" s="1">
        <v>578.89949999999999</v>
      </c>
      <c r="U308" s="1">
        <v>594.87450000000001</v>
      </c>
      <c r="V308" s="1">
        <v>526.5</v>
      </c>
      <c r="W308" s="1">
        <v>235.125</v>
      </c>
      <c r="X308" s="1">
        <v>797.80049999999994</v>
      </c>
      <c r="Y308" s="1">
        <v>466.01250000000005</v>
      </c>
      <c r="Z308" s="1">
        <v>328.24950000000001</v>
      </c>
      <c r="AA308" s="3">
        <v>15000</v>
      </c>
      <c r="AB308" s="1">
        <v>5217.9920000000002</v>
      </c>
    </row>
    <row r="309" spans="1:28" x14ac:dyDescent="0.25">
      <c r="A309" s="1">
        <v>308</v>
      </c>
      <c r="B309" s="2">
        <v>54970</v>
      </c>
      <c r="C309" s="1">
        <v>608.54849999999999</v>
      </c>
      <c r="D309" s="1">
        <v>77.566499999999991</v>
      </c>
      <c r="E309" s="1">
        <v>374.15250000000003</v>
      </c>
      <c r="F309" s="1">
        <v>411.14549999999997</v>
      </c>
      <c r="G309" s="1">
        <v>125.04900000000001</v>
      </c>
      <c r="H309" s="1">
        <v>535.16399999999999</v>
      </c>
      <c r="I309" s="1">
        <v>372.53249999999997</v>
      </c>
      <c r="J309" s="1">
        <v>211.839</v>
      </c>
      <c r="K309" s="1">
        <v>275.553</v>
      </c>
      <c r="L309" s="1">
        <v>277.149</v>
      </c>
      <c r="M309" s="1">
        <v>398.661</v>
      </c>
      <c r="N309" s="4">
        <f t="shared" si="4"/>
        <v>16.619004363677771</v>
      </c>
      <c r="O309" s="4">
        <f t="shared" si="7"/>
        <v>182.31966724949999</v>
      </c>
      <c r="P309" s="4">
        <f t="shared" si="6"/>
        <v>137.42313640991239</v>
      </c>
      <c r="Q309" s="4">
        <v>383.35050000000001</v>
      </c>
      <c r="R309" s="4">
        <f t="shared" si="5"/>
        <v>27.769952648490595</v>
      </c>
      <c r="S309" s="1">
        <v>241.3305</v>
      </c>
      <c r="T309" s="1">
        <v>578.34749999999997</v>
      </c>
      <c r="U309" s="1">
        <v>593.58899999999994</v>
      </c>
      <c r="V309" s="1">
        <v>524.46749999999997</v>
      </c>
      <c r="W309" s="1">
        <v>234.5085</v>
      </c>
      <c r="X309" s="1">
        <v>796.25850000000014</v>
      </c>
      <c r="Y309" s="1">
        <v>465.786</v>
      </c>
      <c r="Z309" s="1">
        <v>328.62149999999997</v>
      </c>
      <c r="AA309" s="3">
        <v>15000</v>
      </c>
      <c r="AB309" s="1">
        <v>5209.9650000000001</v>
      </c>
    </row>
    <row r="310" spans="1:28" x14ac:dyDescent="0.25">
      <c r="A310" s="1">
        <v>309</v>
      </c>
      <c r="B310" s="2">
        <v>55001</v>
      </c>
      <c r="C310" s="1">
        <v>605.19299999999998</v>
      </c>
      <c r="D310" s="1">
        <v>77.188500000000005</v>
      </c>
      <c r="E310" s="1">
        <v>373.161</v>
      </c>
      <c r="F310" s="1">
        <v>409.30649999999997</v>
      </c>
      <c r="G310" s="1">
        <v>124.60049999999998</v>
      </c>
      <c r="H310" s="1">
        <v>535.04549999999995</v>
      </c>
      <c r="I310" s="1">
        <v>373.524</v>
      </c>
      <c r="J310" s="1">
        <v>211.185</v>
      </c>
      <c r="K310" s="1">
        <v>273.798</v>
      </c>
      <c r="L310" s="1">
        <v>276.15749999999997</v>
      </c>
      <c r="M310" s="1">
        <v>397.524</v>
      </c>
      <c r="N310" s="4">
        <f t="shared" si="4"/>
        <v>16.452814320040993</v>
      </c>
      <c r="O310" s="4">
        <f t="shared" si="7"/>
        <v>180.49647057700497</v>
      </c>
      <c r="P310" s="4">
        <f t="shared" si="6"/>
        <v>136.04890504581326</v>
      </c>
      <c r="Q310" s="4">
        <v>384.678</v>
      </c>
      <c r="R310" s="4">
        <f t="shared" si="5"/>
        <v>27.492253122005689</v>
      </c>
      <c r="S310" s="1">
        <v>242.976</v>
      </c>
      <c r="T310" s="1">
        <v>577.93500000000006</v>
      </c>
      <c r="U310" s="1">
        <v>592.13699999999994</v>
      </c>
      <c r="V310" s="1">
        <v>522.62850000000003</v>
      </c>
      <c r="W310" s="1">
        <v>233.80650000000003</v>
      </c>
      <c r="X310" s="1">
        <v>795</v>
      </c>
      <c r="Y310" s="1">
        <v>465.96749999999997</v>
      </c>
      <c r="Z310" s="1">
        <v>329.19</v>
      </c>
      <c r="AA310" s="3">
        <v>15000</v>
      </c>
      <c r="AB310" s="1">
        <v>5201.5869999999986</v>
      </c>
    </row>
    <row r="311" spans="1:28" x14ac:dyDescent="0.25">
      <c r="A311" s="1">
        <v>310</v>
      </c>
      <c r="B311" s="2">
        <v>55032</v>
      </c>
      <c r="C311" s="1">
        <v>602.26049999999998</v>
      </c>
      <c r="D311" s="1">
        <v>76.878</v>
      </c>
      <c r="E311" s="1">
        <v>371.6925</v>
      </c>
      <c r="F311" s="1">
        <v>407.625</v>
      </c>
      <c r="G311" s="1">
        <v>124.3215</v>
      </c>
      <c r="H311" s="1">
        <v>534.93000000000006</v>
      </c>
      <c r="I311" s="1">
        <v>374.08949999999999</v>
      </c>
      <c r="J311" s="1">
        <v>210.6165</v>
      </c>
      <c r="K311" s="1">
        <v>272.11649999999997</v>
      </c>
      <c r="L311" s="1">
        <v>275.16899999999998</v>
      </c>
      <c r="M311" s="1">
        <v>396.4425</v>
      </c>
      <c r="N311" s="4">
        <f t="shared" si="4"/>
        <v>16.288286176840582</v>
      </c>
      <c r="O311" s="4">
        <f t="shared" si="7"/>
        <v>178.69150587123491</v>
      </c>
      <c r="P311" s="4">
        <f t="shared" si="6"/>
        <v>134.68841599535511</v>
      </c>
      <c r="Q311" s="4">
        <v>386.05649999999997</v>
      </c>
      <c r="R311" s="4">
        <f t="shared" si="5"/>
        <v>27.217330590785632</v>
      </c>
      <c r="S311" s="1">
        <v>244.125</v>
      </c>
      <c r="T311" s="1">
        <v>577.71449999999993</v>
      </c>
      <c r="U311" s="1">
        <v>590.5440000000001</v>
      </c>
      <c r="V311" s="1">
        <v>521.19600000000003</v>
      </c>
      <c r="W311" s="1">
        <v>233.16899999999998</v>
      </c>
      <c r="X311" s="1">
        <v>793.55399999999986</v>
      </c>
      <c r="Y311" s="1">
        <v>466.07100000000003</v>
      </c>
      <c r="Z311" s="1">
        <v>328.8075</v>
      </c>
      <c r="AA311" s="3">
        <v>15000</v>
      </c>
      <c r="AB311" s="1">
        <v>5192.1790000000001</v>
      </c>
    </row>
    <row r="312" spans="1:28" x14ac:dyDescent="0.25">
      <c r="A312" s="1">
        <v>311</v>
      </c>
      <c r="B312" s="2">
        <v>55062</v>
      </c>
      <c r="C312" s="1">
        <v>599.1690000000001</v>
      </c>
      <c r="D312" s="1">
        <v>76.573499999999996</v>
      </c>
      <c r="E312" s="1">
        <v>370.60950000000003</v>
      </c>
      <c r="F312" s="1">
        <v>406.30649999999997</v>
      </c>
      <c r="G312" s="1">
        <v>123.762</v>
      </c>
      <c r="H312" s="1">
        <v>534.83399999999995</v>
      </c>
      <c r="I312" s="1">
        <v>374.37149999999997</v>
      </c>
      <c r="J312" s="1">
        <v>210.0975</v>
      </c>
      <c r="K312" s="1">
        <v>270.822</v>
      </c>
      <c r="L312" s="1">
        <v>274.37850000000003</v>
      </c>
      <c r="M312" s="1">
        <v>395.625</v>
      </c>
      <c r="N312" s="4">
        <f t="shared" si="4"/>
        <v>16.125403315072177</v>
      </c>
      <c r="O312" s="4">
        <f t="shared" si="7"/>
        <v>176.90459081252257</v>
      </c>
      <c r="P312" s="4">
        <f t="shared" si="6"/>
        <v>133.34153183540155</v>
      </c>
      <c r="Q312" s="4">
        <v>386.94600000000003</v>
      </c>
      <c r="R312" s="4">
        <f t="shared" si="5"/>
        <v>26.945157284877777</v>
      </c>
      <c r="S312" s="1">
        <v>244.935</v>
      </c>
      <c r="T312" s="1">
        <v>577.452</v>
      </c>
      <c r="U312" s="1">
        <v>589.23450000000003</v>
      </c>
      <c r="V312" s="1">
        <v>520.20899999999995</v>
      </c>
      <c r="W312" s="1">
        <v>232.71750000000003</v>
      </c>
      <c r="X312" s="1">
        <v>791.952</v>
      </c>
      <c r="Y312" s="1">
        <v>465.96749999999997</v>
      </c>
      <c r="Z312" s="1">
        <v>328.791</v>
      </c>
      <c r="AA312" s="3">
        <v>15000</v>
      </c>
      <c r="AB312" s="1">
        <v>5183.5600000000004</v>
      </c>
    </row>
    <row r="313" spans="1:28" x14ac:dyDescent="0.25">
      <c r="A313" s="1">
        <v>312</v>
      </c>
      <c r="B313" s="2">
        <v>55093</v>
      </c>
      <c r="C313" s="1">
        <v>596.23950000000002</v>
      </c>
      <c r="D313" s="1">
        <v>76.147500000000008</v>
      </c>
      <c r="E313" s="1">
        <v>369.40049999999997</v>
      </c>
      <c r="F313" s="1">
        <v>404.72550000000001</v>
      </c>
      <c r="G313" s="1">
        <v>123.2055</v>
      </c>
      <c r="H313" s="1">
        <v>534.69299999999998</v>
      </c>
      <c r="I313" s="1">
        <v>374.67449999999997</v>
      </c>
      <c r="J313" s="1">
        <v>209.57550000000003</v>
      </c>
      <c r="K313" s="1">
        <v>269.29949999999997</v>
      </c>
      <c r="L313" s="1">
        <v>273.49950000000001</v>
      </c>
      <c r="M313" s="1">
        <v>394.66200000000003</v>
      </c>
      <c r="N313" s="4">
        <f t="shared" si="4"/>
        <v>15.964149281921454</v>
      </c>
      <c r="O313" s="4">
        <f t="shared" si="7"/>
        <v>175.13554490439734</v>
      </c>
      <c r="P313" s="4">
        <f t="shared" si="6"/>
        <v>132.00811651704754</v>
      </c>
      <c r="Q313" s="4">
        <v>387.53250000000003</v>
      </c>
      <c r="R313" s="4">
        <f t="shared" si="5"/>
        <v>26.675705712029</v>
      </c>
      <c r="S313" s="1">
        <v>245.92499999999998</v>
      </c>
      <c r="T313" s="1">
        <v>577.07549999999992</v>
      </c>
      <c r="U313" s="1">
        <v>587.67450000000008</v>
      </c>
      <c r="V313" s="1">
        <v>519</v>
      </c>
      <c r="W313" s="1">
        <v>232.15049999999999</v>
      </c>
      <c r="X313" s="1">
        <v>790.09949999999992</v>
      </c>
      <c r="Y313" s="1">
        <v>465.75</v>
      </c>
      <c r="Z313" s="1">
        <v>328.58699999999999</v>
      </c>
      <c r="AA313" s="3">
        <v>15000</v>
      </c>
      <c r="AB313" s="1">
        <v>5173.6899999999996</v>
      </c>
    </row>
    <row r="314" spans="1:28" x14ac:dyDescent="0.25">
      <c r="A314" s="1">
        <v>313</v>
      </c>
      <c r="B314" s="2">
        <v>55123</v>
      </c>
      <c r="C314" s="1">
        <v>593.38049999999998</v>
      </c>
      <c r="D314" s="1">
        <v>75.781499999999994</v>
      </c>
      <c r="E314" s="1">
        <v>367.75350000000003</v>
      </c>
      <c r="F314" s="1">
        <v>403.35450000000003</v>
      </c>
      <c r="G314" s="1">
        <v>122.97</v>
      </c>
      <c r="H314" s="1">
        <v>534.59699999999998</v>
      </c>
      <c r="I314" s="1">
        <v>374.87850000000003</v>
      </c>
      <c r="J314" s="1">
        <v>209.05650000000003</v>
      </c>
      <c r="K314" s="1">
        <v>267.94349999999997</v>
      </c>
      <c r="L314" s="1">
        <v>272.709</v>
      </c>
      <c r="M314" s="1">
        <v>393.798</v>
      </c>
      <c r="N314" s="4">
        <f t="shared" si="4"/>
        <v>15.804507789102239</v>
      </c>
      <c r="O314" s="4">
        <f t="shared" si="7"/>
        <v>173.38418945535335</v>
      </c>
      <c r="P314" s="4">
        <f t="shared" si="6"/>
        <v>130.68803535187706</v>
      </c>
      <c r="Q314" s="4">
        <v>388.15049999999997</v>
      </c>
      <c r="R314" s="4">
        <f t="shared" si="5"/>
        <v>26.408948654908709</v>
      </c>
      <c r="S314" s="1">
        <v>246.774</v>
      </c>
      <c r="T314" s="1">
        <v>576.65250000000003</v>
      </c>
      <c r="U314" s="1">
        <v>586.20899999999995</v>
      </c>
      <c r="V314" s="1">
        <v>518.03250000000003</v>
      </c>
      <c r="W314" s="1">
        <v>231.60449999999997</v>
      </c>
      <c r="X314" s="1">
        <v>788.03250000000003</v>
      </c>
      <c r="Y314" s="1">
        <v>465.38699999999994</v>
      </c>
      <c r="Z314" s="1">
        <v>328.22249999999997</v>
      </c>
      <c r="AA314" s="3">
        <v>15000</v>
      </c>
      <c r="AB314" s="1">
        <v>5163.8550000000005</v>
      </c>
    </row>
    <row r="315" spans="1:28" x14ac:dyDescent="0.25">
      <c r="A315" s="1">
        <v>314</v>
      </c>
      <c r="B315" s="2">
        <v>55154</v>
      </c>
      <c r="C315" s="1">
        <v>590.67450000000008</v>
      </c>
      <c r="D315" s="1">
        <v>75.45150000000001</v>
      </c>
      <c r="E315" s="1">
        <v>365.77499999999998</v>
      </c>
      <c r="F315" s="1">
        <v>401.72550000000001</v>
      </c>
      <c r="G315" s="1">
        <v>123.27900000000001</v>
      </c>
      <c r="H315" s="1">
        <v>534.52200000000005</v>
      </c>
      <c r="I315" s="1">
        <v>375</v>
      </c>
      <c r="J315" s="1">
        <v>208.47450000000001</v>
      </c>
      <c r="K315" s="1">
        <v>266.46299999999997</v>
      </c>
      <c r="L315" s="1">
        <v>271.875</v>
      </c>
      <c r="M315" s="1">
        <v>392.88750000000005</v>
      </c>
      <c r="N315" s="4">
        <f t="shared" si="4"/>
        <v>15.646462711211216</v>
      </c>
      <c r="O315" s="4">
        <f t="shared" si="7"/>
        <v>171.65034756079982</v>
      </c>
      <c r="P315" s="4">
        <f t="shared" si="6"/>
        <v>129.38115499835828</v>
      </c>
      <c r="Q315" s="4">
        <v>388.64549999999997</v>
      </c>
      <c r="R315" s="4">
        <f t="shared" si="5"/>
        <v>26.144859168359623</v>
      </c>
      <c r="S315" s="1">
        <v>247.57500000000002</v>
      </c>
      <c r="T315" s="1">
        <v>576.15000000000009</v>
      </c>
      <c r="U315" s="1">
        <v>584.65049999999997</v>
      </c>
      <c r="V315" s="1">
        <v>516.85050000000001</v>
      </c>
      <c r="W315" s="1">
        <v>231.12450000000001</v>
      </c>
      <c r="X315" s="1">
        <v>785.65050000000008</v>
      </c>
      <c r="Y315" s="1">
        <v>464.87549999999999</v>
      </c>
      <c r="Z315" s="1">
        <v>327.61199999999997</v>
      </c>
      <c r="AA315" s="3">
        <v>15000</v>
      </c>
      <c r="AB315" s="1">
        <v>5153.1270000000004</v>
      </c>
    </row>
    <row r="316" spans="1:28" x14ac:dyDescent="0.25">
      <c r="A316" s="1">
        <v>315</v>
      </c>
      <c r="B316" s="2">
        <v>55185</v>
      </c>
      <c r="C316" s="1">
        <v>587.99250000000006</v>
      </c>
      <c r="D316" s="1">
        <v>75.097499999999997</v>
      </c>
      <c r="E316" s="1">
        <v>364.077</v>
      </c>
      <c r="F316" s="1">
        <v>400.25850000000003</v>
      </c>
      <c r="G316" s="1">
        <v>122.86949999999999</v>
      </c>
      <c r="H316" s="1">
        <v>534.43200000000002</v>
      </c>
      <c r="I316" s="1">
        <v>374.952</v>
      </c>
      <c r="J316" s="1">
        <v>207.96750000000003</v>
      </c>
      <c r="K316" s="1">
        <v>265.101</v>
      </c>
      <c r="L316" s="1">
        <v>271.101</v>
      </c>
      <c r="M316" s="1">
        <v>392.03250000000003</v>
      </c>
      <c r="N316" s="4">
        <f t="shared" si="4"/>
        <v>15.489998084099103</v>
      </c>
      <c r="O316" s="4">
        <f t="shared" si="7"/>
        <v>169.93384408519182</v>
      </c>
      <c r="P316" s="4">
        <f t="shared" si="6"/>
        <v>128.0873434483747</v>
      </c>
      <c r="Q316" s="4">
        <v>389.07449999999994</v>
      </c>
      <c r="R316" s="4">
        <f t="shared" si="5"/>
        <v>25.883410576676027</v>
      </c>
      <c r="S316" s="1">
        <v>248.226</v>
      </c>
      <c r="T316" s="1">
        <v>575.54100000000005</v>
      </c>
      <c r="U316" s="1">
        <v>583.13699999999994</v>
      </c>
      <c r="V316" s="1">
        <v>515.80649999999991</v>
      </c>
      <c r="W316" s="1">
        <v>230.613</v>
      </c>
      <c r="X316" s="1">
        <v>783.19350000000009</v>
      </c>
      <c r="Y316" s="1">
        <v>464.26199999999994</v>
      </c>
      <c r="Z316" s="1">
        <v>326.601</v>
      </c>
      <c r="AA316" s="3">
        <v>15000</v>
      </c>
      <c r="AB316" s="1">
        <v>5141.7219999999998</v>
      </c>
    </row>
    <row r="317" spans="1:28" x14ac:dyDescent="0.25">
      <c r="A317" s="1">
        <v>316</v>
      </c>
      <c r="B317" s="2">
        <v>55213</v>
      </c>
      <c r="C317" s="1">
        <v>585.44100000000003</v>
      </c>
      <c r="D317" s="1">
        <v>74.742000000000004</v>
      </c>
      <c r="E317" s="1">
        <v>362.262</v>
      </c>
      <c r="F317" s="1">
        <v>398.661</v>
      </c>
      <c r="G317" s="1">
        <v>122.184</v>
      </c>
      <c r="H317" s="1">
        <v>534.31349999999998</v>
      </c>
      <c r="I317" s="1">
        <v>374.928</v>
      </c>
      <c r="J317" s="1">
        <v>207.459</v>
      </c>
      <c r="K317" s="1">
        <v>263.77050000000003</v>
      </c>
      <c r="L317" s="1">
        <v>270.303</v>
      </c>
      <c r="M317" s="1">
        <v>391.161</v>
      </c>
      <c r="N317" s="4">
        <f t="shared" si="4"/>
        <v>15.335098103258112</v>
      </c>
      <c r="O317" s="4">
        <f t="shared" si="7"/>
        <v>168.23450564433989</v>
      </c>
      <c r="P317" s="4">
        <f t="shared" si="6"/>
        <v>126.80647001389094</v>
      </c>
      <c r="Q317" s="4">
        <v>389.322</v>
      </c>
      <c r="R317" s="4">
        <f t="shared" si="5"/>
        <v>25.624576470909268</v>
      </c>
      <c r="S317" s="1">
        <v>248.85449999999997</v>
      </c>
      <c r="T317" s="1">
        <v>574.83899999999994</v>
      </c>
      <c r="U317" s="1">
        <v>581.70899999999995</v>
      </c>
      <c r="V317" s="1">
        <v>514.64549999999997</v>
      </c>
      <c r="W317" s="1">
        <v>230.12850000000003</v>
      </c>
      <c r="X317" s="1">
        <v>780.62850000000003</v>
      </c>
      <c r="Y317" s="1">
        <v>463.548</v>
      </c>
      <c r="Z317" s="1">
        <v>325.815</v>
      </c>
      <c r="AA317" s="3">
        <v>15000</v>
      </c>
      <c r="AB317" s="1">
        <v>5129.9880000000003</v>
      </c>
    </row>
    <row r="318" spans="1:28" x14ac:dyDescent="0.25">
      <c r="A318" s="1">
        <v>317</v>
      </c>
      <c r="B318" s="2">
        <v>55244</v>
      </c>
      <c r="C318" s="1">
        <v>583.05600000000004</v>
      </c>
      <c r="D318" s="1">
        <v>74.438999999999993</v>
      </c>
      <c r="E318" s="1">
        <v>360.41250000000002</v>
      </c>
      <c r="F318" s="1">
        <v>397.04999999999995</v>
      </c>
      <c r="G318" s="1">
        <v>121.7535</v>
      </c>
      <c r="H318" s="1">
        <v>534.20400000000006</v>
      </c>
      <c r="I318" s="1">
        <v>374.87549999999999</v>
      </c>
      <c r="J318" s="1">
        <v>206.89949999999999</v>
      </c>
      <c r="K318" s="1">
        <v>262.36199999999997</v>
      </c>
      <c r="L318" s="1">
        <v>269.48699999999997</v>
      </c>
      <c r="M318" s="1">
        <v>390.23700000000002</v>
      </c>
      <c r="N318" s="4">
        <f t="shared" si="4"/>
        <v>15.181747122225531</v>
      </c>
      <c r="O318" s="4">
        <f t="shared" si="7"/>
        <v>166.55216058789648</v>
      </c>
      <c r="P318" s="4">
        <f t="shared" si="6"/>
        <v>125.53840531375204</v>
      </c>
      <c r="Q318" s="4">
        <v>389.589</v>
      </c>
      <c r="R318" s="4">
        <f t="shared" si="5"/>
        <v>25.368330706200176</v>
      </c>
      <c r="S318" s="1">
        <v>249.5745</v>
      </c>
      <c r="T318" s="1">
        <v>574.00049999999999</v>
      </c>
      <c r="U318" s="1">
        <v>580.22550000000001</v>
      </c>
      <c r="V318" s="1">
        <v>513.40049999999997</v>
      </c>
      <c r="W318" s="1">
        <v>229.64999999999998</v>
      </c>
      <c r="X318" s="1">
        <v>777.70049999999992</v>
      </c>
      <c r="Y318" s="1">
        <v>462.71250000000003</v>
      </c>
      <c r="Z318" s="1">
        <v>324.86249999999995</v>
      </c>
      <c r="AA318" s="3">
        <v>15000</v>
      </c>
      <c r="AB318" s="1">
        <v>5117.8349999999991</v>
      </c>
    </row>
    <row r="319" spans="1:28" x14ac:dyDescent="0.25">
      <c r="A319" s="1">
        <v>318</v>
      </c>
      <c r="B319" s="2">
        <v>55274</v>
      </c>
      <c r="C319" s="1">
        <v>580.74</v>
      </c>
      <c r="D319" s="1">
        <v>74.092500000000001</v>
      </c>
      <c r="E319" s="1">
        <v>358.75350000000003</v>
      </c>
      <c r="F319" s="1">
        <v>395.54100000000005</v>
      </c>
      <c r="G319" s="1">
        <v>121.34550000000002</v>
      </c>
      <c r="H319" s="1">
        <v>534.12450000000001</v>
      </c>
      <c r="I319" s="1">
        <v>374.78249999999997</v>
      </c>
      <c r="J319" s="1">
        <v>206.46750000000003</v>
      </c>
      <c r="K319" s="1">
        <v>261.10950000000003</v>
      </c>
      <c r="L319" s="1">
        <v>268.71750000000003</v>
      </c>
      <c r="M319" s="1">
        <v>389.35949999999997</v>
      </c>
      <c r="N319" s="4">
        <f t="shared" si="4"/>
        <v>15.029929651003275</v>
      </c>
      <c r="O319" s="4">
        <f t="shared" si="7"/>
        <v>164.8866389820175</v>
      </c>
      <c r="P319" s="4">
        <f t="shared" si="6"/>
        <v>124.28302126061452</v>
      </c>
      <c r="Q319" s="4">
        <v>389.84999999999997</v>
      </c>
      <c r="R319" s="4">
        <f t="shared" si="5"/>
        <v>25.114647399138175</v>
      </c>
      <c r="S319" s="1">
        <v>250.185</v>
      </c>
      <c r="T319" s="1">
        <v>573.16949999999997</v>
      </c>
      <c r="U319" s="1">
        <v>578.85450000000003</v>
      </c>
      <c r="V319" s="1">
        <v>512.274</v>
      </c>
      <c r="W319" s="1">
        <v>229.209</v>
      </c>
      <c r="X319" s="1">
        <v>775.01549999999997</v>
      </c>
      <c r="Y319" s="1">
        <v>461.84249999999997</v>
      </c>
      <c r="Z319" s="1">
        <v>323.87850000000003</v>
      </c>
      <c r="AA319" s="3">
        <v>15000</v>
      </c>
      <c r="AB319" s="1">
        <v>5106.34</v>
      </c>
    </row>
    <row r="320" spans="1:28" x14ac:dyDescent="0.25">
      <c r="A320" s="1">
        <v>319</v>
      </c>
      <c r="B320" s="2">
        <v>55305</v>
      </c>
      <c r="C320" s="1">
        <v>578.53949999999998</v>
      </c>
      <c r="D320" s="1">
        <v>73.766999999999996</v>
      </c>
      <c r="E320" s="1">
        <v>356.97450000000003</v>
      </c>
      <c r="F320" s="1">
        <v>393.82500000000005</v>
      </c>
      <c r="G320" s="1">
        <v>120.97199999999999</v>
      </c>
      <c r="H320" s="1">
        <v>534.08249999999998</v>
      </c>
      <c r="I320" s="1">
        <v>374.65049999999997</v>
      </c>
      <c r="J320" s="1">
        <v>205.90049999999999</v>
      </c>
      <c r="K320" s="1">
        <v>259.77449999999999</v>
      </c>
      <c r="L320" s="1">
        <v>267.9255</v>
      </c>
      <c r="M320" s="1">
        <v>388.42499999999995</v>
      </c>
      <c r="N320" s="4">
        <f t="shared" si="4"/>
        <v>14.879630354493242</v>
      </c>
      <c r="O320" s="4">
        <f t="shared" si="7"/>
        <v>163.23777259219733</v>
      </c>
      <c r="P320" s="4">
        <f t="shared" si="6"/>
        <v>123.04019104800837</v>
      </c>
      <c r="Q320" s="4">
        <v>390.048</v>
      </c>
      <c r="R320" s="4">
        <f t="shared" si="5"/>
        <v>24.863500925146791</v>
      </c>
      <c r="S320" s="1">
        <v>250.79999999999998</v>
      </c>
      <c r="T320" s="1">
        <v>572.12549999999999</v>
      </c>
      <c r="U320" s="1">
        <v>577.45049999999992</v>
      </c>
      <c r="V320" s="1">
        <v>511.04999999999995</v>
      </c>
      <c r="W320" s="1">
        <v>228.72450000000001</v>
      </c>
      <c r="X320" s="1">
        <v>771.94950000000006</v>
      </c>
      <c r="Y320" s="1">
        <v>460.86300000000006</v>
      </c>
      <c r="Z320" s="1">
        <v>322.77449999999999</v>
      </c>
      <c r="AA320" s="3">
        <v>15000</v>
      </c>
      <c r="AB320" s="1">
        <v>5093.8829999999998</v>
      </c>
    </row>
    <row r="321" spans="1:28" x14ac:dyDescent="0.25">
      <c r="A321" s="1">
        <v>320</v>
      </c>
      <c r="B321" s="2">
        <v>55335</v>
      </c>
      <c r="C321" s="1">
        <v>576.36899999999991</v>
      </c>
      <c r="D321" s="1">
        <v>73.430999999999997</v>
      </c>
      <c r="E321" s="1">
        <v>355.35449999999997</v>
      </c>
      <c r="F321" s="1">
        <v>392.25</v>
      </c>
      <c r="G321" s="1">
        <v>120.61350000000002</v>
      </c>
      <c r="H321" s="1">
        <v>533.95950000000005</v>
      </c>
      <c r="I321" s="1">
        <v>374.49149999999997</v>
      </c>
      <c r="J321" s="1">
        <v>205.452</v>
      </c>
      <c r="K321" s="1">
        <v>258.55650000000003</v>
      </c>
      <c r="L321" s="1">
        <v>267.14550000000003</v>
      </c>
      <c r="M321" s="1">
        <v>387.52049999999997</v>
      </c>
      <c r="N321" s="4">
        <f t="shared" si="4"/>
        <v>14.73083405094831</v>
      </c>
      <c r="O321" s="4">
        <f t="shared" si="7"/>
        <v>161.60539486627536</v>
      </c>
      <c r="P321" s="4">
        <f t="shared" si="6"/>
        <v>121.80978913752828</v>
      </c>
      <c r="Q321" s="4">
        <v>390.25049999999999</v>
      </c>
      <c r="R321" s="4">
        <f t="shared" si="5"/>
        <v>24.614865915895322</v>
      </c>
      <c r="S321" s="1">
        <v>251.322</v>
      </c>
      <c r="T321" s="1">
        <v>571.11300000000006</v>
      </c>
      <c r="U321" s="1">
        <v>576.12149999999997</v>
      </c>
      <c r="V321" s="1">
        <v>509.85450000000003</v>
      </c>
      <c r="W321" s="1">
        <v>228.291</v>
      </c>
      <c r="X321" s="1">
        <v>768.96749999999997</v>
      </c>
      <c r="Y321" s="1">
        <v>459.87150000000003</v>
      </c>
      <c r="Z321" s="1">
        <v>321.65250000000003</v>
      </c>
      <c r="AA321" s="3">
        <v>15000</v>
      </c>
      <c r="AB321" s="1">
        <v>5081.8000000000011</v>
      </c>
    </row>
    <row r="322" spans="1:28" x14ac:dyDescent="0.25">
      <c r="A322" s="1">
        <v>321</v>
      </c>
      <c r="B322" s="2">
        <v>55366</v>
      </c>
      <c r="C322" s="1">
        <v>574.24199999999996</v>
      </c>
      <c r="D322" s="1">
        <v>73.100999999999999</v>
      </c>
      <c r="E322" s="1">
        <v>353.94</v>
      </c>
      <c r="F322" s="1">
        <v>390.75</v>
      </c>
      <c r="G322" s="1">
        <v>120.39450000000001</v>
      </c>
      <c r="H322" s="1">
        <v>533.88900000000001</v>
      </c>
      <c r="I322" s="1">
        <v>374.298</v>
      </c>
      <c r="J322" s="1">
        <v>205.01549999999997</v>
      </c>
      <c r="K322" s="1">
        <v>257.39550000000003</v>
      </c>
      <c r="L322" s="1">
        <v>266.44349999999997</v>
      </c>
      <c r="M322" s="1">
        <v>386.649</v>
      </c>
      <c r="N322" s="4">
        <f t="shared" si="4"/>
        <v>14.583525710438828</v>
      </c>
      <c r="O322" s="4">
        <f t="shared" si="7"/>
        <v>159.98934091761259</v>
      </c>
      <c r="P322" s="4">
        <f t="shared" si="6"/>
        <v>120.591691246153</v>
      </c>
      <c r="Q322" s="4">
        <v>390.36300000000006</v>
      </c>
      <c r="R322" s="4">
        <f t="shared" si="5"/>
        <v>24.368717256736367</v>
      </c>
      <c r="S322" s="1">
        <v>251.709</v>
      </c>
      <c r="T322" s="1">
        <v>570.09749999999997</v>
      </c>
      <c r="U322" s="1">
        <v>574.93500000000006</v>
      </c>
      <c r="V322" s="1">
        <v>508.74149999999997</v>
      </c>
      <c r="W322" s="1">
        <v>227.87850000000003</v>
      </c>
      <c r="X322" s="1">
        <v>766.16100000000006</v>
      </c>
      <c r="Y322" s="1">
        <v>458.93999999999994</v>
      </c>
      <c r="Z322" s="1">
        <v>320.334</v>
      </c>
      <c r="AA322" s="3">
        <v>15000</v>
      </c>
      <c r="AB322" s="1">
        <v>5070.2169999999996</v>
      </c>
    </row>
    <row r="323" spans="1:28" x14ac:dyDescent="0.25">
      <c r="A323" s="1">
        <v>322</v>
      </c>
      <c r="B323" s="2">
        <v>55397</v>
      </c>
      <c r="C323" s="1">
        <v>572.38799999999992</v>
      </c>
      <c r="D323" s="1">
        <v>72.798000000000002</v>
      </c>
      <c r="E323" s="1">
        <v>352.1925</v>
      </c>
      <c r="F323" s="1">
        <v>388.98150000000004</v>
      </c>
      <c r="G323" s="1">
        <v>120</v>
      </c>
      <c r="H323" s="1">
        <v>533.83050000000003</v>
      </c>
      <c r="I323" s="1">
        <v>374.03550000000001</v>
      </c>
      <c r="J323" s="1">
        <v>204.5625</v>
      </c>
      <c r="K323" s="1">
        <v>256.07100000000003</v>
      </c>
      <c r="L323" s="1">
        <v>265.55399999999997</v>
      </c>
      <c r="M323" s="1">
        <v>385.59300000000002</v>
      </c>
      <c r="N323" s="4">
        <f t="shared" si="4"/>
        <v>14.437690453334438</v>
      </c>
      <c r="O323" s="4">
        <f t="shared" si="7"/>
        <v>158.38944750843646</v>
      </c>
      <c r="P323" s="4">
        <f t="shared" si="6"/>
        <v>119.38577433369147</v>
      </c>
      <c r="Q323" s="4">
        <v>390.411</v>
      </c>
      <c r="R323" s="4">
        <f t="shared" si="5"/>
        <v>24.125030084169005</v>
      </c>
      <c r="S323" s="1">
        <v>252.21449999999999</v>
      </c>
      <c r="T323" s="1">
        <v>568.74149999999997</v>
      </c>
      <c r="U323" s="1">
        <v>573.53550000000007</v>
      </c>
      <c r="V323" s="1">
        <v>507.375</v>
      </c>
      <c r="W323" s="1">
        <v>227.3835</v>
      </c>
      <c r="X323" s="1">
        <v>762.8565000000001</v>
      </c>
      <c r="Y323" s="1">
        <v>457.8075</v>
      </c>
      <c r="Z323" s="1">
        <v>318.96449999999999</v>
      </c>
      <c r="AA323" s="3">
        <v>15000</v>
      </c>
      <c r="AB323" s="1">
        <v>5056.8760000000002</v>
      </c>
    </row>
    <row r="324" spans="1:28" x14ac:dyDescent="0.25">
      <c r="A324" s="1">
        <v>323</v>
      </c>
      <c r="B324" s="2">
        <v>55427</v>
      </c>
      <c r="C324" s="1">
        <v>570.32100000000003</v>
      </c>
      <c r="D324" s="1">
        <v>72.474000000000004</v>
      </c>
      <c r="E324" s="1">
        <v>350.81849999999997</v>
      </c>
      <c r="F324" s="1">
        <v>387.60450000000003</v>
      </c>
      <c r="G324" s="1">
        <v>119.63849999999999</v>
      </c>
      <c r="H324" s="1">
        <v>533.72249999999997</v>
      </c>
      <c r="I324" s="1">
        <v>373.863</v>
      </c>
      <c r="J324" s="1">
        <v>204.19349999999997</v>
      </c>
      <c r="K324" s="1">
        <v>255.024</v>
      </c>
      <c r="L324" s="1">
        <v>264.85950000000003</v>
      </c>
      <c r="M324" s="1">
        <v>384.75</v>
      </c>
      <c r="N324" s="4">
        <f t="shared" si="4"/>
        <v>14.293313548801093</v>
      </c>
      <c r="O324" s="4">
        <f t="shared" si="7"/>
        <v>156.80555303335208</v>
      </c>
      <c r="P324" s="4">
        <f t="shared" si="6"/>
        <v>118.19191659035455</v>
      </c>
      <c r="Q324" s="4">
        <v>390.42899999999997</v>
      </c>
      <c r="R324" s="4">
        <f t="shared" si="5"/>
        <v>23.883779783327313</v>
      </c>
      <c r="S324" s="1">
        <v>252.60449999999997</v>
      </c>
      <c r="T324" s="1">
        <v>567.60450000000003</v>
      </c>
      <c r="U324" s="1">
        <v>572.44350000000009</v>
      </c>
      <c r="V324" s="1">
        <v>506.322</v>
      </c>
      <c r="W324" s="1">
        <v>226.98450000000003</v>
      </c>
      <c r="X324" s="1">
        <v>760.20899999999995</v>
      </c>
      <c r="Y324" s="1">
        <v>456.90750000000003</v>
      </c>
      <c r="Z324" s="1">
        <v>317.84250000000003</v>
      </c>
      <c r="AA324" s="3">
        <v>15000</v>
      </c>
      <c r="AB324" s="1">
        <v>5045.7639999999992</v>
      </c>
    </row>
    <row r="325" spans="1:28" x14ac:dyDescent="0.25">
      <c r="A325" s="1">
        <v>324</v>
      </c>
      <c r="B325" s="2">
        <v>55458</v>
      </c>
      <c r="C325" s="1">
        <v>568.4085</v>
      </c>
      <c r="D325" s="1">
        <v>72.143999999999991</v>
      </c>
      <c r="E325" s="1">
        <v>349.125</v>
      </c>
      <c r="F325" s="1">
        <v>385.97550000000001</v>
      </c>
      <c r="G325" s="1">
        <v>119.25</v>
      </c>
      <c r="H325" s="1">
        <v>533.66700000000003</v>
      </c>
      <c r="I325" s="1">
        <v>373.60050000000001</v>
      </c>
      <c r="J325" s="1">
        <v>203.74950000000001</v>
      </c>
      <c r="K325" s="1">
        <v>253.81200000000001</v>
      </c>
      <c r="L325" s="1">
        <v>264.03750000000002</v>
      </c>
      <c r="M325" s="1">
        <v>383.71199999999999</v>
      </c>
      <c r="N325" s="4">
        <f t="shared" si="4"/>
        <v>14.150380413313082</v>
      </c>
      <c r="O325" s="4">
        <f t="shared" si="7"/>
        <v>155.23749750301857</v>
      </c>
      <c r="P325" s="4">
        <f t="shared" si="6"/>
        <v>117.009997424451</v>
      </c>
      <c r="Q325" s="4">
        <v>390.45899999999995</v>
      </c>
      <c r="R325" s="4">
        <f t="shared" si="5"/>
        <v>23.644941985494039</v>
      </c>
      <c r="S325" s="1">
        <v>253.02449999999999</v>
      </c>
      <c r="T325" s="1">
        <v>566.17499999999995</v>
      </c>
      <c r="U325" s="1">
        <v>571.17450000000008</v>
      </c>
      <c r="V325" s="1">
        <v>505.09950000000003</v>
      </c>
      <c r="W325" s="1">
        <v>226.52549999999999</v>
      </c>
      <c r="X325" s="1">
        <v>757.05</v>
      </c>
      <c r="Y325" s="1">
        <v>455.82449999999994</v>
      </c>
      <c r="Z325" s="1">
        <v>316.37549999999999</v>
      </c>
      <c r="AA325" s="3">
        <v>15000</v>
      </c>
      <c r="AB325" s="1">
        <v>5032.7700000000004</v>
      </c>
    </row>
    <row r="326" spans="1:28" x14ac:dyDescent="0.25">
      <c r="A326" s="1">
        <v>325</v>
      </c>
      <c r="B326" s="2">
        <v>55488</v>
      </c>
      <c r="C326" s="1">
        <v>566.42250000000001</v>
      </c>
      <c r="D326" s="1">
        <v>71.836500000000001</v>
      </c>
      <c r="E326" s="1">
        <v>347.625</v>
      </c>
      <c r="F326" s="1">
        <v>384.678</v>
      </c>
      <c r="G326" s="1">
        <v>118.90049999999999</v>
      </c>
      <c r="H326" s="1">
        <v>533.60550000000001</v>
      </c>
      <c r="I326" s="1">
        <v>373.37850000000003</v>
      </c>
      <c r="J326" s="1">
        <v>203.46750000000003</v>
      </c>
      <c r="K326" s="1">
        <v>252.52050000000003</v>
      </c>
      <c r="L326" s="1">
        <v>263.274</v>
      </c>
      <c r="M326" s="1">
        <v>382.64550000000003</v>
      </c>
      <c r="N326" s="4">
        <f t="shared" si="4"/>
        <v>14.00887660917995</v>
      </c>
      <c r="O326" s="4">
        <f t="shared" si="7"/>
        <v>153.6851225279884</v>
      </c>
      <c r="P326" s="4">
        <f t="shared" si="6"/>
        <v>115.83989745020649</v>
      </c>
      <c r="Q326" s="4">
        <v>390.42450000000002</v>
      </c>
      <c r="R326" s="4">
        <f t="shared" si="5"/>
        <v>23.408492565639097</v>
      </c>
      <c r="S326" s="1">
        <v>253.4025</v>
      </c>
      <c r="T326" s="1">
        <v>564.798</v>
      </c>
      <c r="U326" s="1">
        <v>570</v>
      </c>
      <c r="V326" s="1">
        <v>504.62849999999997</v>
      </c>
      <c r="W326" s="1">
        <v>226.01549999999997</v>
      </c>
      <c r="X326" s="1">
        <v>754.452</v>
      </c>
      <c r="Y326" s="1">
        <v>455.10450000000003</v>
      </c>
      <c r="Z326" s="1">
        <v>314.81849999999997</v>
      </c>
      <c r="AA326" s="3">
        <v>15000</v>
      </c>
      <c r="AB326" s="1">
        <v>5021.3230000000003</v>
      </c>
    </row>
    <row r="327" spans="1:28" x14ac:dyDescent="0.25">
      <c r="A327" s="1">
        <v>326</v>
      </c>
      <c r="B327" s="2">
        <v>55519</v>
      </c>
      <c r="C327" s="1">
        <v>564.55050000000006</v>
      </c>
      <c r="D327" s="1">
        <v>71.581499999999991</v>
      </c>
      <c r="E327" s="1">
        <v>346.35</v>
      </c>
      <c r="F327" s="1">
        <v>383.74950000000001</v>
      </c>
      <c r="G327" s="1">
        <v>118.6455</v>
      </c>
      <c r="H327" s="1">
        <v>533.54549999999995</v>
      </c>
      <c r="I327" s="1">
        <v>373.22550000000001</v>
      </c>
      <c r="J327" s="1">
        <v>203.12549999999999</v>
      </c>
      <c r="K327" s="1">
        <v>251.38800000000003</v>
      </c>
      <c r="L327" s="1">
        <v>262.64999999999998</v>
      </c>
      <c r="M327" s="1">
        <v>381.68700000000001</v>
      </c>
      <c r="N327" s="4">
        <f t="shared" si="4"/>
        <v>13.86878784308815</v>
      </c>
      <c r="O327" s="4">
        <f t="shared" si="7"/>
        <v>152.14827130270851</v>
      </c>
      <c r="P327" s="4">
        <f t="shared" si="6"/>
        <v>114.68149847570443</v>
      </c>
      <c r="Q327" s="4">
        <v>390.411</v>
      </c>
      <c r="R327" s="4">
        <f t="shared" si="5"/>
        <v>23.174407639982707</v>
      </c>
      <c r="S327" s="1">
        <v>253.6995</v>
      </c>
      <c r="T327" s="1">
        <v>563.625</v>
      </c>
      <c r="U327" s="1">
        <v>569.12549999999999</v>
      </c>
      <c r="V327" s="1">
        <v>504.59999999999997</v>
      </c>
      <c r="W327" s="1">
        <v>225.64949999999999</v>
      </c>
      <c r="X327" s="1">
        <v>752.35050000000001</v>
      </c>
      <c r="Y327" s="1">
        <v>454.58699999999999</v>
      </c>
      <c r="Z327" s="1">
        <v>313.33799999999997</v>
      </c>
      <c r="AA327" s="3">
        <v>15000</v>
      </c>
      <c r="AB327" s="1">
        <v>5011.9489999999996</v>
      </c>
    </row>
    <row r="328" spans="1:28" x14ac:dyDescent="0.25">
      <c r="A328" s="1">
        <v>327</v>
      </c>
      <c r="B328" s="2">
        <v>55550</v>
      </c>
      <c r="C328" s="1">
        <v>562.59449999999993</v>
      </c>
      <c r="D328" s="1">
        <v>71.162999999999997</v>
      </c>
      <c r="E328" s="1">
        <v>344.44349999999997</v>
      </c>
      <c r="F328" s="1">
        <v>382.28249999999997</v>
      </c>
      <c r="G328" s="1">
        <v>118.27499999999999</v>
      </c>
      <c r="H328" s="1">
        <v>533.43899999999996</v>
      </c>
      <c r="I328" s="1">
        <v>372.87149999999997</v>
      </c>
      <c r="J328" s="1">
        <v>202.863</v>
      </c>
      <c r="K328" s="1">
        <v>249.6165</v>
      </c>
      <c r="L328" s="1">
        <v>261.726</v>
      </c>
      <c r="M328" s="1">
        <v>380.274</v>
      </c>
      <c r="N328" s="4">
        <f t="shared" si="4"/>
        <v>13.730099964657269</v>
      </c>
      <c r="O328" s="4">
        <f t="shared" si="7"/>
        <v>150.62678858968141</v>
      </c>
      <c r="P328" s="4">
        <f t="shared" si="6"/>
        <v>113.53468349094739</v>
      </c>
      <c r="Q328" s="4">
        <v>390.45000000000005</v>
      </c>
      <c r="R328" s="4">
        <f t="shared" si="5"/>
        <v>22.94266356358288</v>
      </c>
      <c r="S328" s="1">
        <v>254.10449999999997</v>
      </c>
      <c r="T328" s="1">
        <v>561.726</v>
      </c>
      <c r="U328" s="1">
        <v>567.702</v>
      </c>
      <c r="V328" s="1">
        <v>504.339</v>
      </c>
      <c r="W328" s="1">
        <v>225.1695</v>
      </c>
      <c r="X328" s="1">
        <v>749.952</v>
      </c>
      <c r="Y328" s="1">
        <v>454.089</v>
      </c>
      <c r="Z328" s="1">
        <v>311.51549999999997</v>
      </c>
      <c r="AA328" s="3">
        <v>15000</v>
      </c>
      <c r="AB328" s="1">
        <v>4999.0059999999994</v>
      </c>
    </row>
    <row r="329" spans="1:28" x14ac:dyDescent="0.25">
      <c r="A329" s="1">
        <v>328</v>
      </c>
      <c r="B329" s="2">
        <v>55579</v>
      </c>
      <c r="C329" s="1">
        <v>560.68049999999994</v>
      </c>
      <c r="D329" s="1">
        <v>70.938000000000002</v>
      </c>
      <c r="E329" s="1">
        <v>342.85950000000003</v>
      </c>
      <c r="F329" s="1">
        <v>380.928</v>
      </c>
      <c r="G329" s="1">
        <v>118.13249999999999</v>
      </c>
      <c r="H329" s="1">
        <v>533.41650000000004</v>
      </c>
      <c r="I329" s="1">
        <v>372.55650000000003</v>
      </c>
      <c r="J329" s="1">
        <v>202.548</v>
      </c>
      <c r="K329" s="1">
        <v>248.5275</v>
      </c>
      <c r="L329" s="1">
        <v>260.988</v>
      </c>
      <c r="M329" s="1">
        <v>379.30650000000003</v>
      </c>
      <c r="N329" s="4">
        <f t="shared" si="4"/>
        <v>13.592798965010696</v>
      </c>
      <c r="O329" s="4">
        <f t="shared" si="7"/>
        <v>149.12052070378459</v>
      </c>
      <c r="P329" s="4">
        <f t="shared" si="6"/>
        <v>112.39933665603792</v>
      </c>
      <c r="Q329" s="4">
        <v>390.36300000000006</v>
      </c>
      <c r="R329" s="4">
        <f t="shared" si="5"/>
        <v>22.713236927947051</v>
      </c>
      <c r="S329" s="1">
        <v>254.4195</v>
      </c>
      <c r="T329" s="1">
        <v>560.08050000000003</v>
      </c>
      <c r="U329" s="1">
        <v>566.54100000000005</v>
      </c>
      <c r="V329" s="1">
        <v>503.80649999999997</v>
      </c>
      <c r="W329" s="1">
        <v>224.7585</v>
      </c>
      <c r="X329" s="1">
        <v>747.822</v>
      </c>
      <c r="Y329" s="1">
        <v>453.59249999999997</v>
      </c>
      <c r="Z329" s="1">
        <v>309.786</v>
      </c>
      <c r="AA329" s="3">
        <v>15000</v>
      </c>
      <c r="AB329" s="1">
        <v>4987.9530000000004</v>
      </c>
    </row>
    <row r="330" spans="1:28" x14ac:dyDescent="0.25">
      <c r="A330" s="1">
        <v>329</v>
      </c>
      <c r="B330" s="2">
        <v>55610</v>
      </c>
      <c r="C330" s="1">
        <v>558.81299999999999</v>
      </c>
      <c r="D330" s="1">
        <v>70.545000000000002</v>
      </c>
      <c r="E330" s="1">
        <v>341.18700000000001</v>
      </c>
      <c r="F330" s="1">
        <v>379.42499999999995</v>
      </c>
      <c r="G330" s="1">
        <v>117.99300000000001</v>
      </c>
      <c r="H330" s="1">
        <v>533.32500000000005</v>
      </c>
      <c r="I330" s="1">
        <v>372.25049999999999</v>
      </c>
      <c r="J330" s="1">
        <v>202.24950000000001</v>
      </c>
      <c r="K330" s="1">
        <v>246.97500000000002</v>
      </c>
      <c r="L330" s="1">
        <v>260.22450000000003</v>
      </c>
      <c r="M330" s="1">
        <v>378.12450000000001</v>
      </c>
      <c r="N330" s="4">
        <f t="shared" si="4"/>
        <v>13.456870975360589</v>
      </c>
      <c r="O330" s="4">
        <f t="shared" si="7"/>
        <v>147.62931549674676</v>
      </c>
      <c r="P330" s="4">
        <f t="shared" si="6"/>
        <v>111.27534328947753</v>
      </c>
      <c r="Q330" s="4">
        <v>390.24149999999997</v>
      </c>
      <c r="R330" s="4">
        <f t="shared" si="5"/>
        <v>22.486104558667581</v>
      </c>
      <c r="S330" s="1">
        <v>254.67449999999997</v>
      </c>
      <c r="T330" s="1">
        <v>558.25049999999999</v>
      </c>
      <c r="U330" s="1">
        <v>565.22550000000001</v>
      </c>
      <c r="V330" s="1">
        <v>503.35050000000001</v>
      </c>
      <c r="W330" s="1">
        <v>224.37450000000001</v>
      </c>
      <c r="X330" s="1">
        <v>745.5</v>
      </c>
      <c r="Y330" s="1">
        <v>453.01199999999994</v>
      </c>
      <c r="Z330" s="1">
        <v>308.0505</v>
      </c>
      <c r="AA330" s="3">
        <v>15000</v>
      </c>
      <c r="AB330" s="1">
        <v>4975.8170000000009</v>
      </c>
    </row>
    <row r="331" spans="1:28" x14ac:dyDescent="0.25">
      <c r="A331" s="1">
        <v>330</v>
      </c>
      <c r="B331" s="2">
        <v>55640</v>
      </c>
      <c r="C331" s="1">
        <v>556.90049999999997</v>
      </c>
      <c r="D331" s="1">
        <v>70.3005</v>
      </c>
      <c r="E331" s="1">
        <v>339.61649999999997</v>
      </c>
      <c r="F331" s="1">
        <v>377.952</v>
      </c>
      <c r="G331" s="1">
        <v>117.76050000000001</v>
      </c>
      <c r="H331" s="1">
        <v>533.274</v>
      </c>
      <c r="I331" s="1">
        <v>371.928</v>
      </c>
      <c r="J331" s="1">
        <v>201.96750000000003</v>
      </c>
      <c r="K331" s="1">
        <v>245.94</v>
      </c>
      <c r="L331" s="1">
        <v>259.56</v>
      </c>
      <c r="M331" s="1">
        <v>377.226</v>
      </c>
      <c r="N331" s="4">
        <f t="shared" si="4"/>
        <v>13.322302265606982</v>
      </c>
      <c r="O331" s="4">
        <f t="shared" si="7"/>
        <v>146.15302234177929</v>
      </c>
      <c r="P331" s="4">
        <f t="shared" si="6"/>
        <v>110.16258985658276</v>
      </c>
      <c r="Q331" s="4">
        <v>390.17550000000006</v>
      </c>
      <c r="R331" s="4">
        <f t="shared" si="5"/>
        <v>22.261243513080906</v>
      </c>
      <c r="S331" s="1">
        <v>254.976</v>
      </c>
      <c r="T331" s="1">
        <v>556.524</v>
      </c>
      <c r="U331" s="1">
        <v>564.048</v>
      </c>
      <c r="V331" s="1">
        <v>502.69350000000003</v>
      </c>
      <c r="W331" s="1">
        <v>224.05650000000003</v>
      </c>
      <c r="X331" s="1">
        <v>743.226</v>
      </c>
      <c r="Y331" s="1">
        <v>452.35949999999997</v>
      </c>
      <c r="Z331" s="1">
        <v>306.459</v>
      </c>
      <c r="AA331" s="3">
        <v>15000</v>
      </c>
      <c r="AB331" s="1">
        <v>4964.5930000000008</v>
      </c>
    </row>
    <row r="332" spans="1:28" x14ac:dyDescent="0.25">
      <c r="A332" s="1">
        <v>331</v>
      </c>
      <c r="B332" s="2">
        <v>55671</v>
      </c>
      <c r="C332" s="1">
        <v>555.10199999999998</v>
      </c>
      <c r="D332" s="1">
        <v>69.9465</v>
      </c>
      <c r="E332" s="1">
        <v>337.887</v>
      </c>
      <c r="F332" s="1">
        <v>376.27499999999998</v>
      </c>
      <c r="G332" s="1">
        <v>117.102</v>
      </c>
      <c r="H332" s="1">
        <v>533.22749999999996</v>
      </c>
      <c r="I332" s="1">
        <v>371.65049999999997</v>
      </c>
      <c r="J332" s="1">
        <v>201.64949999999999</v>
      </c>
      <c r="K332" s="1">
        <v>244.52549999999999</v>
      </c>
      <c r="L332" s="1">
        <v>258.85050000000001</v>
      </c>
      <c r="M332" s="1">
        <v>376.137</v>
      </c>
      <c r="N332" s="4">
        <f t="shared" si="4"/>
        <v>13.189079242950912</v>
      </c>
      <c r="O332" s="4">
        <f t="shared" si="7"/>
        <v>144.69149211836151</v>
      </c>
      <c r="P332" s="4">
        <f t="shared" si="6"/>
        <v>109.06096395801693</v>
      </c>
      <c r="Q332" s="4">
        <v>390.12150000000003</v>
      </c>
      <c r="R332" s="4">
        <f t="shared" si="5"/>
        <v>22.038631077950097</v>
      </c>
      <c r="S332" s="1">
        <v>255.22500000000002</v>
      </c>
      <c r="T332" s="1">
        <v>554.625</v>
      </c>
      <c r="U332" s="1">
        <v>562.77449999999999</v>
      </c>
      <c r="V332" s="1">
        <v>501.90000000000003</v>
      </c>
      <c r="W332" s="1">
        <v>223.64999999999998</v>
      </c>
      <c r="X332" s="1">
        <v>740.7</v>
      </c>
      <c r="Y332" s="1">
        <v>451.61249999999995</v>
      </c>
      <c r="Z332" s="1">
        <v>304.73699999999997</v>
      </c>
      <c r="AA332" s="3">
        <v>15000</v>
      </c>
      <c r="AB332" s="1">
        <v>4951.701</v>
      </c>
    </row>
    <row r="333" spans="1:28" x14ac:dyDescent="0.25">
      <c r="A333" s="1">
        <v>332</v>
      </c>
      <c r="B333" s="2">
        <v>55701</v>
      </c>
      <c r="C333" s="1">
        <v>553.23900000000003</v>
      </c>
      <c r="D333" s="1">
        <v>69.675000000000011</v>
      </c>
      <c r="E333" s="1">
        <v>336.303</v>
      </c>
      <c r="F333" s="1">
        <v>374.709</v>
      </c>
      <c r="G333" s="1">
        <v>116.50200000000001</v>
      </c>
      <c r="H333" s="1">
        <v>533.15550000000007</v>
      </c>
      <c r="I333" s="1">
        <v>371.274</v>
      </c>
      <c r="J333" s="1">
        <v>201.315</v>
      </c>
      <c r="K333" s="1">
        <v>243.339</v>
      </c>
      <c r="L333" s="1">
        <v>258.18150000000003</v>
      </c>
      <c r="M333" s="1">
        <v>375.16949999999997</v>
      </c>
      <c r="N333" s="4">
        <f t="shared" si="4"/>
        <v>13.057188450521403</v>
      </c>
      <c r="O333" s="4">
        <f t="shared" si="7"/>
        <v>143.2445771971779</v>
      </c>
      <c r="P333" s="4">
        <f t="shared" si="6"/>
        <v>107.97035431843676</v>
      </c>
      <c r="Q333" s="4">
        <v>389.97450000000003</v>
      </c>
      <c r="R333" s="4">
        <f t="shared" si="5"/>
        <v>21.818244767170597</v>
      </c>
      <c r="S333" s="1">
        <v>255.459</v>
      </c>
      <c r="T333" s="1">
        <v>552.774</v>
      </c>
      <c r="U333" s="1">
        <v>561.58050000000003</v>
      </c>
      <c r="V333" s="1">
        <v>501.14549999999997</v>
      </c>
      <c r="W333" s="1">
        <v>223.3305</v>
      </c>
      <c r="X333" s="1">
        <v>738.14549999999997</v>
      </c>
      <c r="Y333" s="1">
        <v>450.87150000000003</v>
      </c>
      <c r="Z333" s="1">
        <v>303.06</v>
      </c>
      <c r="AA333" s="3">
        <v>15000</v>
      </c>
      <c r="AB333" s="1">
        <v>4939.4050000000007</v>
      </c>
    </row>
    <row r="334" spans="1:28" x14ac:dyDescent="0.25">
      <c r="A334" s="1">
        <v>333</v>
      </c>
      <c r="B334" s="2">
        <v>55732</v>
      </c>
      <c r="C334" s="1">
        <v>551.41949999999997</v>
      </c>
      <c r="D334" s="1">
        <v>69.272999999999996</v>
      </c>
      <c r="E334" s="1">
        <v>334.76549999999997</v>
      </c>
      <c r="F334" s="1">
        <v>373.065</v>
      </c>
      <c r="G334" s="1">
        <v>115.941</v>
      </c>
      <c r="H334" s="1">
        <v>533.13149999999996</v>
      </c>
      <c r="I334" s="1">
        <v>370.935</v>
      </c>
      <c r="J334" s="1">
        <v>200.952</v>
      </c>
      <c r="K334" s="1">
        <v>242.31</v>
      </c>
      <c r="L334" s="1">
        <v>257.553</v>
      </c>
      <c r="M334" s="1">
        <v>374.37149999999997</v>
      </c>
      <c r="N334" s="4">
        <f t="shared" si="4"/>
        <v>12.92661656601619</v>
      </c>
      <c r="O334" s="4">
        <f t="shared" si="7"/>
        <v>141.81213142520613</v>
      </c>
      <c r="P334" s="4">
        <f t="shared" si="6"/>
        <v>106.8906507752524</v>
      </c>
      <c r="Q334" s="4">
        <v>389.87849999999997</v>
      </c>
      <c r="R334" s="4">
        <f t="shared" si="5"/>
        <v>21.600062319498893</v>
      </c>
      <c r="S334" s="1">
        <v>255.678</v>
      </c>
      <c r="T334" s="1">
        <v>550.86300000000006</v>
      </c>
      <c r="U334" s="1">
        <v>560.44350000000009</v>
      </c>
      <c r="V334" s="1">
        <v>500.274</v>
      </c>
      <c r="W334" s="1">
        <v>223.01549999999997</v>
      </c>
      <c r="X334" s="1">
        <v>735.58050000000003</v>
      </c>
      <c r="Y334" s="1">
        <v>450.08399999999995</v>
      </c>
      <c r="Z334" s="1">
        <v>301.416</v>
      </c>
      <c r="AA334" s="3">
        <v>15000</v>
      </c>
      <c r="AB334" s="1">
        <v>4927.2039999999997</v>
      </c>
    </row>
    <row r="335" spans="1:28" x14ac:dyDescent="0.25">
      <c r="A335" s="1">
        <v>334</v>
      </c>
      <c r="B335" s="2">
        <v>55763</v>
      </c>
      <c r="C335" s="1">
        <v>549.69450000000006</v>
      </c>
      <c r="D335" s="1">
        <v>68.911500000000004</v>
      </c>
      <c r="E335" s="1">
        <v>333.07799999999997</v>
      </c>
      <c r="F335" s="1">
        <v>371.19900000000001</v>
      </c>
      <c r="G335" s="1">
        <v>115.419</v>
      </c>
      <c r="H335" s="1">
        <v>533.05200000000002</v>
      </c>
      <c r="I335" s="1">
        <v>370.6035</v>
      </c>
      <c r="J335" s="1">
        <v>200.58599999999998</v>
      </c>
      <c r="K335" s="1">
        <v>241.06049999999999</v>
      </c>
      <c r="L335" s="1">
        <v>256.86150000000004</v>
      </c>
      <c r="M335" s="1">
        <v>373.35750000000002</v>
      </c>
      <c r="N335" s="4">
        <f t="shared" si="4"/>
        <v>12.797350400356027</v>
      </c>
      <c r="O335" s="4">
        <f t="shared" si="7"/>
        <v>140.39401011095407</v>
      </c>
      <c r="P335" s="4">
        <f t="shared" si="6"/>
        <v>105.82174426749987</v>
      </c>
      <c r="Q335" s="4">
        <v>389.73449999999997</v>
      </c>
      <c r="R335" s="4">
        <f t="shared" si="5"/>
        <v>21.384061696303903</v>
      </c>
      <c r="S335" s="1">
        <v>255.87900000000002</v>
      </c>
      <c r="T335" s="1">
        <v>548.74199999999996</v>
      </c>
      <c r="U335" s="1">
        <v>559.16399999999999</v>
      </c>
      <c r="V335" s="1">
        <v>499.24199999999996</v>
      </c>
      <c r="W335" s="1">
        <v>222.62099999999998</v>
      </c>
      <c r="X335" s="1">
        <v>732.62099999999998</v>
      </c>
      <c r="Y335" s="1">
        <v>449.19900000000001</v>
      </c>
      <c r="Z335" s="1">
        <v>299.65049999999997</v>
      </c>
      <c r="AA335" s="3">
        <v>15000</v>
      </c>
      <c r="AB335" s="1">
        <v>4913.6849999999995</v>
      </c>
    </row>
    <row r="336" spans="1:28" x14ac:dyDescent="0.25">
      <c r="A336" s="1">
        <v>335</v>
      </c>
      <c r="B336" s="2">
        <v>55793</v>
      </c>
      <c r="C336" s="1">
        <v>547.875</v>
      </c>
      <c r="D336" s="1">
        <v>68.623500000000007</v>
      </c>
      <c r="E336" s="1">
        <v>331.62149999999997</v>
      </c>
      <c r="F336" s="1">
        <v>369.62850000000003</v>
      </c>
      <c r="G336" s="1">
        <v>115.185</v>
      </c>
      <c r="H336" s="1">
        <v>532.9905</v>
      </c>
      <c r="I336" s="1">
        <v>370.28249999999997</v>
      </c>
      <c r="J336" s="1">
        <v>200.226</v>
      </c>
      <c r="K336" s="1">
        <v>240.036</v>
      </c>
      <c r="L336" s="1">
        <v>256.27050000000003</v>
      </c>
      <c r="M336" s="1">
        <v>372.55650000000003</v>
      </c>
      <c r="N336" s="4">
        <f t="shared" si="4"/>
        <v>12.669376896352468</v>
      </c>
      <c r="O336" s="4">
        <f t="shared" si="7"/>
        <v>138.99007000984452</v>
      </c>
      <c r="P336" s="4">
        <f t="shared" si="6"/>
        <v>104.76352682482487</v>
      </c>
      <c r="Q336" s="4">
        <v>389.58600000000001</v>
      </c>
      <c r="R336" s="4">
        <f t="shared" si="5"/>
        <v>21.170221079340863</v>
      </c>
      <c r="S336" s="1">
        <v>256.065</v>
      </c>
      <c r="T336" s="1">
        <v>546.84749999999997</v>
      </c>
      <c r="U336" s="1">
        <v>558.12149999999997</v>
      </c>
      <c r="V336" s="1">
        <v>498.38699999999994</v>
      </c>
      <c r="W336" s="1">
        <v>222.363</v>
      </c>
      <c r="X336" s="1">
        <v>730.06499999999994</v>
      </c>
      <c r="Y336" s="1">
        <v>448.41600000000005</v>
      </c>
      <c r="Z336" s="1">
        <v>298.185</v>
      </c>
      <c r="AA336" s="3">
        <v>15000</v>
      </c>
      <c r="AB336" s="1">
        <v>4902.0780000000004</v>
      </c>
    </row>
    <row r="337" spans="1:28" x14ac:dyDescent="0.25">
      <c r="A337" s="1">
        <v>336</v>
      </c>
      <c r="B337" s="2">
        <v>55824</v>
      </c>
      <c r="C337" s="1">
        <v>546.16650000000004</v>
      </c>
      <c r="D337" s="1">
        <v>68.359499999999997</v>
      </c>
      <c r="E337" s="1">
        <v>330.02549999999997</v>
      </c>
      <c r="F337" s="1">
        <v>367.77449999999999</v>
      </c>
      <c r="G337" s="1">
        <v>114.61800000000001</v>
      </c>
      <c r="H337" s="1">
        <v>532.95899999999995</v>
      </c>
      <c r="I337" s="1">
        <v>369.87450000000001</v>
      </c>
      <c r="J337" s="1">
        <v>199.90049999999999</v>
      </c>
      <c r="K337" s="1">
        <v>238.93799999999999</v>
      </c>
      <c r="L337" s="1">
        <v>255.58799999999999</v>
      </c>
      <c r="M337" s="1">
        <v>371.613</v>
      </c>
      <c r="N337" s="4">
        <f t="shared" ref="N337:N400" si="8">N336*0.99</f>
        <v>12.542683127388942</v>
      </c>
      <c r="O337" s="4">
        <f t="shared" si="7"/>
        <v>137.60016930974606</v>
      </c>
      <c r="P337" s="4">
        <f t="shared" si="6"/>
        <v>103.71589155657662</v>
      </c>
      <c r="Q337" s="4">
        <v>389.37150000000003</v>
      </c>
      <c r="R337" s="4">
        <f t="shared" si="5"/>
        <v>20.958518868547454</v>
      </c>
      <c r="S337" s="1">
        <v>256.24950000000001</v>
      </c>
      <c r="T337" s="1">
        <v>544.69949999999994</v>
      </c>
      <c r="U337" s="1">
        <v>556.92450000000008</v>
      </c>
      <c r="V337" s="1">
        <v>497.29950000000002</v>
      </c>
      <c r="W337" s="1">
        <v>221.97450000000001</v>
      </c>
      <c r="X337" s="1">
        <v>727.09950000000003</v>
      </c>
      <c r="Y337" s="1">
        <v>447.52500000000003</v>
      </c>
      <c r="Z337" s="1">
        <v>296.54999999999995</v>
      </c>
      <c r="AA337" s="3">
        <v>15000</v>
      </c>
      <c r="AB337" s="1">
        <v>4888.8590000000004</v>
      </c>
    </row>
    <row r="338" spans="1:28" x14ac:dyDescent="0.25">
      <c r="A338" s="1">
        <v>337</v>
      </c>
      <c r="B338" s="2">
        <v>55854</v>
      </c>
      <c r="C338" s="1">
        <v>544.33050000000003</v>
      </c>
      <c r="D338" s="1">
        <v>68.080500000000001</v>
      </c>
      <c r="E338" s="1">
        <v>328.536</v>
      </c>
      <c r="F338" s="1">
        <v>366.12149999999997</v>
      </c>
      <c r="G338" s="1">
        <v>114.71249999999999</v>
      </c>
      <c r="H338" s="1">
        <v>532.91999999999996</v>
      </c>
      <c r="I338" s="1">
        <v>369.55650000000003</v>
      </c>
      <c r="J338" s="1">
        <v>199.524</v>
      </c>
      <c r="K338" s="1">
        <v>237.96750000000003</v>
      </c>
      <c r="L338" s="1">
        <v>254.976</v>
      </c>
      <c r="M338" s="1">
        <v>370.791</v>
      </c>
      <c r="N338" s="4">
        <f t="shared" si="8"/>
        <v>12.417256296115053</v>
      </c>
      <c r="O338" s="4">
        <f t="shared" si="7"/>
        <v>136.2241676166486</v>
      </c>
      <c r="P338" s="4">
        <f t="shared" si="6"/>
        <v>102.67873264101085</v>
      </c>
      <c r="Q338" s="4">
        <v>389.14949999999999</v>
      </c>
      <c r="R338" s="4">
        <f t="shared" si="5"/>
        <v>20.748933679861981</v>
      </c>
      <c r="S338" s="1">
        <v>256.40250000000003</v>
      </c>
      <c r="T338" s="1">
        <v>542.63699999999994</v>
      </c>
      <c r="U338" s="1">
        <v>555.87149999999997</v>
      </c>
      <c r="V338" s="1">
        <v>496.35450000000003</v>
      </c>
      <c r="W338" s="1">
        <v>221.685</v>
      </c>
      <c r="X338" s="1">
        <v>724.40250000000003</v>
      </c>
      <c r="Y338" s="1">
        <v>446.72249999999997</v>
      </c>
      <c r="Z338" s="1">
        <v>295.077</v>
      </c>
      <c r="AA338" s="3">
        <v>15000</v>
      </c>
      <c r="AB338" s="1">
        <v>4877.085</v>
      </c>
    </row>
    <row r="339" spans="1:28" x14ac:dyDescent="0.25">
      <c r="A339" s="1">
        <v>338</v>
      </c>
      <c r="B339" s="2">
        <v>55885</v>
      </c>
      <c r="C339" s="1">
        <v>542.60249999999996</v>
      </c>
      <c r="D339" s="1">
        <v>67.822500000000005</v>
      </c>
      <c r="E339" s="1">
        <v>326.87549999999999</v>
      </c>
      <c r="F339" s="1">
        <v>364.3005</v>
      </c>
      <c r="G339" s="1">
        <v>114.05100000000002</v>
      </c>
      <c r="H339" s="1">
        <v>532.86149999999998</v>
      </c>
      <c r="I339" s="1">
        <v>369.15</v>
      </c>
      <c r="J339" s="1">
        <v>199.15049999999999</v>
      </c>
      <c r="K339" s="1">
        <v>236.95050000000003</v>
      </c>
      <c r="L339" s="1">
        <v>254.31299999999999</v>
      </c>
      <c r="M339" s="1">
        <v>369.87450000000001</v>
      </c>
      <c r="N339" s="4">
        <f t="shared" si="8"/>
        <v>12.293083733153901</v>
      </c>
      <c r="O339" s="4">
        <f t="shared" si="7"/>
        <v>134.86192594048211</v>
      </c>
      <c r="P339" s="4">
        <f t="shared" si="6"/>
        <v>101.65194531460074</v>
      </c>
      <c r="Q339" s="4">
        <v>388.95899999999995</v>
      </c>
      <c r="R339" s="4">
        <f t="shared" si="5"/>
        <v>20.541444343063361</v>
      </c>
      <c r="S339" s="1">
        <v>256.54949999999997</v>
      </c>
      <c r="T339" s="1">
        <v>540.42450000000008</v>
      </c>
      <c r="U339" s="1">
        <v>554.70000000000005</v>
      </c>
      <c r="V339" s="1">
        <v>495.25049999999999</v>
      </c>
      <c r="W339" s="1">
        <v>221.32500000000002</v>
      </c>
      <c r="X339" s="1">
        <v>721.45049999999992</v>
      </c>
      <c r="Y339" s="1">
        <v>445.83750000000003</v>
      </c>
      <c r="Z339" s="1">
        <v>293.35050000000001</v>
      </c>
      <c r="AA339" s="3">
        <v>15000</v>
      </c>
      <c r="AB339" s="1">
        <v>4863.66</v>
      </c>
    </row>
    <row r="340" spans="1:28" x14ac:dyDescent="0.25">
      <c r="A340" s="1">
        <v>339</v>
      </c>
      <c r="B340" s="2">
        <v>55916</v>
      </c>
      <c r="C340" s="1">
        <v>540.83399999999995</v>
      </c>
      <c r="D340" s="1">
        <v>67.524000000000001</v>
      </c>
      <c r="E340" s="1">
        <v>325.24649999999997</v>
      </c>
      <c r="F340" s="1">
        <v>362.565</v>
      </c>
      <c r="G340" s="1">
        <v>113.21249999999999</v>
      </c>
      <c r="H340" s="1">
        <v>532.82549999999992</v>
      </c>
      <c r="I340" s="1">
        <v>368.83050000000003</v>
      </c>
      <c r="J340" s="1">
        <v>198.8475</v>
      </c>
      <c r="K340" s="1">
        <v>236.0085</v>
      </c>
      <c r="L340" s="1">
        <v>253.6695</v>
      </c>
      <c r="M340" s="1">
        <v>369.012</v>
      </c>
      <c r="N340" s="4">
        <f t="shared" si="8"/>
        <v>12.170152895822362</v>
      </c>
      <c r="O340" s="4">
        <f t="shared" si="7"/>
        <v>133.5133066810773</v>
      </c>
      <c r="P340" s="4">
        <f t="shared" si="6"/>
        <v>100.63542586145473</v>
      </c>
      <c r="Q340" s="4">
        <v>388.65000000000003</v>
      </c>
      <c r="R340" s="4">
        <f t="shared" si="5"/>
        <v>20.336029899632727</v>
      </c>
      <c r="S340" s="1">
        <v>256.66949999999997</v>
      </c>
      <c r="T340" s="1">
        <v>538.20899999999995</v>
      </c>
      <c r="U340" s="1">
        <v>553.66949999999997</v>
      </c>
      <c r="V340" s="1">
        <v>494.178</v>
      </c>
      <c r="W340" s="1">
        <v>221.0085</v>
      </c>
      <c r="X340" s="1">
        <v>718.69350000000009</v>
      </c>
      <c r="Y340" s="1">
        <v>445.00349999999997</v>
      </c>
      <c r="Z340" s="1">
        <v>291.702</v>
      </c>
      <c r="AA340" s="3">
        <v>15000</v>
      </c>
      <c r="AB340" s="1">
        <v>4850.6929999999993</v>
      </c>
    </row>
    <row r="341" spans="1:28" x14ac:dyDescent="0.25">
      <c r="A341" s="1">
        <v>340</v>
      </c>
      <c r="B341" s="2">
        <v>55944</v>
      </c>
      <c r="C341" s="1">
        <v>539.0385</v>
      </c>
      <c r="D341" s="1">
        <v>67.228499999999997</v>
      </c>
      <c r="E341" s="1">
        <v>323.673</v>
      </c>
      <c r="F341" s="1">
        <v>360.91949999999997</v>
      </c>
      <c r="G341" s="1">
        <v>113.53200000000001</v>
      </c>
      <c r="H341" s="1">
        <v>532.75350000000003</v>
      </c>
      <c r="I341" s="1">
        <v>368.46750000000003</v>
      </c>
      <c r="J341" s="1">
        <v>198.53249999999997</v>
      </c>
      <c r="K341" s="1">
        <v>235.089</v>
      </c>
      <c r="L341" s="1">
        <v>253.053</v>
      </c>
      <c r="M341" s="1">
        <v>368.12850000000003</v>
      </c>
      <c r="N341" s="4">
        <f t="shared" si="8"/>
        <v>12.048451366864137</v>
      </c>
      <c r="O341" s="4">
        <f t="shared" si="7"/>
        <v>132.17817361426651</v>
      </c>
      <c r="P341" s="4">
        <f t="shared" si="6"/>
        <v>99.629071602840185</v>
      </c>
      <c r="Q341" s="4">
        <v>388.33050000000003</v>
      </c>
      <c r="R341" s="4">
        <f t="shared" si="5"/>
        <v>20.132669600636401</v>
      </c>
      <c r="S341" s="1">
        <v>256.815</v>
      </c>
      <c r="T341" s="1">
        <v>536.00850000000003</v>
      </c>
      <c r="U341" s="1">
        <v>552.60450000000003</v>
      </c>
      <c r="V341" s="1">
        <v>493.161</v>
      </c>
      <c r="W341" s="1">
        <v>220.69349999999997</v>
      </c>
      <c r="X341" s="1">
        <v>715.88699999999994</v>
      </c>
      <c r="Y341" s="1">
        <v>444.19350000000003</v>
      </c>
      <c r="Z341" s="1">
        <v>290.08050000000003</v>
      </c>
      <c r="AA341" s="3">
        <v>15000</v>
      </c>
      <c r="AB341" s="1">
        <v>4838.5999999999995</v>
      </c>
    </row>
    <row r="342" spans="1:28" x14ac:dyDescent="0.25">
      <c r="A342" s="1">
        <v>341</v>
      </c>
      <c r="B342" s="2">
        <v>55975</v>
      </c>
      <c r="C342" s="1">
        <v>537.32849999999996</v>
      </c>
      <c r="D342" s="1">
        <v>66.955500000000001</v>
      </c>
      <c r="E342" s="1">
        <v>322.02449999999999</v>
      </c>
      <c r="F342" s="1">
        <v>359.12549999999999</v>
      </c>
      <c r="G342" s="1">
        <v>113.26950000000001</v>
      </c>
      <c r="H342" s="1">
        <v>532.74</v>
      </c>
      <c r="I342" s="1">
        <v>368.0745</v>
      </c>
      <c r="J342" s="1">
        <v>198.1755</v>
      </c>
      <c r="K342" s="1">
        <v>234.12450000000001</v>
      </c>
      <c r="L342" s="1">
        <v>252.375</v>
      </c>
      <c r="M342" s="1">
        <v>367.23749999999995</v>
      </c>
      <c r="N342" s="4">
        <f t="shared" si="8"/>
        <v>11.927966853195496</v>
      </c>
      <c r="O342" s="4">
        <f t="shared" si="7"/>
        <v>130.85639187812384</v>
      </c>
      <c r="P342" s="4">
        <f t="shared" si="6"/>
        <v>98.632780886811787</v>
      </c>
      <c r="Q342" s="4">
        <v>388.04100000000005</v>
      </c>
      <c r="R342" s="4">
        <f t="shared" si="5"/>
        <v>19.931342904630036</v>
      </c>
      <c r="S342" s="1">
        <v>256.92449999999997</v>
      </c>
      <c r="T342" s="1">
        <v>533.65049999999997</v>
      </c>
      <c r="U342" s="1">
        <v>551.47499999999991</v>
      </c>
      <c r="V342" s="1">
        <v>492.04950000000002</v>
      </c>
      <c r="W342" s="1">
        <v>220.3245</v>
      </c>
      <c r="X342" s="1">
        <v>712.95</v>
      </c>
      <c r="Y342" s="1">
        <v>443.36249999999995</v>
      </c>
      <c r="Z342" s="1">
        <v>288.40049999999997</v>
      </c>
      <c r="AA342" s="3">
        <v>15000</v>
      </c>
      <c r="AB342" s="1">
        <v>4825.5449999999992</v>
      </c>
    </row>
    <row r="343" spans="1:28" x14ac:dyDescent="0.25">
      <c r="A343" s="1">
        <v>342</v>
      </c>
      <c r="B343" s="2">
        <v>56005</v>
      </c>
      <c r="C343" s="1">
        <v>535.51800000000003</v>
      </c>
      <c r="D343" s="1">
        <v>66.697500000000005</v>
      </c>
      <c r="E343" s="1">
        <v>320.52750000000003</v>
      </c>
      <c r="F343" s="1">
        <v>357.55650000000003</v>
      </c>
      <c r="G343" s="1">
        <v>113.685</v>
      </c>
      <c r="H343" s="1">
        <v>532.68299999999999</v>
      </c>
      <c r="I343" s="1">
        <v>367.71750000000003</v>
      </c>
      <c r="J343" s="1">
        <v>197.9025</v>
      </c>
      <c r="K343" s="1">
        <v>233.25</v>
      </c>
      <c r="L343" s="1">
        <v>251.78249999999997</v>
      </c>
      <c r="M343" s="1">
        <v>366.375</v>
      </c>
      <c r="N343" s="4">
        <f t="shared" si="8"/>
        <v>11.80868718466354</v>
      </c>
      <c r="O343" s="4">
        <f t="shared" si="7"/>
        <v>129.54782795934261</v>
      </c>
      <c r="P343" s="4">
        <f t="shared" si="6"/>
        <v>97.646453077943661</v>
      </c>
      <c r="Q343" s="4">
        <v>387.75</v>
      </c>
      <c r="R343" s="4">
        <f t="shared" si="5"/>
        <v>19.732029475583737</v>
      </c>
      <c r="S343" s="1">
        <v>257.05650000000003</v>
      </c>
      <c r="T343" s="1">
        <v>531.43500000000006</v>
      </c>
      <c r="U343" s="1">
        <v>550.476</v>
      </c>
      <c r="V343" s="1">
        <v>491.03250000000003</v>
      </c>
      <c r="W343" s="1">
        <v>219.96750000000003</v>
      </c>
      <c r="X343" s="1">
        <v>710.37149999999997</v>
      </c>
      <c r="Y343" s="1">
        <v>442.59749999999997</v>
      </c>
      <c r="Z343" s="1">
        <v>286.863</v>
      </c>
      <c r="AA343" s="3">
        <v>15000</v>
      </c>
      <c r="AB343" s="1">
        <v>4813.9529999999995</v>
      </c>
    </row>
    <row r="344" spans="1:28" x14ac:dyDescent="0.25">
      <c r="A344" s="1">
        <v>343</v>
      </c>
      <c r="B344" s="2">
        <v>56036</v>
      </c>
      <c r="C344" s="1">
        <v>533.64300000000003</v>
      </c>
      <c r="D344" s="1">
        <v>66.406499999999994</v>
      </c>
      <c r="E344" s="1">
        <v>318.9255</v>
      </c>
      <c r="F344" s="1">
        <v>355.82550000000003</v>
      </c>
      <c r="G344" s="1">
        <v>113.367</v>
      </c>
      <c r="H344" s="1">
        <v>532.64099999999996</v>
      </c>
      <c r="I344" s="1">
        <v>367.3245</v>
      </c>
      <c r="J344" s="1">
        <v>197.59950000000001</v>
      </c>
      <c r="K344" s="1">
        <v>232.35000000000002</v>
      </c>
      <c r="L344" s="1">
        <v>251.10000000000002</v>
      </c>
      <c r="M344" s="1">
        <v>365.48699999999997</v>
      </c>
      <c r="N344" s="4">
        <f t="shared" si="8"/>
        <v>11.690600312816905</v>
      </c>
      <c r="O344" s="4">
        <f t="shared" si="7"/>
        <v>128.25234967974919</v>
      </c>
      <c r="P344" s="4">
        <f t="shared" si="6"/>
        <v>96.669988547164223</v>
      </c>
      <c r="Q344" s="4">
        <v>387.43500000000006</v>
      </c>
      <c r="R344" s="4">
        <f t="shared" si="5"/>
        <v>19.5347091808279</v>
      </c>
      <c r="S344" s="1">
        <v>257.14949999999999</v>
      </c>
      <c r="T344" s="1">
        <v>529.04999999999995</v>
      </c>
      <c r="U344" s="1">
        <v>549.375</v>
      </c>
      <c r="V344" s="1">
        <v>490.00049999999999</v>
      </c>
      <c r="W344" s="1">
        <v>219.67499999999998</v>
      </c>
      <c r="X344" s="1">
        <v>707.44949999999994</v>
      </c>
      <c r="Y344" s="1">
        <v>441.79950000000002</v>
      </c>
      <c r="Z344" s="1">
        <v>285.1875</v>
      </c>
      <c r="AA344" s="3">
        <v>15000</v>
      </c>
      <c r="AB344" s="1">
        <v>4800.9540000000006</v>
      </c>
    </row>
    <row r="345" spans="1:28" x14ac:dyDescent="0.25">
      <c r="A345" s="1">
        <v>344</v>
      </c>
      <c r="B345" s="2">
        <v>56066</v>
      </c>
      <c r="C345" s="1">
        <v>531.17099999999994</v>
      </c>
      <c r="D345" s="1">
        <v>66.118499999999997</v>
      </c>
      <c r="E345" s="1">
        <v>317.39550000000003</v>
      </c>
      <c r="F345" s="1">
        <v>354.21750000000003</v>
      </c>
      <c r="G345" s="1">
        <v>113.00550000000001</v>
      </c>
      <c r="H345" s="1">
        <v>532.63650000000007</v>
      </c>
      <c r="I345" s="1">
        <v>366.91949999999997</v>
      </c>
      <c r="J345" s="1">
        <v>197.298</v>
      </c>
      <c r="K345" s="1">
        <v>231.48450000000003</v>
      </c>
      <c r="L345" s="1">
        <v>250.5</v>
      </c>
      <c r="M345" s="1">
        <v>364.62149999999997</v>
      </c>
      <c r="N345" s="4">
        <f t="shared" si="8"/>
        <v>11.573694309688735</v>
      </c>
      <c r="O345" s="4">
        <f t="shared" si="7"/>
        <v>126.96982618295169</v>
      </c>
      <c r="P345" s="4">
        <f t="shared" si="6"/>
        <v>95.703288661692582</v>
      </c>
      <c r="Q345" s="4">
        <v>387.07500000000005</v>
      </c>
      <c r="R345" s="4">
        <f t="shared" si="5"/>
        <v>19.33936208901962</v>
      </c>
      <c r="S345" s="1">
        <v>257.274</v>
      </c>
      <c r="T345" s="1">
        <v>526.71749999999997</v>
      </c>
      <c r="U345" s="1">
        <v>548.298</v>
      </c>
      <c r="V345" s="1">
        <v>488.952</v>
      </c>
      <c r="W345" s="1">
        <v>219.339</v>
      </c>
      <c r="X345" s="1">
        <v>704.90250000000003</v>
      </c>
      <c r="Y345" s="1">
        <v>441.048</v>
      </c>
      <c r="Z345" s="1">
        <v>283.59749999999997</v>
      </c>
      <c r="AA345" s="3">
        <v>15000</v>
      </c>
      <c r="AB345" s="1">
        <v>4788.1539999999995</v>
      </c>
    </row>
    <row r="346" spans="1:28" x14ac:dyDescent="0.25">
      <c r="A346" s="1">
        <v>345</v>
      </c>
      <c r="B346" s="2">
        <v>56097</v>
      </c>
      <c r="C346" s="1">
        <v>528.78449999999998</v>
      </c>
      <c r="D346" s="1">
        <v>65.858999999999995</v>
      </c>
      <c r="E346" s="1">
        <v>315.93150000000003</v>
      </c>
      <c r="F346" s="1">
        <v>352.76549999999997</v>
      </c>
      <c r="G346" s="1">
        <v>112.84050000000001</v>
      </c>
      <c r="H346" s="1">
        <v>532.56449999999995</v>
      </c>
      <c r="I346" s="1">
        <v>366.60449999999997</v>
      </c>
      <c r="J346" s="1">
        <v>197.05650000000003</v>
      </c>
      <c r="K346" s="1">
        <v>230.673</v>
      </c>
      <c r="L346" s="1">
        <v>249.9195</v>
      </c>
      <c r="M346" s="1">
        <v>363.81</v>
      </c>
      <c r="N346" s="4">
        <f t="shared" si="8"/>
        <v>11.457957366591847</v>
      </c>
      <c r="O346" s="4">
        <f t="shared" si="7"/>
        <v>125.70012792112217</v>
      </c>
      <c r="P346" s="4">
        <f t="shared" si="6"/>
        <v>94.746255775075653</v>
      </c>
      <c r="Q346" s="4">
        <v>386.73449999999997</v>
      </c>
      <c r="R346" s="4">
        <f t="shared" si="5"/>
        <v>19.145968468129425</v>
      </c>
      <c r="S346" s="1">
        <v>257.34749999999997</v>
      </c>
      <c r="T346" s="1">
        <v>524.56499999999994</v>
      </c>
      <c r="U346" s="1">
        <v>547.30649999999991</v>
      </c>
      <c r="V346" s="1">
        <v>487.98449999999997</v>
      </c>
      <c r="W346" s="1">
        <v>219</v>
      </c>
      <c r="X346" s="1">
        <v>702.38699999999994</v>
      </c>
      <c r="Y346" s="1">
        <v>440.37150000000003</v>
      </c>
      <c r="Z346" s="1">
        <v>282.072</v>
      </c>
      <c r="AA346" s="3">
        <v>15000</v>
      </c>
      <c r="AB346" s="1">
        <v>4776.1909999999998</v>
      </c>
    </row>
    <row r="347" spans="1:28" x14ac:dyDescent="0.25">
      <c r="A347" s="1">
        <v>346</v>
      </c>
      <c r="B347" s="2">
        <v>56128</v>
      </c>
      <c r="C347" s="1">
        <v>526.6635</v>
      </c>
      <c r="D347" s="1">
        <v>65.590499999999992</v>
      </c>
      <c r="E347" s="1">
        <v>314.11649999999997</v>
      </c>
      <c r="F347" s="1">
        <v>351.02699999999999</v>
      </c>
      <c r="G347" s="1">
        <v>112.983</v>
      </c>
      <c r="H347" s="1">
        <v>532.52250000000004</v>
      </c>
      <c r="I347" s="1">
        <v>366.13350000000003</v>
      </c>
      <c r="J347" s="1">
        <v>196.7415</v>
      </c>
      <c r="K347" s="1">
        <v>229.7415</v>
      </c>
      <c r="L347" s="1">
        <v>249.255</v>
      </c>
      <c r="M347" s="1">
        <v>362.86649999999997</v>
      </c>
      <c r="N347" s="4">
        <f t="shared" si="8"/>
        <v>11.343377792925928</v>
      </c>
      <c r="O347" s="4">
        <f t="shared" si="7"/>
        <v>124.44312664191095</v>
      </c>
      <c r="P347" s="4">
        <f t="shared" si="6"/>
        <v>93.798793217324899</v>
      </c>
      <c r="Q347" s="4">
        <v>386.44350000000003</v>
      </c>
      <c r="R347" s="4">
        <f t="shared" si="5"/>
        <v>18.95450878344813</v>
      </c>
      <c r="S347" s="1">
        <v>257.46449999999999</v>
      </c>
      <c r="T347" s="1">
        <v>522</v>
      </c>
      <c r="U347" s="1">
        <v>546.13350000000003</v>
      </c>
      <c r="V347" s="1">
        <v>486.85650000000004</v>
      </c>
      <c r="W347" s="1">
        <v>218.625</v>
      </c>
      <c r="X347" s="1">
        <v>699.4815000000001</v>
      </c>
      <c r="Y347" s="1">
        <v>439.5675</v>
      </c>
      <c r="Z347" s="1">
        <v>280.3125</v>
      </c>
      <c r="AA347" s="3">
        <v>15000</v>
      </c>
      <c r="AB347" s="1">
        <v>4762.7269999999999</v>
      </c>
    </row>
    <row r="348" spans="1:28" x14ac:dyDescent="0.25">
      <c r="A348" s="1">
        <v>347</v>
      </c>
      <c r="B348" s="2">
        <v>56158</v>
      </c>
      <c r="C348" s="1">
        <v>524.34300000000007</v>
      </c>
      <c r="D348" s="1">
        <v>65.316000000000003</v>
      </c>
      <c r="E348" s="1">
        <v>312.62850000000003</v>
      </c>
      <c r="F348" s="1">
        <v>349.69349999999997</v>
      </c>
      <c r="G348" s="1">
        <v>112.53300000000002</v>
      </c>
      <c r="H348" s="1">
        <v>532.51800000000003</v>
      </c>
      <c r="I348" s="1">
        <v>365.83050000000003</v>
      </c>
      <c r="J348" s="1">
        <v>196.524</v>
      </c>
      <c r="K348" s="1">
        <v>229.00350000000003</v>
      </c>
      <c r="L348" s="1">
        <v>248.709</v>
      </c>
      <c r="M348" s="1">
        <v>362.10449999999997</v>
      </c>
      <c r="N348" s="4">
        <f t="shared" si="8"/>
        <v>11.229944014996668</v>
      </c>
      <c r="O348" s="4">
        <f t="shared" si="7"/>
        <v>123.19869537549184</v>
      </c>
      <c r="P348" s="4">
        <f t="shared" si="6"/>
        <v>92.860805285151656</v>
      </c>
      <c r="Q348" s="4">
        <v>386.00850000000003</v>
      </c>
      <c r="R348" s="4">
        <f t="shared" si="5"/>
        <v>18.764963695613648</v>
      </c>
      <c r="S348" s="1">
        <v>257.565</v>
      </c>
      <c r="T348" s="1">
        <v>519.91949999999997</v>
      </c>
      <c r="U348" s="1">
        <v>545.15250000000003</v>
      </c>
      <c r="V348" s="1">
        <v>486</v>
      </c>
      <c r="W348" s="1">
        <v>218.322</v>
      </c>
      <c r="X348" s="1">
        <v>697.20899999999995</v>
      </c>
      <c r="Y348" s="1">
        <v>438.91949999999997</v>
      </c>
      <c r="Z348" s="1">
        <v>278.87850000000003</v>
      </c>
      <c r="AA348" s="3">
        <v>15000</v>
      </c>
      <c r="AB348" s="1">
        <v>4751.2419999999993</v>
      </c>
    </row>
    <row r="349" spans="1:28" x14ac:dyDescent="0.25">
      <c r="A349" s="1">
        <v>348</v>
      </c>
      <c r="B349" s="2">
        <v>56189</v>
      </c>
      <c r="C349" s="1">
        <v>522.19200000000001</v>
      </c>
      <c r="D349" s="1">
        <v>65.038499999999999</v>
      </c>
      <c r="E349" s="1">
        <v>310.96199999999999</v>
      </c>
      <c r="F349" s="1">
        <v>348.12450000000001</v>
      </c>
      <c r="G349" s="1">
        <v>112.40849999999999</v>
      </c>
      <c r="H349" s="1">
        <v>532.47</v>
      </c>
      <c r="I349" s="1">
        <v>365.37450000000001</v>
      </c>
      <c r="J349" s="1">
        <v>196.22550000000001</v>
      </c>
      <c r="K349" s="1">
        <v>228.12450000000001</v>
      </c>
      <c r="L349" s="1">
        <v>248.08799999999999</v>
      </c>
      <c r="M349" s="1">
        <v>361.20000000000005</v>
      </c>
      <c r="N349" s="4">
        <f t="shared" si="8"/>
        <v>11.117644574846702</v>
      </c>
      <c r="O349" s="4">
        <f t="shared" si="7"/>
        <v>121.96670842173693</v>
      </c>
      <c r="P349" s="4">
        <f t="shared" si="6"/>
        <v>91.93219723230014</v>
      </c>
      <c r="Q349" s="4">
        <v>385.69350000000003</v>
      </c>
      <c r="R349" s="4">
        <f t="shared" si="5"/>
        <v>18.57731405865751</v>
      </c>
      <c r="S349" s="1">
        <v>257.625</v>
      </c>
      <c r="T349" s="1">
        <v>517.5</v>
      </c>
      <c r="U349" s="1">
        <v>544.07549999999992</v>
      </c>
      <c r="V349" s="1">
        <v>484.90049999999997</v>
      </c>
      <c r="W349" s="1">
        <v>217.97550000000001</v>
      </c>
      <c r="X349" s="1">
        <v>694.5</v>
      </c>
      <c r="Y349" s="1">
        <v>438.19949999999994</v>
      </c>
      <c r="Z349" s="1">
        <v>277.21199999999999</v>
      </c>
      <c r="AA349" s="3">
        <v>15000</v>
      </c>
      <c r="AB349" s="1">
        <v>4738.3310000000001</v>
      </c>
    </row>
    <row r="350" spans="1:28" x14ac:dyDescent="0.25">
      <c r="A350" s="1">
        <v>349</v>
      </c>
      <c r="B350" s="2">
        <v>56219</v>
      </c>
      <c r="C350" s="1">
        <v>519.97199999999998</v>
      </c>
      <c r="D350" s="1">
        <f>D349*0.99</f>
        <v>64.388114999999999</v>
      </c>
      <c r="E350" s="1">
        <v>309.399</v>
      </c>
      <c r="F350" s="1">
        <v>346.74149999999997</v>
      </c>
      <c r="G350" s="1">
        <v>112.04849999999999</v>
      </c>
      <c r="H350" s="1">
        <v>532.44749999999999</v>
      </c>
      <c r="I350" s="1">
        <v>364.98450000000003</v>
      </c>
      <c r="J350" s="1">
        <v>195.9915</v>
      </c>
      <c r="K350" s="1">
        <v>227.334</v>
      </c>
      <c r="L350" s="1">
        <v>247.512</v>
      </c>
      <c r="M350" s="1">
        <v>360.411</v>
      </c>
      <c r="N350" s="4">
        <f t="shared" si="8"/>
        <v>11.006468129098234</v>
      </c>
      <c r="O350" s="4">
        <f t="shared" si="7"/>
        <v>120.74704133751955</v>
      </c>
      <c r="P350" s="4">
        <f t="shared" si="6"/>
        <v>91.012875259977136</v>
      </c>
      <c r="Q350" s="4">
        <v>385.30050000000006</v>
      </c>
      <c r="R350" s="4">
        <f t="shared" si="5"/>
        <v>18.391540918070934</v>
      </c>
      <c r="S350" s="1">
        <v>257.73450000000003</v>
      </c>
      <c r="T350" s="1">
        <v>515.274</v>
      </c>
      <c r="U350" s="1">
        <v>543.048</v>
      </c>
      <c r="V350" s="1">
        <v>484.01550000000003</v>
      </c>
      <c r="W350" s="1">
        <v>217.64550000000003</v>
      </c>
      <c r="X350" s="1">
        <v>692.12850000000003</v>
      </c>
      <c r="Y350" s="1">
        <v>437.52750000000003</v>
      </c>
      <c r="Z350" s="1">
        <v>275.685</v>
      </c>
      <c r="AA350" s="3">
        <v>15000</v>
      </c>
      <c r="AB350" s="1">
        <v>4726.4260000000013</v>
      </c>
    </row>
    <row r="351" spans="1:28" x14ac:dyDescent="0.25">
      <c r="A351" s="1">
        <v>350</v>
      </c>
      <c r="B351" s="2">
        <v>56250</v>
      </c>
      <c r="C351" s="1">
        <v>517.89599999999996</v>
      </c>
      <c r="D351" s="4">
        <f t="shared" ref="D351:D414" si="9">D350*0.99</f>
        <v>63.744233850000001</v>
      </c>
      <c r="E351" s="1">
        <v>307.6755</v>
      </c>
      <c r="F351" s="1">
        <v>345.22500000000002</v>
      </c>
      <c r="G351" s="1">
        <v>111.54150000000001</v>
      </c>
      <c r="H351" s="1">
        <v>532.39800000000002</v>
      </c>
      <c r="I351" s="1">
        <v>364.57500000000005</v>
      </c>
      <c r="J351" s="1">
        <v>195.72450000000001</v>
      </c>
      <c r="K351" s="1">
        <v>226.488</v>
      </c>
      <c r="L351" s="1">
        <v>246.91200000000001</v>
      </c>
      <c r="M351" s="1">
        <v>359.57550000000003</v>
      </c>
      <c r="N351" s="4">
        <f t="shared" si="8"/>
        <v>10.896403447807252</v>
      </c>
      <c r="O351" s="4">
        <f t="shared" si="7"/>
        <v>119.53957092414436</v>
      </c>
      <c r="P351" s="4">
        <f t="shared" si="6"/>
        <v>90.102746507377361</v>
      </c>
      <c r="Q351" s="4">
        <v>384.96749999999997</v>
      </c>
      <c r="R351" s="4">
        <f t="shared" si="5"/>
        <v>18.207625508890224</v>
      </c>
      <c r="S351" s="1">
        <v>257.8245</v>
      </c>
      <c r="T351" s="1">
        <v>512.87549999999999</v>
      </c>
      <c r="U351" s="1">
        <v>541.97550000000001</v>
      </c>
      <c r="V351" s="1">
        <v>482.95049999999998</v>
      </c>
      <c r="W351" s="1">
        <v>217.3005</v>
      </c>
      <c r="X351" s="1">
        <v>689.44949999999994</v>
      </c>
      <c r="Y351" s="1">
        <v>436.79999999999995</v>
      </c>
      <c r="Z351" s="1">
        <v>274.04999999999995</v>
      </c>
      <c r="AA351" s="3">
        <v>15000</v>
      </c>
      <c r="AB351" s="1">
        <v>4670.5079999999998</v>
      </c>
    </row>
    <row r="352" spans="1:28" x14ac:dyDescent="0.25">
      <c r="A352" s="1">
        <v>351</v>
      </c>
      <c r="B352" s="2">
        <v>56281</v>
      </c>
      <c r="C352" s="1">
        <v>515.81399999999996</v>
      </c>
      <c r="D352" s="4">
        <f t="shared" si="9"/>
        <v>63.106791511499999</v>
      </c>
      <c r="E352" s="1">
        <v>306</v>
      </c>
      <c r="F352" s="1">
        <v>343.863</v>
      </c>
      <c r="G352" s="1">
        <v>111.07350000000001</v>
      </c>
      <c r="H352" s="1">
        <v>532.37549999999999</v>
      </c>
      <c r="I352" s="1">
        <v>364.137</v>
      </c>
      <c r="J352" s="1">
        <v>195.459</v>
      </c>
      <c r="K352" s="1">
        <v>225.678</v>
      </c>
      <c r="L352" s="1">
        <v>246.351</v>
      </c>
      <c r="M352" s="1">
        <v>358.74149999999997</v>
      </c>
      <c r="N352" s="4">
        <f t="shared" si="8"/>
        <v>10.78743941332918</v>
      </c>
      <c r="O352" s="4">
        <f t="shared" si="7"/>
        <v>118.34417521490292</v>
      </c>
      <c r="P352" s="4">
        <f t="shared" si="6"/>
        <v>89.20171904230358</v>
      </c>
      <c r="Q352" s="4">
        <v>384.52500000000003</v>
      </c>
      <c r="R352" s="4">
        <f t="shared" si="5"/>
        <v>18.025549253801323</v>
      </c>
      <c r="S352" s="1">
        <v>257.85449999999997</v>
      </c>
      <c r="T352" s="1">
        <v>510.62849999999997</v>
      </c>
      <c r="U352" s="1">
        <v>540.99149999999997</v>
      </c>
      <c r="V352" s="1">
        <v>481.98449999999997</v>
      </c>
      <c r="W352" s="1">
        <v>216.9195</v>
      </c>
      <c r="X352" s="1">
        <v>687.09749999999997</v>
      </c>
      <c r="Y352" s="1">
        <v>436.11300000000006</v>
      </c>
      <c r="Z352" s="1">
        <v>272.47949999999997</v>
      </c>
      <c r="AA352" s="3">
        <v>15000</v>
      </c>
      <c r="AB352" s="1">
        <v>4658.4869999999992</v>
      </c>
    </row>
    <row r="353" spans="1:28" x14ac:dyDescent="0.25">
      <c r="A353" s="1">
        <v>352</v>
      </c>
      <c r="B353" s="2">
        <v>56309</v>
      </c>
      <c r="C353" s="1">
        <v>513.73500000000001</v>
      </c>
      <c r="D353" s="4">
        <f t="shared" si="9"/>
        <v>62.475723596384995</v>
      </c>
      <c r="E353" s="1">
        <v>304.31849999999997</v>
      </c>
      <c r="F353" s="1">
        <v>342.50850000000003</v>
      </c>
      <c r="G353" s="1">
        <v>110.32350000000001</v>
      </c>
      <c r="H353" s="1">
        <v>532.35299999999995</v>
      </c>
      <c r="I353" s="1">
        <v>363.75</v>
      </c>
      <c r="J353" s="1">
        <v>195.21750000000003</v>
      </c>
      <c r="K353" s="1">
        <v>224.89049999999997</v>
      </c>
      <c r="L353" s="1">
        <v>245.78249999999997</v>
      </c>
      <c r="M353" s="1">
        <v>357.96750000000003</v>
      </c>
      <c r="N353" s="4">
        <f t="shared" si="8"/>
        <v>10.679565019195888</v>
      </c>
      <c r="O353" s="4">
        <f t="shared" si="7"/>
        <v>117.16073346275388</v>
      </c>
      <c r="P353" s="4">
        <f t="shared" si="6"/>
        <v>88.309701851880547</v>
      </c>
      <c r="Q353" s="4">
        <v>384.16949999999997</v>
      </c>
      <c r="R353" s="4">
        <f t="shared" si="5"/>
        <v>17.84529376126331</v>
      </c>
      <c r="S353" s="1">
        <v>257.90250000000003</v>
      </c>
      <c r="T353" s="1">
        <v>508.40250000000003</v>
      </c>
      <c r="U353" s="1">
        <v>539.90250000000003</v>
      </c>
      <c r="V353" s="1">
        <v>481.11300000000006</v>
      </c>
      <c r="W353" s="1">
        <v>216.62850000000003</v>
      </c>
      <c r="X353" s="1">
        <v>684.62850000000003</v>
      </c>
      <c r="Y353" s="1">
        <v>435.43500000000006</v>
      </c>
      <c r="Z353" s="1">
        <v>270.91949999999997</v>
      </c>
      <c r="AA353" s="3">
        <v>15000</v>
      </c>
      <c r="AB353" s="1">
        <v>4646.3740000000007</v>
      </c>
    </row>
    <row r="354" spans="1:28" x14ac:dyDescent="0.25">
      <c r="A354" s="1">
        <v>353</v>
      </c>
      <c r="B354" s="2">
        <v>56340</v>
      </c>
      <c r="C354" s="1">
        <v>511.767</v>
      </c>
      <c r="D354" s="4">
        <f t="shared" si="9"/>
        <v>61.850966360421147</v>
      </c>
      <c r="E354" s="1">
        <v>302.50049999999999</v>
      </c>
      <c r="F354" s="1">
        <v>341.0745</v>
      </c>
      <c r="G354" s="1">
        <v>110.29050000000001</v>
      </c>
      <c r="H354" s="1">
        <v>532.32449999999994</v>
      </c>
      <c r="I354" s="1">
        <v>363.29999999999995</v>
      </c>
      <c r="J354" s="1">
        <v>194.92499999999998</v>
      </c>
      <c r="K354" s="1">
        <v>224.0625</v>
      </c>
      <c r="L354" s="1">
        <v>245.22450000000001</v>
      </c>
      <c r="M354" s="1">
        <v>357.1755</v>
      </c>
      <c r="N354" s="4">
        <f t="shared" si="8"/>
        <v>10.572769369003929</v>
      </c>
      <c r="O354" s="4">
        <f t="shared" si="7"/>
        <v>115.98912612812634</v>
      </c>
      <c r="P354" s="4">
        <f t="shared" si="6"/>
        <v>87.426604833361736</v>
      </c>
      <c r="Q354" s="4">
        <v>383.78249999999997</v>
      </c>
      <c r="R354" s="4">
        <f t="shared" si="5"/>
        <v>17.666840823650677</v>
      </c>
      <c r="S354" s="1">
        <v>258</v>
      </c>
      <c r="T354" s="1">
        <v>505.99950000000001</v>
      </c>
      <c r="U354" s="1">
        <v>538.90049999999997</v>
      </c>
      <c r="V354" s="1">
        <v>480</v>
      </c>
      <c r="W354" s="1">
        <v>216.25049999999999</v>
      </c>
      <c r="X354" s="1">
        <v>682.09950000000003</v>
      </c>
      <c r="Y354" s="1">
        <v>434.72550000000001</v>
      </c>
      <c r="Z354" s="1">
        <v>269.28750000000002</v>
      </c>
      <c r="AA354" s="3">
        <v>15000</v>
      </c>
      <c r="AB354" s="1">
        <v>4634.2219999999998</v>
      </c>
    </row>
    <row r="355" spans="1:28" x14ac:dyDescent="0.25">
      <c r="A355" s="1">
        <v>354</v>
      </c>
      <c r="B355" s="2">
        <v>56370</v>
      </c>
      <c r="C355" s="1">
        <v>509.76599999999996</v>
      </c>
      <c r="D355" s="4">
        <f t="shared" si="9"/>
        <v>61.232456696816932</v>
      </c>
      <c r="E355" s="1">
        <v>300.84749999999997</v>
      </c>
      <c r="F355" s="1">
        <v>339.798</v>
      </c>
      <c r="G355" s="1">
        <v>109.71600000000001</v>
      </c>
      <c r="H355" s="1">
        <v>532.30500000000006</v>
      </c>
      <c r="I355" s="1">
        <v>362.87850000000003</v>
      </c>
      <c r="J355" s="1">
        <v>194.709</v>
      </c>
      <c r="K355" s="1">
        <v>223.2945</v>
      </c>
      <c r="L355" s="1">
        <v>244.68150000000003</v>
      </c>
      <c r="M355" s="1">
        <v>356.41949999999997</v>
      </c>
      <c r="N355" s="4">
        <f t="shared" si="8"/>
        <v>10.46704167531389</v>
      </c>
      <c r="O355" s="4">
        <f t="shared" si="7"/>
        <v>114.82923486684508</v>
      </c>
      <c r="P355" s="4">
        <f t="shared" si="6"/>
        <v>86.552338785028113</v>
      </c>
      <c r="Q355" s="4">
        <v>383.4255</v>
      </c>
      <c r="R355" s="4">
        <f t="shared" si="5"/>
        <v>17.490172415414172</v>
      </c>
      <c r="S355" s="1">
        <v>258.024</v>
      </c>
      <c r="T355" s="1">
        <v>503.75850000000003</v>
      </c>
      <c r="U355" s="1">
        <v>537.91949999999997</v>
      </c>
      <c r="V355" s="1">
        <v>479.12849999999997</v>
      </c>
      <c r="W355" s="1">
        <v>215.928</v>
      </c>
      <c r="X355" s="1">
        <v>679.79100000000005</v>
      </c>
      <c r="Y355" s="1">
        <v>434.04449999999997</v>
      </c>
      <c r="Z355" s="1">
        <v>267.798</v>
      </c>
      <c r="AA355" s="3">
        <v>15000</v>
      </c>
      <c r="AB355" s="1">
        <v>4622.6080000000002</v>
      </c>
    </row>
    <row r="356" spans="1:28" x14ac:dyDescent="0.25">
      <c r="A356" s="1">
        <v>355</v>
      </c>
      <c r="B356" s="2">
        <v>56401</v>
      </c>
      <c r="C356" s="1">
        <v>507.81299999999999</v>
      </c>
      <c r="D356" s="4">
        <f t="shared" si="9"/>
        <v>60.620132129848763</v>
      </c>
      <c r="E356" s="1">
        <v>299.03700000000003</v>
      </c>
      <c r="F356" s="1">
        <v>338.4255</v>
      </c>
      <c r="G356" s="1">
        <v>109.56450000000001</v>
      </c>
      <c r="H356" s="1">
        <v>532.27500000000009</v>
      </c>
      <c r="I356" s="1">
        <v>362.4495</v>
      </c>
      <c r="J356" s="1">
        <v>194.39999999999998</v>
      </c>
      <c r="K356" s="1">
        <v>222.47550000000001</v>
      </c>
      <c r="L356" s="1">
        <v>244.125</v>
      </c>
      <c r="M356" s="1">
        <v>355.62450000000001</v>
      </c>
      <c r="N356" s="4">
        <f t="shared" si="8"/>
        <v>10.362371258560751</v>
      </c>
      <c r="O356" s="4">
        <f t="shared" si="7"/>
        <v>113.68094251817664</v>
      </c>
      <c r="P356" s="4">
        <f t="shared" si="6"/>
        <v>85.686815397177824</v>
      </c>
      <c r="Q356" s="4">
        <v>383.10449999999997</v>
      </c>
      <c r="R356" s="4">
        <f t="shared" ref="R356:R419" si="10">R355*0.99</f>
        <v>17.315270691260029</v>
      </c>
      <c r="S356" s="1">
        <v>258.04949999999997</v>
      </c>
      <c r="T356" s="1">
        <v>501.42450000000002</v>
      </c>
      <c r="U356" s="1">
        <v>536.87549999999999</v>
      </c>
      <c r="V356" s="1">
        <v>478.20000000000005</v>
      </c>
      <c r="W356" s="1">
        <v>215.57550000000003</v>
      </c>
      <c r="X356" s="1">
        <v>677.35050000000001</v>
      </c>
      <c r="Y356" s="1">
        <v>433.34999999999997</v>
      </c>
      <c r="Z356" s="1">
        <v>266.21249999999998</v>
      </c>
      <c r="AA356" s="3">
        <v>15000</v>
      </c>
      <c r="AB356" s="1">
        <v>4610.6179999999995</v>
      </c>
    </row>
    <row r="357" spans="1:28" x14ac:dyDescent="0.25">
      <c r="A357" s="1">
        <v>356</v>
      </c>
      <c r="B357" s="2">
        <v>56431</v>
      </c>
      <c r="C357" s="1">
        <v>505.86750000000001</v>
      </c>
      <c r="D357" s="4">
        <f t="shared" si="9"/>
        <v>60.013930808550278</v>
      </c>
      <c r="E357" s="1">
        <v>297.315</v>
      </c>
      <c r="F357" s="1">
        <v>337.113</v>
      </c>
      <c r="G357" s="1">
        <v>109.04849999999999</v>
      </c>
      <c r="H357" s="1">
        <v>532.23450000000003</v>
      </c>
      <c r="I357" s="1">
        <v>362.05650000000003</v>
      </c>
      <c r="J357" s="1">
        <v>194.1525</v>
      </c>
      <c r="K357" s="1">
        <v>221.685</v>
      </c>
      <c r="L357" s="1">
        <v>243.60449999999997</v>
      </c>
      <c r="M357" s="1">
        <v>354.94349999999997</v>
      </c>
      <c r="N357" s="4">
        <f t="shared" si="8"/>
        <v>10.258747545975144</v>
      </c>
      <c r="O357" s="4">
        <f t="shared" si="7"/>
        <v>112.54413309299487</v>
      </c>
      <c r="P357" s="4">
        <f t="shared" ref="P357:P420" si="11">P356*0.99</f>
        <v>84.82994724320605</v>
      </c>
      <c r="Q357" s="4">
        <v>382.6995</v>
      </c>
      <c r="R357" s="4">
        <f t="shared" si="10"/>
        <v>17.142117984347429</v>
      </c>
      <c r="S357" s="1">
        <v>258.09749999999997</v>
      </c>
      <c r="T357" s="1">
        <v>499.20899999999995</v>
      </c>
      <c r="U357" s="1">
        <v>535.88699999999994</v>
      </c>
      <c r="V357" s="1">
        <v>477.19350000000003</v>
      </c>
      <c r="W357" s="1">
        <v>215.226</v>
      </c>
      <c r="X357" s="1">
        <v>674.952</v>
      </c>
      <c r="Y357" s="1">
        <v>432.65250000000003</v>
      </c>
      <c r="Z357" s="1">
        <v>264.714</v>
      </c>
      <c r="AA357" s="3">
        <v>15000</v>
      </c>
      <c r="AB357" s="1">
        <v>4598.8550000000005</v>
      </c>
    </row>
    <row r="358" spans="1:28" x14ac:dyDescent="0.25">
      <c r="A358" s="1">
        <v>357</v>
      </c>
      <c r="B358" s="2">
        <v>56462</v>
      </c>
      <c r="C358" s="1">
        <v>503.90699999999998</v>
      </c>
      <c r="D358" s="4">
        <f t="shared" si="9"/>
        <v>59.413791500464775</v>
      </c>
      <c r="E358" s="1">
        <v>295.69349999999997</v>
      </c>
      <c r="F358" s="1">
        <v>335.928</v>
      </c>
      <c r="G358" s="1">
        <v>108.99449999999999</v>
      </c>
      <c r="H358" s="1">
        <v>532.23450000000003</v>
      </c>
      <c r="I358" s="1">
        <v>361.66949999999997</v>
      </c>
      <c r="J358" s="1">
        <v>193.935</v>
      </c>
      <c r="K358" s="1">
        <v>220.9725</v>
      </c>
      <c r="L358" s="1">
        <v>243.10950000000003</v>
      </c>
      <c r="M358" s="1">
        <v>354.24149999999997</v>
      </c>
      <c r="N358" s="4">
        <f t="shared" si="8"/>
        <v>10.156160070515392</v>
      </c>
      <c r="O358" s="4">
        <f t="shared" si="7"/>
        <v>111.41869176206492</v>
      </c>
      <c r="P358" s="4">
        <f t="shared" si="11"/>
        <v>83.981647770773989</v>
      </c>
      <c r="Q358" s="4">
        <v>382.33050000000003</v>
      </c>
      <c r="R358" s="4">
        <f t="shared" si="10"/>
        <v>16.970696804503955</v>
      </c>
      <c r="S358" s="1">
        <v>258.12149999999997</v>
      </c>
      <c r="T358" s="1">
        <v>497.15250000000003</v>
      </c>
      <c r="U358" s="1">
        <v>534.96749999999997</v>
      </c>
      <c r="V358" s="1">
        <v>476.322</v>
      </c>
      <c r="W358" s="1">
        <v>214.911</v>
      </c>
      <c r="X358" s="1">
        <v>672.822</v>
      </c>
      <c r="Y358" s="1">
        <v>432.01199999999994</v>
      </c>
      <c r="Z358" s="1">
        <v>263.25</v>
      </c>
      <c r="AA358" s="3">
        <v>15000</v>
      </c>
      <c r="AB358" s="1">
        <v>4588.1570000000002</v>
      </c>
    </row>
    <row r="359" spans="1:28" x14ac:dyDescent="0.25">
      <c r="A359" s="1">
        <v>358</v>
      </c>
      <c r="B359" s="2">
        <v>56493</v>
      </c>
      <c r="C359" s="1">
        <v>502.15350000000001</v>
      </c>
      <c r="D359" s="4">
        <f t="shared" si="9"/>
        <v>58.819653585460124</v>
      </c>
      <c r="E359" s="1">
        <v>293.71800000000002</v>
      </c>
      <c r="F359" s="1">
        <v>334.5</v>
      </c>
      <c r="G359" s="1">
        <v>108.67349999999999</v>
      </c>
      <c r="H359" s="1">
        <v>532.18349999999998</v>
      </c>
      <c r="I359" s="1">
        <v>361.17899999999997</v>
      </c>
      <c r="J359" s="1">
        <v>193.6335</v>
      </c>
      <c r="K359" s="1">
        <v>220.125</v>
      </c>
      <c r="L359" s="1">
        <v>242.5575</v>
      </c>
      <c r="M359" s="1">
        <v>353.49149999999997</v>
      </c>
      <c r="N359" s="4">
        <f t="shared" si="8"/>
        <v>10.054598469810239</v>
      </c>
      <c r="O359" s="4">
        <f t="shared" si="7"/>
        <v>110.30450484444427</v>
      </c>
      <c r="P359" s="4">
        <f t="shared" si="11"/>
        <v>83.141831293066247</v>
      </c>
      <c r="Q359" s="4">
        <v>381.99149999999997</v>
      </c>
      <c r="R359" s="4">
        <f t="shared" si="10"/>
        <v>16.800989836458914</v>
      </c>
      <c r="S359" s="1">
        <v>258.13350000000003</v>
      </c>
      <c r="T359" s="1">
        <v>494.73150000000004</v>
      </c>
      <c r="U359" s="1">
        <v>533.86649999999997</v>
      </c>
      <c r="V359" s="1">
        <v>475.33949999999993</v>
      </c>
      <c r="W359" s="1">
        <v>214.554</v>
      </c>
      <c r="X359" s="1">
        <v>670.2315000000001</v>
      </c>
      <c r="Y359" s="1">
        <v>431.23649999999998</v>
      </c>
      <c r="Z359" s="1">
        <v>261.57599999999996</v>
      </c>
      <c r="AA359" s="3">
        <v>15000</v>
      </c>
      <c r="AB359" s="1">
        <v>4575.6130000000003</v>
      </c>
    </row>
    <row r="360" spans="1:28" x14ac:dyDescent="0.25">
      <c r="A360" s="1">
        <v>359</v>
      </c>
      <c r="B360" s="2">
        <v>56523</v>
      </c>
      <c r="C360" s="1">
        <v>500.31450000000001</v>
      </c>
      <c r="D360" s="4">
        <f t="shared" si="9"/>
        <v>58.231457049605524</v>
      </c>
      <c r="E360" s="1">
        <v>292.137</v>
      </c>
      <c r="F360" s="1">
        <v>333.387</v>
      </c>
      <c r="G360" s="1">
        <v>108.45750000000001</v>
      </c>
      <c r="H360" s="1">
        <v>532.18650000000002</v>
      </c>
      <c r="I360" s="1">
        <v>360.822</v>
      </c>
      <c r="J360" s="1">
        <v>193.35449999999997</v>
      </c>
      <c r="K360" s="1">
        <v>219.435</v>
      </c>
      <c r="L360" s="1">
        <v>242.09250000000003</v>
      </c>
      <c r="M360" s="1">
        <v>352.887</v>
      </c>
      <c r="N360" s="4">
        <f t="shared" si="8"/>
        <v>9.9540524851121361</v>
      </c>
      <c r="O360" s="4">
        <f t="shared" si="7"/>
        <v>109.20145979599982</v>
      </c>
      <c r="P360" s="4">
        <f t="shared" si="11"/>
        <v>82.310412980135581</v>
      </c>
      <c r="Q360" s="4">
        <v>381.53550000000001</v>
      </c>
      <c r="R360" s="4">
        <f t="shared" si="10"/>
        <v>16.632979938094326</v>
      </c>
      <c r="S360" s="1">
        <v>258.19349999999997</v>
      </c>
      <c r="T360" s="1">
        <v>492.822</v>
      </c>
      <c r="U360" s="1">
        <v>533.03250000000003</v>
      </c>
      <c r="V360" s="1">
        <v>474.48449999999997</v>
      </c>
      <c r="W360" s="1">
        <v>214.23450000000003</v>
      </c>
      <c r="X360" s="1">
        <v>668.12850000000003</v>
      </c>
      <c r="Y360" s="1">
        <v>430.60949999999997</v>
      </c>
      <c r="Z360" s="1">
        <v>260.214</v>
      </c>
      <c r="AA360" s="3">
        <v>15000</v>
      </c>
      <c r="AB360" s="1">
        <v>4565.3239999999996</v>
      </c>
    </row>
    <row r="361" spans="1:28" x14ac:dyDescent="0.25">
      <c r="A361" s="1">
        <v>360</v>
      </c>
      <c r="B361" s="2">
        <v>56554</v>
      </c>
      <c r="C361" s="1">
        <v>498.55949999999996</v>
      </c>
      <c r="D361" s="4">
        <f t="shared" si="9"/>
        <v>57.649142479109472</v>
      </c>
      <c r="E361" s="1">
        <v>290.262</v>
      </c>
      <c r="F361" s="1">
        <v>332.12549999999999</v>
      </c>
      <c r="G361" s="1">
        <v>108.3135</v>
      </c>
      <c r="H361" s="1">
        <v>532.17750000000001</v>
      </c>
      <c r="I361" s="1">
        <v>360.40049999999997</v>
      </c>
      <c r="J361" s="1">
        <v>193.09950000000001</v>
      </c>
      <c r="K361" s="1">
        <v>218.637</v>
      </c>
      <c r="L361" s="1">
        <v>241.57500000000002</v>
      </c>
      <c r="M361" s="1">
        <v>352.20000000000005</v>
      </c>
      <c r="N361" s="4">
        <f t="shared" si="8"/>
        <v>9.8545119602610143</v>
      </c>
      <c r="O361" s="4">
        <f t="shared" si="7"/>
        <v>108.10944519803982</v>
      </c>
      <c r="P361" s="4">
        <f t="shared" si="11"/>
        <v>81.48730885033423</v>
      </c>
      <c r="Q361" s="4">
        <v>381.19349999999997</v>
      </c>
      <c r="R361" s="4">
        <f t="shared" si="10"/>
        <v>16.466650138713383</v>
      </c>
      <c r="S361" s="1">
        <v>258.1755</v>
      </c>
      <c r="T361" s="1">
        <v>490.62450000000001</v>
      </c>
      <c r="U361" s="1">
        <v>532.00049999999999</v>
      </c>
      <c r="V361" s="1">
        <v>473.54999999999995</v>
      </c>
      <c r="W361" s="1">
        <v>213.87450000000001</v>
      </c>
      <c r="X361" s="1">
        <v>665.84999999999991</v>
      </c>
      <c r="Y361" s="1">
        <v>429.86249999999995</v>
      </c>
      <c r="Z361" s="1">
        <v>258.61199999999997</v>
      </c>
      <c r="AA361" s="3">
        <v>15000</v>
      </c>
      <c r="AB361" s="1">
        <v>4553.7330000000011</v>
      </c>
    </row>
    <row r="362" spans="1:28" x14ac:dyDescent="0.25">
      <c r="A362" s="1">
        <v>361</v>
      </c>
      <c r="B362" s="2">
        <v>56584</v>
      </c>
      <c r="C362" s="1">
        <v>496.7235</v>
      </c>
      <c r="D362" s="4">
        <f t="shared" si="9"/>
        <v>57.072651054318378</v>
      </c>
      <c r="E362" s="1">
        <v>288.55650000000003</v>
      </c>
      <c r="F362" s="1">
        <v>330.91949999999997</v>
      </c>
      <c r="G362" s="1">
        <v>107.955</v>
      </c>
      <c r="H362" s="1">
        <v>532.14</v>
      </c>
      <c r="I362" s="1">
        <v>360.048</v>
      </c>
      <c r="J362" s="1">
        <v>192.822</v>
      </c>
      <c r="K362" s="1">
        <v>217.911</v>
      </c>
      <c r="L362" s="1">
        <v>241.101</v>
      </c>
      <c r="M362" s="1">
        <v>351.60449999999997</v>
      </c>
      <c r="N362" s="4">
        <f t="shared" si="8"/>
        <v>9.7559668406584041</v>
      </c>
      <c r="O362" s="4">
        <f t="shared" si="7"/>
        <v>107.02835074605942</v>
      </c>
      <c r="P362" s="4">
        <f t="shared" si="11"/>
        <v>80.672435761830883</v>
      </c>
      <c r="Q362" s="4">
        <v>380.70000000000005</v>
      </c>
      <c r="R362" s="4">
        <f t="shared" si="10"/>
        <v>16.301983637326249</v>
      </c>
      <c r="S362" s="1">
        <v>258.19349999999997</v>
      </c>
      <c r="T362" s="1">
        <v>488.63699999999994</v>
      </c>
      <c r="U362" s="1">
        <v>531.072</v>
      </c>
      <c r="V362" s="1">
        <v>472.69350000000003</v>
      </c>
      <c r="W362" s="1">
        <v>213.55650000000003</v>
      </c>
      <c r="X362" s="1">
        <v>663.58050000000003</v>
      </c>
      <c r="Y362" s="1">
        <v>429.16949999999997</v>
      </c>
      <c r="Z362" s="1">
        <v>257.11649999999997</v>
      </c>
      <c r="AA362" s="3">
        <v>15000</v>
      </c>
      <c r="AB362" s="1">
        <v>4542.7649999999994</v>
      </c>
    </row>
    <row r="363" spans="1:28" x14ac:dyDescent="0.25">
      <c r="A363" s="1">
        <v>362</v>
      </c>
      <c r="B363" s="2">
        <v>56615</v>
      </c>
      <c r="C363" s="1">
        <v>495.06899999999996</v>
      </c>
      <c r="D363" s="4">
        <f t="shared" si="9"/>
        <v>56.501924543775196</v>
      </c>
      <c r="E363" s="1">
        <v>286.6995</v>
      </c>
      <c r="F363" s="1">
        <v>329.67449999999997</v>
      </c>
      <c r="G363" s="1">
        <v>107.7765</v>
      </c>
      <c r="H363" s="1">
        <v>532.12950000000001</v>
      </c>
      <c r="I363" s="1">
        <v>359.65049999999997</v>
      </c>
      <c r="J363" s="1">
        <v>192.52499999999998</v>
      </c>
      <c r="K363" s="1">
        <v>217.125</v>
      </c>
      <c r="L363" s="1">
        <v>240.61199999999997</v>
      </c>
      <c r="M363" s="1">
        <v>350.89949999999999</v>
      </c>
      <c r="N363" s="4">
        <f t="shared" si="8"/>
        <v>9.6584071722518203</v>
      </c>
      <c r="O363" s="4">
        <f t="shared" si="7"/>
        <v>105.95806723859882</v>
      </c>
      <c r="P363" s="4">
        <f t="shared" si="11"/>
        <v>79.865711404212576</v>
      </c>
      <c r="Q363" s="4">
        <v>380.34749999999997</v>
      </c>
      <c r="R363" s="4">
        <f t="shared" si="10"/>
        <v>16.138963800952986</v>
      </c>
      <c r="S363" s="1">
        <v>258.1755</v>
      </c>
      <c r="T363" s="1">
        <v>486.47550000000001</v>
      </c>
      <c r="U363" s="1">
        <v>530.07449999999994</v>
      </c>
      <c r="V363" s="1">
        <v>471.70049999999998</v>
      </c>
      <c r="W363" s="1">
        <v>213.1995</v>
      </c>
      <c r="X363" s="1">
        <v>661.2</v>
      </c>
      <c r="Y363" s="1">
        <v>428.42550000000006</v>
      </c>
      <c r="Z363" s="1">
        <v>255.51300000000003</v>
      </c>
      <c r="AA363" s="3">
        <v>15000</v>
      </c>
      <c r="AB363" s="1">
        <v>4531.183</v>
      </c>
    </row>
    <row r="364" spans="1:28" x14ac:dyDescent="0.25">
      <c r="A364" s="1">
        <v>363</v>
      </c>
      <c r="B364" s="2">
        <v>56646</v>
      </c>
      <c r="C364" s="1">
        <v>493.32149999999996</v>
      </c>
      <c r="D364" s="4">
        <f t="shared" si="9"/>
        <v>55.936905298337443</v>
      </c>
      <c r="E364" s="1">
        <v>284.952</v>
      </c>
      <c r="F364" s="1">
        <v>328.476</v>
      </c>
      <c r="G364" s="1">
        <v>107.5005</v>
      </c>
      <c r="H364" s="1">
        <v>532.09199999999998</v>
      </c>
      <c r="I364" s="1">
        <v>359.298</v>
      </c>
      <c r="J364" s="1">
        <v>192.2415</v>
      </c>
      <c r="K364" s="1">
        <v>216.387</v>
      </c>
      <c r="L364" s="1">
        <v>240.15749999999997</v>
      </c>
      <c r="M364" s="1">
        <v>350.322</v>
      </c>
      <c r="N364" s="4">
        <f t="shared" si="8"/>
        <v>9.5618231005293026</v>
      </c>
      <c r="O364" s="4">
        <f t="shared" si="7"/>
        <v>104.89848656621282</v>
      </c>
      <c r="P364" s="4">
        <f t="shared" si="11"/>
        <v>79.067054290170447</v>
      </c>
      <c r="Q364" s="4">
        <v>379.84950000000003</v>
      </c>
      <c r="R364" s="4">
        <f t="shared" si="10"/>
        <v>15.977574162943457</v>
      </c>
      <c r="S364" s="1">
        <v>258.19349999999997</v>
      </c>
      <c r="T364" s="1">
        <v>484.452</v>
      </c>
      <c r="U364" s="1">
        <v>529.16100000000006</v>
      </c>
      <c r="V364" s="1">
        <v>470.80649999999997</v>
      </c>
      <c r="W364" s="1">
        <v>212.87850000000003</v>
      </c>
      <c r="X364" s="1">
        <v>658.93500000000006</v>
      </c>
      <c r="Y364" s="1">
        <v>427.70550000000003</v>
      </c>
      <c r="Z364" s="1">
        <v>253.959</v>
      </c>
      <c r="AA364" s="3">
        <v>15000</v>
      </c>
      <c r="AB364" s="1">
        <v>4520.1609999999991</v>
      </c>
    </row>
    <row r="365" spans="1:28" x14ac:dyDescent="0.25">
      <c r="A365" s="1">
        <v>364</v>
      </c>
      <c r="B365" s="2">
        <v>56674</v>
      </c>
      <c r="C365" s="1">
        <v>491.62049999999999</v>
      </c>
      <c r="D365" s="4">
        <f t="shared" si="9"/>
        <v>55.377536245354065</v>
      </c>
      <c r="E365" s="1">
        <v>283.197</v>
      </c>
      <c r="F365" s="1">
        <v>327.339</v>
      </c>
      <c r="G365" s="1">
        <v>107.17649999999999</v>
      </c>
      <c r="H365" s="1">
        <v>532.09199999999998</v>
      </c>
      <c r="I365" s="1">
        <v>358.887</v>
      </c>
      <c r="J365" s="1">
        <v>191.976</v>
      </c>
      <c r="K365" s="1">
        <v>215.673</v>
      </c>
      <c r="L365" s="1">
        <v>239.697</v>
      </c>
      <c r="M365" s="1">
        <v>349.74149999999997</v>
      </c>
      <c r="N365" s="4">
        <f t="shared" si="8"/>
        <v>9.4662048695240095</v>
      </c>
      <c r="O365" s="4">
        <f t="shared" si="7"/>
        <v>103.84950170055069</v>
      </c>
      <c r="P365" s="4">
        <f t="shared" si="11"/>
        <v>78.276383747268738</v>
      </c>
      <c r="Q365" s="4">
        <v>379.40250000000003</v>
      </c>
      <c r="R365" s="4">
        <f t="shared" si="10"/>
        <v>15.817798421314022</v>
      </c>
      <c r="S365" s="1">
        <v>258.19349999999997</v>
      </c>
      <c r="T365" s="1">
        <v>482.51550000000003</v>
      </c>
      <c r="U365" s="1">
        <v>528.19350000000009</v>
      </c>
      <c r="V365" s="1">
        <v>469.93500000000006</v>
      </c>
      <c r="W365" s="1">
        <v>212.51549999999997</v>
      </c>
      <c r="X365" s="1">
        <v>656.75850000000003</v>
      </c>
      <c r="Y365" s="1">
        <v>426.97950000000003</v>
      </c>
      <c r="Z365" s="1">
        <v>252.363</v>
      </c>
      <c r="AA365" s="3">
        <v>15000</v>
      </c>
      <c r="AB365" s="1">
        <v>4509.2300000000005</v>
      </c>
    </row>
    <row r="366" spans="1:28" x14ac:dyDescent="0.25">
      <c r="A366" s="1">
        <v>365</v>
      </c>
      <c r="B366" s="2">
        <v>56705</v>
      </c>
      <c r="C366" s="1">
        <v>489.99</v>
      </c>
      <c r="D366" s="4">
        <f t="shared" si="9"/>
        <v>54.823760882900523</v>
      </c>
      <c r="E366" s="1">
        <v>281.39999999999998</v>
      </c>
      <c r="F366" s="1">
        <v>326.12549999999999</v>
      </c>
      <c r="G366" s="1">
        <v>107.0745</v>
      </c>
      <c r="H366" s="1">
        <v>532.10400000000004</v>
      </c>
      <c r="I366" s="1">
        <v>358.5</v>
      </c>
      <c r="J366" s="1">
        <v>191.67449999999999</v>
      </c>
      <c r="K366" s="1">
        <v>214.887</v>
      </c>
      <c r="L366" s="1">
        <v>239.22450000000001</v>
      </c>
      <c r="M366" s="1">
        <v>349.15049999999997</v>
      </c>
      <c r="N366" s="4">
        <f t="shared" si="8"/>
        <v>9.3715428208287701</v>
      </c>
      <c r="O366" s="4">
        <f t="shared" si="7"/>
        <v>102.81100668354519</v>
      </c>
      <c r="P366" s="4">
        <f t="shared" si="11"/>
        <v>77.493619909796053</v>
      </c>
      <c r="Q366" s="4">
        <v>378.99149999999997</v>
      </c>
      <c r="R366" s="4">
        <f t="shared" si="10"/>
        <v>15.659620437100882</v>
      </c>
      <c r="S366" s="1">
        <v>258.1755</v>
      </c>
      <c r="T366" s="1">
        <v>480.45000000000005</v>
      </c>
      <c r="U366" s="1">
        <v>527.22450000000003</v>
      </c>
      <c r="V366" s="1">
        <v>468.94949999999994</v>
      </c>
      <c r="W366" s="1">
        <v>212.20050000000003</v>
      </c>
      <c r="X366" s="1">
        <v>654.34950000000003</v>
      </c>
      <c r="Y366" s="1">
        <v>426.21299999999997</v>
      </c>
      <c r="Z366" s="1">
        <v>250.6755</v>
      </c>
      <c r="AA366" s="3">
        <v>15000</v>
      </c>
      <c r="AB366" s="1">
        <v>4497.8790000000008</v>
      </c>
    </row>
    <row r="367" spans="1:28" x14ac:dyDescent="0.25">
      <c r="A367" s="1">
        <v>366</v>
      </c>
      <c r="B367" s="2">
        <v>56735</v>
      </c>
      <c r="C367" s="1">
        <v>488.40750000000003</v>
      </c>
      <c r="D367" s="4">
        <f t="shared" si="9"/>
        <v>54.275523274071517</v>
      </c>
      <c r="E367" s="1">
        <v>279.702</v>
      </c>
      <c r="F367" s="1">
        <v>325.01549999999997</v>
      </c>
      <c r="G367" s="1">
        <v>106.89750000000001</v>
      </c>
      <c r="H367" s="1">
        <v>532.06950000000006</v>
      </c>
      <c r="I367" s="1">
        <v>358.137</v>
      </c>
      <c r="J367" s="1">
        <v>191.4195</v>
      </c>
      <c r="K367" s="1">
        <v>214.197</v>
      </c>
      <c r="L367" s="1">
        <v>238.815</v>
      </c>
      <c r="M367" s="1">
        <v>348.58050000000003</v>
      </c>
      <c r="N367" s="4">
        <f t="shared" si="8"/>
        <v>9.2778273926204822</v>
      </c>
      <c r="O367" s="4">
        <f t="shared" si="7"/>
        <v>101.78289661670973</v>
      </c>
      <c r="P367" s="4">
        <f t="shared" si="11"/>
        <v>76.718683710698087</v>
      </c>
      <c r="Q367" s="4">
        <v>378.45000000000005</v>
      </c>
      <c r="R367" s="4">
        <f t="shared" si="10"/>
        <v>15.503024232729873</v>
      </c>
      <c r="S367" s="1">
        <v>258.16949999999997</v>
      </c>
      <c r="T367" s="1">
        <v>478.59749999999997</v>
      </c>
      <c r="U367" s="1">
        <v>526.33050000000003</v>
      </c>
      <c r="V367" s="1">
        <v>468.09749999999997</v>
      </c>
      <c r="W367" s="1">
        <v>211.887</v>
      </c>
      <c r="X367" s="1">
        <v>652.20899999999995</v>
      </c>
      <c r="Y367" s="1">
        <v>425.49149999999997</v>
      </c>
      <c r="Z367" s="1">
        <v>249.10950000000003</v>
      </c>
      <c r="AA367" s="3">
        <v>15000</v>
      </c>
      <c r="AB367" s="1">
        <v>4487.4380000000001</v>
      </c>
    </row>
    <row r="368" spans="1:28" x14ac:dyDescent="0.25">
      <c r="A368" s="1">
        <v>367</v>
      </c>
      <c r="B368" s="2">
        <v>56766</v>
      </c>
      <c r="C368" s="1">
        <v>486.76800000000003</v>
      </c>
      <c r="D368" s="4">
        <f t="shared" si="9"/>
        <v>53.7327680413308</v>
      </c>
      <c r="E368" s="1">
        <v>277.91250000000002</v>
      </c>
      <c r="F368" s="1">
        <v>323.8245</v>
      </c>
      <c r="G368" s="1">
        <v>106.70099999999999</v>
      </c>
      <c r="H368" s="1">
        <v>532.05600000000004</v>
      </c>
      <c r="I368" s="1">
        <v>357.70050000000003</v>
      </c>
      <c r="J368" s="1">
        <v>191.12549999999999</v>
      </c>
      <c r="K368" s="1">
        <v>213.45000000000002</v>
      </c>
      <c r="L368" s="1">
        <v>238.35000000000002</v>
      </c>
      <c r="M368" s="1">
        <v>347.97450000000003</v>
      </c>
      <c r="N368" s="4">
        <f t="shared" si="8"/>
        <v>9.1850491186942769</v>
      </c>
      <c r="O368" s="4">
        <f t="shared" si="7"/>
        <v>100.76506765054263</v>
      </c>
      <c r="P368" s="4">
        <f t="shared" si="11"/>
        <v>75.951496873591111</v>
      </c>
      <c r="Q368" s="4">
        <v>378.024</v>
      </c>
      <c r="R368" s="4">
        <f t="shared" si="10"/>
        <v>15.347993990402573</v>
      </c>
      <c r="S368" s="1">
        <v>258.12450000000001</v>
      </c>
      <c r="T368" s="1">
        <v>476.57549999999998</v>
      </c>
      <c r="U368" s="1">
        <v>525.375</v>
      </c>
      <c r="V368" s="1">
        <v>467.14949999999999</v>
      </c>
      <c r="W368" s="1">
        <v>211.52549999999999</v>
      </c>
      <c r="X368" s="1">
        <v>649.90049999999997</v>
      </c>
      <c r="Y368" s="1">
        <v>424.71299999999997</v>
      </c>
      <c r="Z368" s="1">
        <v>247.45050000000003</v>
      </c>
      <c r="AA368" s="3">
        <v>15000</v>
      </c>
      <c r="AB368" s="1">
        <v>4476.1179999999995</v>
      </c>
    </row>
    <row r="369" spans="1:28" x14ac:dyDescent="0.25">
      <c r="A369" s="1">
        <v>368</v>
      </c>
      <c r="B369" s="2">
        <v>56796</v>
      </c>
      <c r="C369" s="1">
        <v>485.19450000000006</v>
      </c>
      <c r="D369" s="4">
        <f t="shared" si="9"/>
        <v>53.195440360917495</v>
      </c>
      <c r="E369" s="1">
        <v>276.18150000000003</v>
      </c>
      <c r="F369" s="1">
        <v>322.74149999999997</v>
      </c>
      <c r="G369" s="1">
        <v>105.98850000000002</v>
      </c>
      <c r="H369" s="1">
        <v>532.02149999999995</v>
      </c>
      <c r="I369" s="1">
        <v>357.315</v>
      </c>
      <c r="J369" s="1">
        <v>190.815</v>
      </c>
      <c r="K369" s="1">
        <v>212.73450000000003</v>
      </c>
      <c r="L369" s="1">
        <v>237.94349999999997</v>
      </c>
      <c r="M369" s="1">
        <v>347.44349999999997</v>
      </c>
      <c r="N369" s="4">
        <f t="shared" si="8"/>
        <v>9.0931986275073342</v>
      </c>
      <c r="O369" s="4">
        <f t="shared" si="7"/>
        <v>99.757416974037213</v>
      </c>
      <c r="P369" s="4">
        <f t="shared" si="11"/>
        <v>75.191981904855197</v>
      </c>
      <c r="Q369" s="4">
        <v>377.50049999999999</v>
      </c>
      <c r="R369" s="4">
        <f t="shared" si="10"/>
        <v>15.194514050498547</v>
      </c>
      <c r="S369" s="1">
        <v>258.12149999999997</v>
      </c>
      <c r="T369" s="1">
        <v>474.702</v>
      </c>
      <c r="U369" s="1">
        <v>524.46749999999997</v>
      </c>
      <c r="V369" s="1">
        <v>466.25850000000003</v>
      </c>
      <c r="W369" s="1">
        <v>211.209</v>
      </c>
      <c r="X369" s="1">
        <v>647.66100000000006</v>
      </c>
      <c r="Y369" s="1">
        <v>423.96749999999997</v>
      </c>
      <c r="Z369" s="1">
        <v>245.85449999999997</v>
      </c>
      <c r="AA369" s="3">
        <v>15000</v>
      </c>
      <c r="AB369" s="1">
        <v>4465.1019999999999</v>
      </c>
    </row>
    <row r="370" spans="1:28" x14ac:dyDescent="0.25">
      <c r="A370" s="1">
        <v>369</v>
      </c>
      <c r="B370" s="2">
        <v>56827</v>
      </c>
      <c r="C370" s="1">
        <v>483.58799999999997</v>
      </c>
      <c r="D370" s="4">
        <f t="shared" si="9"/>
        <v>52.663485957308318</v>
      </c>
      <c r="E370" s="1">
        <v>274.56</v>
      </c>
      <c r="F370" s="1">
        <v>321.678</v>
      </c>
      <c r="G370" s="1">
        <v>105.76950000000001</v>
      </c>
      <c r="H370" s="1">
        <v>532.04549999999995</v>
      </c>
      <c r="I370" s="1">
        <v>356.952</v>
      </c>
      <c r="J370" s="1">
        <v>190.572</v>
      </c>
      <c r="K370" s="1">
        <v>212.06849999999997</v>
      </c>
      <c r="L370" s="1">
        <v>237.5445</v>
      </c>
      <c r="M370" s="1">
        <v>346.959</v>
      </c>
      <c r="N370" s="4">
        <f t="shared" si="8"/>
        <v>9.0022666412322607</v>
      </c>
      <c r="O370" s="4">
        <f t="shared" si="7"/>
        <v>98.759842804296838</v>
      </c>
      <c r="P370" s="4">
        <f t="shared" si="11"/>
        <v>74.440062085806645</v>
      </c>
      <c r="Q370" s="4">
        <v>377.03249999999997</v>
      </c>
      <c r="R370" s="4">
        <f t="shared" si="10"/>
        <v>15.042568909993562</v>
      </c>
      <c r="S370" s="1">
        <v>258.048</v>
      </c>
      <c r="T370" s="1">
        <v>472.93500000000006</v>
      </c>
      <c r="U370" s="1">
        <v>523.66949999999997</v>
      </c>
      <c r="V370" s="1">
        <v>465.43500000000006</v>
      </c>
      <c r="W370" s="1">
        <v>210.89550000000003</v>
      </c>
      <c r="X370" s="1">
        <v>645.678</v>
      </c>
      <c r="Y370" s="1">
        <v>423.26550000000003</v>
      </c>
      <c r="Z370" s="1">
        <v>244.31849999999997</v>
      </c>
      <c r="AA370" s="3">
        <v>15000</v>
      </c>
      <c r="AB370" s="1">
        <v>4455.0360000000001</v>
      </c>
    </row>
    <row r="371" spans="1:28" x14ac:dyDescent="0.25">
      <c r="A371" s="1">
        <v>370</v>
      </c>
      <c r="B371" s="2">
        <v>56858</v>
      </c>
      <c r="C371" s="1">
        <v>482.19450000000006</v>
      </c>
      <c r="D371" s="4">
        <f t="shared" si="9"/>
        <v>52.136851097735232</v>
      </c>
      <c r="E371" s="1">
        <v>272.625</v>
      </c>
      <c r="F371" s="1">
        <v>320.46449999999999</v>
      </c>
      <c r="G371" s="1">
        <v>105.501</v>
      </c>
      <c r="H371" s="1">
        <v>532.02600000000007</v>
      </c>
      <c r="I371" s="1">
        <v>356.51850000000002</v>
      </c>
      <c r="J371" s="1">
        <v>190.2585</v>
      </c>
      <c r="K371" s="1">
        <v>211.29900000000004</v>
      </c>
      <c r="L371" s="1">
        <v>237.09300000000002</v>
      </c>
      <c r="M371" s="1">
        <v>346.36649999999997</v>
      </c>
      <c r="N371" s="4">
        <f t="shared" si="8"/>
        <v>8.9122439748199387</v>
      </c>
      <c r="O371" s="4">
        <f t="shared" si="7"/>
        <v>97.772244376253866</v>
      </c>
      <c r="P371" s="4">
        <f t="shared" si="11"/>
        <v>73.695661464948572</v>
      </c>
      <c r="Q371" s="4">
        <v>376.572</v>
      </c>
      <c r="R371" s="4">
        <f t="shared" si="10"/>
        <v>14.892143220893626</v>
      </c>
      <c r="S371" s="1">
        <v>258.02699999999999</v>
      </c>
      <c r="T371" s="1">
        <v>470.86649999999997</v>
      </c>
      <c r="U371" s="1">
        <v>522.6690000000001</v>
      </c>
      <c r="V371" s="1">
        <v>464.35650000000004</v>
      </c>
      <c r="W371" s="1">
        <v>210.53550000000001</v>
      </c>
      <c r="X371" s="1">
        <v>643.2315000000001</v>
      </c>
      <c r="Y371" s="1">
        <v>422.4375</v>
      </c>
      <c r="Z371" s="1">
        <v>242.53199999999998</v>
      </c>
      <c r="AA371" s="3">
        <v>15000</v>
      </c>
      <c r="AB371" s="1">
        <v>4443.3289999999997</v>
      </c>
    </row>
    <row r="372" spans="1:28" x14ac:dyDescent="0.25">
      <c r="A372" s="1">
        <v>371</v>
      </c>
      <c r="B372" s="2">
        <v>56888</v>
      </c>
      <c r="C372" s="1">
        <v>480.6585</v>
      </c>
      <c r="D372" s="4">
        <f t="shared" si="9"/>
        <v>51.615482586757878</v>
      </c>
      <c r="E372" s="1">
        <v>271.053</v>
      </c>
      <c r="F372" s="1">
        <v>319.5</v>
      </c>
      <c r="G372" s="1">
        <v>105.339</v>
      </c>
      <c r="H372" s="1">
        <v>532.02149999999995</v>
      </c>
      <c r="I372" s="1">
        <v>356.12850000000003</v>
      </c>
      <c r="J372" s="1">
        <v>189.9675</v>
      </c>
      <c r="K372" s="1">
        <v>210.678</v>
      </c>
      <c r="L372" s="1">
        <v>236.7585</v>
      </c>
      <c r="M372" s="1">
        <v>345.89550000000003</v>
      </c>
      <c r="N372" s="4">
        <f t="shared" si="8"/>
        <v>8.8231215350717385</v>
      </c>
      <c r="O372" s="4">
        <f t="shared" ref="O372:O435" si="12">O371*0.99</f>
        <v>96.794521932491321</v>
      </c>
      <c r="P372" s="4">
        <f t="shared" si="11"/>
        <v>72.958704850299085</v>
      </c>
      <c r="Q372" s="4">
        <v>375.99149999999997</v>
      </c>
      <c r="R372" s="4">
        <f t="shared" si="10"/>
        <v>14.743221788684689</v>
      </c>
      <c r="S372" s="1">
        <v>257.976</v>
      </c>
      <c r="T372" s="1">
        <v>469.18500000000006</v>
      </c>
      <c r="U372" s="1">
        <v>521.90250000000003</v>
      </c>
      <c r="V372" s="1">
        <v>463.64549999999997</v>
      </c>
      <c r="W372" s="1">
        <v>210.21750000000003</v>
      </c>
      <c r="X372" s="1">
        <v>641.178</v>
      </c>
      <c r="Y372" s="1">
        <v>421.75349999999997</v>
      </c>
      <c r="Z372" s="1">
        <v>241.053</v>
      </c>
      <c r="AA372" s="3">
        <v>15000</v>
      </c>
      <c r="AB372" s="1">
        <v>4433.6289999999999</v>
      </c>
    </row>
    <row r="373" spans="1:28" x14ac:dyDescent="0.25">
      <c r="A373" s="1">
        <v>372</v>
      </c>
      <c r="B373" s="2">
        <v>56919</v>
      </c>
      <c r="C373" s="1">
        <v>479.24850000000004</v>
      </c>
      <c r="D373" s="4">
        <f t="shared" si="9"/>
        <v>51.099327760890297</v>
      </c>
      <c r="E373" s="1">
        <v>269.238</v>
      </c>
      <c r="F373" s="1">
        <v>318.375</v>
      </c>
      <c r="G373" s="1">
        <v>105.23099999999999</v>
      </c>
      <c r="H373" s="1">
        <v>532.00649999999996</v>
      </c>
      <c r="I373" s="1">
        <v>355.6995</v>
      </c>
      <c r="J373" s="1">
        <v>189.70050000000001</v>
      </c>
      <c r="K373" s="1">
        <v>209.93700000000001</v>
      </c>
      <c r="L373" s="1">
        <v>236.33699999999999</v>
      </c>
      <c r="M373" s="1">
        <v>345.375</v>
      </c>
      <c r="N373" s="4">
        <f t="shared" si="8"/>
        <v>8.7348903197210213</v>
      </c>
      <c r="O373" s="4">
        <f t="shared" si="12"/>
        <v>95.826576713166403</v>
      </c>
      <c r="P373" s="4">
        <f t="shared" si="11"/>
        <v>72.229117801796093</v>
      </c>
      <c r="Q373" s="4">
        <v>375.53249999999997</v>
      </c>
      <c r="R373" s="4">
        <f t="shared" si="10"/>
        <v>14.595789570797843</v>
      </c>
      <c r="S373" s="1">
        <v>257.89949999999999</v>
      </c>
      <c r="T373" s="1">
        <v>467.25</v>
      </c>
      <c r="U373" s="1">
        <v>520.99950000000001</v>
      </c>
      <c r="V373" s="1">
        <v>462.64949999999999</v>
      </c>
      <c r="W373" s="1">
        <v>209.89949999999999</v>
      </c>
      <c r="X373" s="1">
        <v>639</v>
      </c>
      <c r="Y373" s="1">
        <v>420.97499999999997</v>
      </c>
      <c r="Z373" s="1">
        <v>239.35050000000001</v>
      </c>
      <c r="AA373" s="3">
        <v>15000</v>
      </c>
      <c r="AB373" s="1">
        <v>4422.7640000000001</v>
      </c>
    </row>
    <row r="374" spans="1:28" x14ac:dyDescent="0.25">
      <c r="A374" s="1">
        <v>373</v>
      </c>
      <c r="B374" s="2">
        <v>56949</v>
      </c>
      <c r="C374" s="1">
        <v>477.68100000000004</v>
      </c>
      <c r="D374" s="4">
        <f t="shared" si="9"/>
        <v>50.588334483281393</v>
      </c>
      <c r="E374" s="1">
        <v>267.52050000000003</v>
      </c>
      <c r="F374" s="1">
        <v>317.34749999999997</v>
      </c>
      <c r="G374" s="1">
        <v>105.0675</v>
      </c>
      <c r="H374" s="1">
        <v>531.99750000000006</v>
      </c>
      <c r="I374" s="1">
        <v>355.35449999999997</v>
      </c>
      <c r="J374" s="1">
        <v>189.411</v>
      </c>
      <c r="K374" s="1">
        <v>209.274</v>
      </c>
      <c r="L374" s="1">
        <v>235.959</v>
      </c>
      <c r="M374" s="1">
        <v>344.87850000000003</v>
      </c>
      <c r="N374" s="4">
        <f t="shared" si="8"/>
        <v>8.6475414165238114</v>
      </c>
      <c r="O374" s="4">
        <f t="shared" si="12"/>
        <v>94.86831094603474</v>
      </c>
      <c r="P374" s="4">
        <f t="shared" si="11"/>
        <v>71.506826623778124</v>
      </c>
      <c r="Q374" s="4">
        <v>374.97450000000003</v>
      </c>
      <c r="R374" s="4">
        <f t="shared" si="10"/>
        <v>14.449831675089865</v>
      </c>
      <c r="S374" s="1">
        <v>257.85449999999997</v>
      </c>
      <c r="T374" s="1">
        <v>465.45899999999995</v>
      </c>
      <c r="U374" s="1">
        <v>520.18500000000006</v>
      </c>
      <c r="V374" s="1">
        <v>461.75850000000003</v>
      </c>
      <c r="W374" s="1">
        <v>209.565</v>
      </c>
      <c r="X374" s="1">
        <v>636.87149999999997</v>
      </c>
      <c r="Y374" s="1">
        <v>420.22950000000003</v>
      </c>
      <c r="Z374" s="1">
        <v>237.762</v>
      </c>
      <c r="AA374" s="3">
        <v>15000</v>
      </c>
      <c r="AB374" s="1">
        <v>4412.4449999999997</v>
      </c>
    </row>
    <row r="375" spans="1:28" x14ac:dyDescent="0.25">
      <c r="A375" s="1">
        <v>374</v>
      </c>
      <c r="B375" s="2">
        <v>56980</v>
      </c>
      <c r="C375" s="1">
        <v>476.26949999999999</v>
      </c>
      <c r="D375" s="4">
        <f t="shared" si="9"/>
        <v>50.082451138448576</v>
      </c>
      <c r="E375" s="1">
        <v>265.6875</v>
      </c>
      <c r="F375" s="1">
        <v>316.20000000000005</v>
      </c>
      <c r="G375" s="1">
        <v>104.883</v>
      </c>
      <c r="H375" s="1">
        <v>532.00649999999996</v>
      </c>
      <c r="I375" s="1">
        <v>354.87450000000001</v>
      </c>
      <c r="J375" s="1">
        <v>189.10049999999998</v>
      </c>
      <c r="K375" s="1">
        <v>208.56299999999999</v>
      </c>
      <c r="L375" s="1">
        <v>235.58699999999999</v>
      </c>
      <c r="M375" s="1">
        <v>344.4</v>
      </c>
      <c r="N375" s="4">
        <f t="shared" si="8"/>
        <v>8.5610660023585723</v>
      </c>
      <c r="O375" s="4">
        <f t="shared" si="12"/>
        <v>93.919627836574392</v>
      </c>
      <c r="P375" s="4">
        <f t="shared" si="11"/>
        <v>70.791758357540346</v>
      </c>
      <c r="Q375" s="4">
        <v>374.49149999999997</v>
      </c>
      <c r="R375" s="4">
        <f t="shared" si="10"/>
        <v>14.305333358338967</v>
      </c>
      <c r="S375" s="1">
        <v>257.77499999999998</v>
      </c>
      <c r="T375" s="1">
        <v>463.52549999999997</v>
      </c>
      <c r="U375" s="1">
        <v>519.27449999999999</v>
      </c>
      <c r="V375" s="1">
        <v>460.84950000000003</v>
      </c>
      <c r="W375" s="1">
        <v>209.20050000000003</v>
      </c>
      <c r="X375" s="1">
        <v>634.60050000000001</v>
      </c>
      <c r="Y375" s="1">
        <v>419.4375</v>
      </c>
      <c r="Z375" s="1">
        <v>236.0505</v>
      </c>
      <c r="AA375" s="3">
        <v>15000</v>
      </c>
      <c r="AB375" s="1">
        <v>4401.4400000000005</v>
      </c>
    </row>
    <row r="376" spans="1:28" x14ac:dyDescent="0.25">
      <c r="A376" s="1">
        <v>375</v>
      </c>
      <c r="B376" s="2">
        <v>57011</v>
      </c>
      <c r="C376" s="1">
        <v>474.798</v>
      </c>
      <c r="D376" s="4">
        <f t="shared" si="9"/>
        <v>49.58162662706409</v>
      </c>
      <c r="E376" s="1">
        <v>263.94</v>
      </c>
      <c r="F376" s="1">
        <v>315.19349999999997</v>
      </c>
      <c r="G376" s="1">
        <v>104.73599999999999</v>
      </c>
      <c r="H376" s="1">
        <v>531.99750000000006</v>
      </c>
      <c r="I376" s="1">
        <v>354.435</v>
      </c>
      <c r="J376" s="1">
        <v>188.7825</v>
      </c>
      <c r="K376" s="1">
        <v>207.8835</v>
      </c>
      <c r="L376" s="1">
        <v>235.209</v>
      </c>
      <c r="M376" s="1">
        <v>343.911</v>
      </c>
      <c r="N376" s="4">
        <f t="shared" si="8"/>
        <v>8.4754553423349872</v>
      </c>
      <c r="O376" s="4">
        <f t="shared" si="12"/>
        <v>92.98043155820865</v>
      </c>
      <c r="P376" s="4">
        <f t="shared" si="11"/>
        <v>70.083840773964937</v>
      </c>
      <c r="Q376" s="4">
        <v>373.875</v>
      </c>
      <c r="R376" s="4">
        <f t="shared" si="10"/>
        <v>14.162280024755576</v>
      </c>
      <c r="S376" s="1">
        <v>257.661</v>
      </c>
      <c r="T376" s="1">
        <v>461.68500000000006</v>
      </c>
      <c r="U376" s="1">
        <v>518.46749999999997</v>
      </c>
      <c r="V376" s="1">
        <v>459.96749999999997</v>
      </c>
      <c r="W376" s="1">
        <v>208.887</v>
      </c>
      <c r="X376" s="1">
        <v>632.46749999999997</v>
      </c>
      <c r="Y376" s="1">
        <v>418.66949999999997</v>
      </c>
      <c r="Z376" s="1">
        <v>234.423</v>
      </c>
      <c r="AA376" s="3">
        <v>15000</v>
      </c>
      <c r="AB376" s="1">
        <v>4390.9629999999997</v>
      </c>
    </row>
    <row r="377" spans="1:28" x14ac:dyDescent="0.25">
      <c r="A377" s="1">
        <v>376</v>
      </c>
      <c r="B377" s="2">
        <v>57040</v>
      </c>
      <c r="C377" s="1">
        <v>473.38049999999998</v>
      </c>
      <c r="D377" s="4">
        <f t="shared" si="9"/>
        <v>49.085810360793445</v>
      </c>
      <c r="E377" s="1">
        <v>262.197</v>
      </c>
      <c r="F377" s="1">
        <v>314.15250000000003</v>
      </c>
      <c r="G377" s="1">
        <v>104.589</v>
      </c>
      <c r="H377" s="1">
        <v>531.97499999999991</v>
      </c>
      <c r="I377" s="1">
        <v>354.048</v>
      </c>
      <c r="J377" s="1">
        <v>188.4915</v>
      </c>
      <c r="K377" s="1">
        <v>207.19349999999997</v>
      </c>
      <c r="L377" s="1">
        <v>234.85950000000003</v>
      </c>
      <c r="M377" s="1">
        <v>343.452</v>
      </c>
      <c r="N377" s="4">
        <f t="shared" si="8"/>
        <v>8.3907007889116372</v>
      </c>
      <c r="O377" s="4">
        <f t="shared" si="12"/>
        <v>92.050627242626561</v>
      </c>
      <c r="P377" s="4">
        <f t="shared" si="11"/>
        <v>69.383002366225284</v>
      </c>
      <c r="Q377" s="4">
        <v>373.33050000000003</v>
      </c>
      <c r="R377" s="4">
        <f t="shared" si="10"/>
        <v>14.020657224508021</v>
      </c>
      <c r="S377" s="1">
        <v>257.589</v>
      </c>
      <c r="T377" s="1">
        <v>459.822</v>
      </c>
      <c r="U377" s="1">
        <v>517.59749999999997</v>
      </c>
      <c r="V377" s="1">
        <v>459.09749999999997</v>
      </c>
      <c r="W377" s="1">
        <v>208.548</v>
      </c>
      <c r="X377" s="1">
        <v>630.38699999999994</v>
      </c>
      <c r="Y377" s="1">
        <v>417.93149999999997</v>
      </c>
      <c r="Z377" s="1">
        <v>232.791</v>
      </c>
      <c r="AA377" s="3">
        <v>15000</v>
      </c>
      <c r="AB377" s="1">
        <v>4380.6000000000004</v>
      </c>
    </row>
    <row r="378" spans="1:28" x14ac:dyDescent="0.25">
      <c r="A378" s="1">
        <v>377</v>
      </c>
      <c r="B378" s="2">
        <v>57071</v>
      </c>
      <c r="C378" s="1">
        <v>471.92399999999998</v>
      </c>
      <c r="D378" s="4">
        <f t="shared" si="9"/>
        <v>48.594952257185511</v>
      </c>
      <c r="E378" s="1">
        <v>260.37450000000001</v>
      </c>
      <c r="F378" s="1">
        <v>313.04999999999995</v>
      </c>
      <c r="G378" s="1">
        <v>104.4195</v>
      </c>
      <c r="H378" s="1">
        <v>532.00649999999996</v>
      </c>
      <c r="I378" s="1">
        <v>353.59950000000003</v>
      </c>
      <c r="J378" s="1">
        <v>188.14950000000002</v>
      </c>
      <c r="K378" s="1">
        <v>206.48699999999997</v>
      </c>
      <c r="L378" s="1">
        <v>234.47550000000001</v>
      </c>
      <c r="M378" s="1">
        <v>342.9495</v>
      </c>
      <c r="N378" s="4">
        <f t="shared" si="8"/>
        <v>8.3067937810225203</v>
      </c>
      <c r="O378" s="4">
        <f t="shared" si="12"/>
        <v>91.130120970200295</v>
      </c>
      <c r="P378" s="4">
        <f t="shared" si="11"/>
        <v>68.689172342563026</v>
      </c>
      <c r="Q378" s="4">
        <v>372.798</v>
      </c>
      <c r="R378" s="4">
        <f t="shared" si="10"/>
        <v>13.88045065226294</v>
      </c>
      <c r="S378" s="1">
        <v>257.50049999999999</v>
      </c>
      <c r="T378" s="1">
        <v>457.84950000000003</v>
      </c>
      <c r="U378" s="1">
        <v>516.72450000000003</v>
      </c>
      <c r="V378" s="1">
        <v>458.20049999999998</v>
      </c>
      <c r="W378" s="1">
        <v>208.17449999999997</v>
      </c>
      <c r="X378" s="1">
        <v>628.09950000000003</v>
      </c>
      <c r="Y378" s="1">
        <v>417.13799999999998</v>
      </c>
      <c r="Z378" s="1">
        <v>231.07500000000002</v>
      </c>
      <c r="AA378" s="3">
        <v>15000</v>
      </c>
      <c r="AB378" s="1">
        <v>4369.5820000000003</v>
      </c>
    </row>
    <row r="379" spans="1:28" x14ac:dyDescent="0.25">
      <c r="A379" s="1">
        <v>378</v>
      </c>
      <c r="B379" s="2">
        <v>57101</v>
      </c>
      <c r="C379" s="1">
        <v>470.5455</v>
      </c>
      <c r="D379" s="4">
        <f t="shared" si="9"/>
        <v>48.109002734613654</v>
      </c>
      <c r="E379" s="1">
        <v>258.678</v>
      </c>
      <c r="F379" s="1">
        <v>312.072</v>
      </c>
      <c r="G379" s="1">
        <v>104.24549999999999</v>
      </c>
      <c r="H379" s="1">
        <v>531.99750000000006</v>
      </c>
      <c r="I379" s="1">
        <v>353.178</v>
      </c>
      <c r="J379" s="1">
        <v>187.887</v>
      </c>
      <c r="K379" s="1">
        <v>205.851</v>
      </c>
      <c r="L379" s="1">
        <v>234.15749999999997</v>
      </c>
      <c r="M379" s="1">
        <v>342.55650000000003</v>
      </c>
      <c r="N379" s="4">
        <f t="shared" si="8"/>
        <v>8.2237258432122946</v>
      </c>
      <c r="O379" s="4">
        <f t="shared" si="12"/>
        <v>90.218819760498292</v>
      </c>
      <c r="P379" s="4">
        <f t="shared" si="11"/>
        <v>68.002280619137395</v>
      </c>
      <c r="Q379" s="4">
        <v>372.1755</v>
      </c>
      <c r="R379" s="4">
        <f t="shared" si="10"/>
        <v>13.741646145740312</v>
      </c>
      <c r="S379" s="1">
        <v>257.37149999999997</v>
      </c>
      <c r="T379" s="1">
        <v>456.048</v>
      </c>
      <c r="U379" s="1">
        <v>515.952</v>
      </c>
      <c r="V379" s="1">
        <v>457.25850000000003</v>
      </c>
      <c r="W379" s="1">
        <v>207.87149999999997</v>
      </c>
      <c r="X379" s="1">
        <v>626.08050000000003</v>
      </c>
      <c r="Y379" s="1">
        <v>416.41949999999997</v>
      </c>
      <c r="Z379" s="1">
        <v>229.524</v>
      </c>
      <c r="AA379" s="3">
        <v>15000</v>
      </c>
      <c r="AB379" s="1">
        <v>4359.5540000000001</v>
      </c>
    </row>
    <row r="380" spans="1:28" x14ac:dyDescent="0.25">
      <c r="A380" s="1">
        <v>379</v>
      </c>
      <c r="B380" s="2">
        <v>57132</v>
      </c>
      <c r="C380" s="1">
        <v>469.14</v>
      </c>
      <c r="D380" s="4">
        <f t="shared" si="9"/>
        <v>47.627912707267519</v>
      </c>
      <c r="E380" s="1">
        <v>256.83749999999998</v>
      </c>
      <c r="F380" s="1">
        <v>310.99950000000001</v>
      </c>
      <c r="G380" s="1">
        <v>104.0715</v>
      </c>
      <c r="H380" s="1">
        <v>531.98249999999996</v>
      </c>
      <c r="I380" s="1">
        <v>352.77449999999999</v>
      </c>
      <c r="J380" s="1">
        <v>187.54949999999999</v>
      </c>
      <c r="K380" s="1">
        <v>205.113</v>
      </c>
      <c r="L380" s="1">
        <v>233.8005</v>
      </c>
      <c r="M380" s="1">
        <v>342.04949999999997</v>
      </c>
      <c r="N380" s="4">
        <f t="shared" si="8"/>
        <v>8.1414885847801717</v>
      </c>
      <c r="O380" s="4">
        <f t="shared" si="12"/>
        <v>89.316631562893306</v>
      </c>
      <c r="P380" s="4">
        <f t="shared" si="11"/>
        <v>67.32225781294602</v>
      </c>
      <c r="Q380" s="4">
        <v>371.637</v>
      </c>
      <c r="R380" s="4">
        <f t="shared" si="10"/>
        <v>13.604229684282908</v>
      </c>
      <c r="S380" s="1">
        <v>257.25</v>
      </c>
      <c r="T380" s="1">
        <v>454.07549999999998</v>
      </c>
      <c r="U380" s="1">
        <v>515.07449999999994</v>
      </c>
      <c r="V380" s="1">
        <v>456.40049999999997</v>
      </c>
      <c r="W380" s="1">
        <v>207.49950000000001</v>
      </c>
      <c r="X380" s="1">
        <v>623.80050000000006</v>
      </c>
      <c r="Y380" s="1">
        <v>415.60050000000001</v>
      </c>
      <c r="Z380" s="1">
        <v>227.8245</v>
      </c>
      <c r="AA380" s="3">
        <v>15000</v>
      </c>
      <c r="AB380" s="1">
        <v>4348.5789999999997</v>
      </c>
    </row>
    <row r="381" spans="1:28" x14ac:dyDescent="0.25">
      <c r="A381" s="1">
        <v>380</v>
      </c>
      <c r="B381" s="2">
        <v>57162</v>
      </c>
      <c r="C381" s="1">
        <v>467.80500000000001</v>
      </c>
      <c r="D381" s="4">
        <f t="shared" si="9"/>
        <v>47.151633580194847</v>
      </c>
      <c r="E381" s="1">
        <v>255.14550000000003</v>
      </c>
      <c r="F381" s="1">
        <v>310.041</v>
      </c>
      <c r="G381" s="1">
        <v>103.851</v>
      </c>
      <c r="H381" s="1">
        <v>531.99750000000006</v>
      </c>
      <c r="I381" s="1">
        <v>352.33050000000003</v>
      </c>
      <c r="J381" s="1">
        <v>187.2345</v>
      </c>
      <c r="K381" s="1">
        <v>204.459</v>
      </c>
      <c r="L381" s="1">
        <v>233.46750000000003</v>
      </c>
      <c r="M381" s="1">
        <v>341.637</v>
      </c>
      <c r="N381" s="4">
        <f t="shared" si="8"/>
        <v>8.0600736989323707</v>
      </c>
      <c r="O381" s="4">
        <f t="shared" si="12"/>
        <v>88.423465247264375</v>
      </c>
      <c r="P381" s="4">
        <f t="shared" si="11"/>
        <v>66.649035234816566</v>
      </c>
      <c r="Q381" s="4">
        <v>371.02499999999998</v>
      </c>
      <c r="R381" s="4">
        <f t="shared" si="10"/>
        <v>13.468187387440079</v>
      </c>
      <c r="S381" s="1">
        <v>257.12850000000003</v>
      </c>
      <c r="T381" s="1">
        <v>452.15250000000003</v>
      </c>
      <c r="U381" s="1">
        <v>514.25850000000003</v>
      </c>
      <c r="V381" s="1">
        <v>455.51550000000003</v>
      </c>
      <c r="W381" s="1">
        <v>207.1695</v>
      </c>
      <c r="X381" s="1">
        <v>621.774</v>
      </c>
      <c r="Y381" s="1">
        <v>414.85949999999997</v>
      </c>
      <c r="Z381" s="1">
        <v>226.28249999999997</v>
      </c>
      <c r="AA381" s="3">
        <v>15000</v>
      </c>
      <c r="AB381" s="1">
        <v>4338.3579999999993</v>
      </c>
    </row>
    <row r="382" spans="1:28" x14ac:dyDescent="0.25">
      <c r="A382" s="1">
        <v>381</v>
      </c>
      <c r="B382" s="2">
        <v>57193</v>
      </c>
      <c r="C382" s="1">
        <v>466.43400000000003</v>
      </c>
      <c r="D382" s="4">
        <f t="shared" si="9"/>
        <v>46.680117244392896</v>
      </c>
      <c r="E382" s="1">
        <v>253.488</v>
      </c>
      <c r="F382" s="1">
        <v>309.09749999999997</v>
      </c>
      <c r="G382" s="1">
        <v>103.6965</v>
      </c>
      <c r="H382" s="1">
        <v>531.99750000000006</v>
      </c>
      <c r="I382" s="1">
        <v>351.96750000000003</v>
      </c>
      <c r="J382" s="1">
        <v>186.9435</v>
      </c>
      <c r="K382" s="1">
        <v>203.80650000000003</v>
      </c>
      <c r="L382" s="1">
        <v>233.14049999999997</v>
      </c>
      <c r="M382" s="1">
        <v>341.226</v>
      </c>
      <c r="N382" s="4">
        <f t="shared" si="8"/>
        <v>7.9794729619430473</v>
      </c>
      <c r="O382" s="4">
        <f t="shared" si="12"/>
        <v>87.539230594791732</v>
      </c>
      <c r="P382" s="4">
        <f t="shared" si="11"/>
        <v>65.982544882468403</v>
      </c>
      <c r="Q382" s="4">
        <v>370.428</v>
      </c>
      <c r="R382" s="4">
        <f t="shared" si="10"/>
        <v>13.333505513565678</v>
      </c>
      <c r="S382" s="1">
        <v>257.00850000000003</v>
      </c>
      <c r="T382" s="1">
        <v>450.31499999999994</v>
      </c>
      <c r="U382" s="1">
        <v>513.48450000000003</v>
      </c>
      <c r="V382" s="1">
        <v>454.64549999999997</v>
      </c>
      <c r="W382" s="1">
        <v>206.8305</v>
      </c>
      <c r="X382" s="1">
        <v>619.83899999999994</v>
      </c>
      <c r="Y382" s="1">
        <v>414.10949999999997</v>
      </c>
      <c r="Z382" s="1">
        <v>224.7585</v>
      </c>
      <c r="AA382" s="3">
        <v>15000</v>
      </c>
      <c r="AB382" s="1">
        <v>4328.424</v>
      </c>
    </row>
    <row r="383" spans="1:28" x14ac:dyDescent="0.25">
      <c r="A383" s="1">
        <v>382</v>
      </c>
      <c r="B383" s="2">
        <v>57224</v>
      </c>
      <c r="C383" s="1">
        <v>465.1635</v>
      </c>
      <c r="D383" s="4">
        <f t="shared" si="9"/>
        <v>46.213316071948967</v>
      </c>
      <c r="E383" s="1">
        <v>251.61150000000004</v>
      </c>
      <c r="F383" s="1">
        <v>308.04300000000001</v>
      </c>
      <c r="G383" s="1">
        <v>103.40400000000001</v>
      </c>
      <c r="H383" s="1">
        <v>531.99149999999997</v>
      </c>
      <c r="I383" s="1">
        <v>351.46500000000003</v>
      </c>
      <c r="J383" s="1">
        <v>186.59550000000002</v>
      </c>
      <c r="K383" s="1">
        <v>203.08199999999999</v>
      </c>
      <c r="L383" s="1">
        <v>232.82400000000001</v>
      </c>
      <c r="M383" s="1">
        <v>340.75799999999998</v>
      </c>
      <c r="N383" s="4">
        <f t="shared" si="8"/>
        <v>7.899678232323617</v>
      </c>
      <c r="O383" s="4">
        <f t="shared" si="12"/>
        <v>86.66383828884382</v>
      </c>
      <c r="P383" s="4">
        <f t="shared" si="11"/>
        <v>65.322719433643712</v>
      </c>
      <c r="Q383" s="4">
        <v>369.84749999999997</v>
      </c>
      <c r="R383" s="4">
        <f t="shared" si="10"/>
        <v>13.200170458430021</v>
      </c>
      <c r="S383" s="1">
        <v>256.86150000000004</v>
      </c>
      <c r="T383" s="1">
        <v>448.18950000000001</v>
      </c>
      <c r="U383" s="1">
        <v>512.61149999999998</v>
      </c>
      <c r="V383" s="1">
        <v>453.72450000000003</v>
      </c>
      <c r="W383" s="1">
        <v>206.48250000000002</v>
      </c>
      <c r="X383" s="1">
        <v>617.68949999999995</v>
      </c>
      <c r="Y383" s="1">
        <v>413.28899999999999</v>
      </c>
      <c r="Z383" s="1">
        <v>223.09950000000001</v>
      </c>
      <c r="AA383" s="3">
        <v>15000</v>
      </c>
      <c r="AB383" s="1">
        <v>4317.3600000000006</v>
      </c>
    </row>
    <row r="384" spans="1:28" x14ac:dyDescent="0.25">
      <c r="A384" s="1">
        <v>383</v>
      </c>
      <c r="B384" s="2">
        <v>57254</v>
      </c>
      <c r="C384" s="1">
        <v>463.78800000000001</v>
      </c>
      <c r="D384" s="4">
        <f t="shared" si="9"/>
        <v>45.751182911229478</v>
      </c>
      <c r="E384" s="1">
        <v>249.96750000000003</v>
      </c>
      <c r="F384" s="1">
        <v>307.137</v>
      </c>
      <c r="G384" s="1">
        <v>103.224</v>
      </c>
      <c r="H384" s="1">
        <v>531.97499999999991</v>
      </c>
      <c r="I384" s="1">
        <v>351.12149999999997</v>
      </c>
      <c r="J384" s="1">
        <v>186.291</v>
      </c>
      <c r="K384" s="1">
        <v>202.476</v>
      </c>
      <c r="L384" s="1">
        <v>232.512</v>
      </c>
      <c r="M384" s="1">
        <v>340.37850000000003</v>
      </c>
      <c r="N384" s="4">
        <f t="shared" si="8"/>
        <v>7.8206814500003805</v>
      </c>
      <c r="O384" s="4">
        <f t="shared" si="12"/>
        <v>85.797199905955381</v>
      </c>
      <c r="P384" s="4">
        <f t="shared" si="11"/>
        <v>64.669492239307274</v>
      </c>
      <c r="Q384" s="4">
        <v>369.15449999999998</v>
      </c>
      <c r="R384" s="4">
        <f t="shared" si="10"/>
        <v>13.06816875384572</v>
      </c>
      <c r="S384" s="1">
        <v>256.69349999999997</v>
      </c>
      <c r="T384" s="1">
        <v>446.322</v>
      </c>
      <c r="U384" s="1">
        <v>511.86300000000006</v>
      </c>
      <c r="V384" s="1">
        <v>452.80649999999997</v>
      </c>
      <c r="W384" s="1">
        <v>206.1525</v>
      </c>
      <c r="X384" s="1">
        <v>615.774</v>
      </c>
      <c r="Y384" s="1">
        <v>412.58399999999995</v>
      </c>
      <c r="Z384" s="1">
        <v>221.649</v>
      </c>
      <c r="AA384" s="3">
        <v>15000</v>
      </c>
      <c r="AB384" s="1">
        <v>4307.5199999999995</v>
      </c>
    </row>
    <row r="385" spans="1:28" x14ac:dyDescent="0.25">
      <c r="A385" s="1">
        <v>384</v>
      </c>
      <c r="B385" s="2">
        <v>57285</v>
      </c>
      <c r="C385" s="1">
        <v>462.59700000000004</v>
      </c>
      <c r="D385" s="4">
        <f t="shared" si="9"/>
        <v>45.293671082117186</v>
      </c>
      <c r="E385" s="1">
        <v>248.13750000000002</v>
      </c>
      <c r="F385" s="1">
        <v>306.1755</v>
      </c>
      <c r="G385" s="1">
        <v>102.97800000000001</v>
      </c>
      <c r="H385" s="1">
        <v>532.00649999999996</v>
      </c>
      <c r="I385" s="1">
        <v>350.65049999999997</v>
      </c>
      <c r="J385" s="1">
        <v>185.97450000000001</v>
      </c>
      <c r="K385" s="1">
        <v>201.75</v>
      </c>
      <c r="L385" s="1">
        <v>232.18799999999999</v>
      </c>
      <c r="M385" s="1">
        <v>339.97500000000002</v>
      </c>
      <c r="N385" s="4">
        <f t="shared" si="8"/>
        <v>7.7424746355003764</v>
      </c>
      <c r="O385" s="4">
        <f t="shared" si="12"/>
        <v>84.939227906895823</v>
      </c>
      <c r="P385" s="4">
        <f t="shared" si="11"/>
        <v>64.022797316914207</v>
      </c>
      <c r="Q385" s="4">
        <v>368.565</v>
      </c>
      <c r="R385" s="4">
        <f t="shared" si="10"/>
        <v>12.937487066307263</v>
      </c>
      <c r="S385" s="1">
        <v>256.57500000000005</v>
      </c>
      <c r="T385" s="1">
        <v>444.27449999999999</v>
      </c>
      <c r="U385" s="1">
        <v>511.02449999999999</v>
      </c>
      <c r="V385" s="1">
        <v>451.95000000000005</v>
      </c>
      <c r="W385" s="1">
        <v>205.79999999999998</v>
      </c>
      <c r="X385" s="1">
        <v>613.69949999999994</v>
      </c>
      <c r="Y385" s="1">
        <v>411.78749999999997</v>
      </c>
      <c r="Z385" s="1">
        <v>220.03800000000001</v>
      </c>
      <c r="AA385" s="3">
        <v>15000</v>
      </c>
      <c r="AB385" s="1">
        <v>4296.9709999999995</v>
      </c>
    </row>
    <row r="386" spans="1:28" x14ac:dyDescent="0.25">
      <c r="A386" s="1">
        <v>385</v>
      </c>
      <c r="B386" s="2">
        <v>57315</v>
      </c>
      <c r="C386" s="1">
        <v>461.23649999999998</v>
      </c>
      <c r="D386" s="4">
        <f t="shared" si="9"/>
        <v>44.840734371296016</v>
      </c>
      <c r="E386" s="1">
        <v>246.447</v>
      </c>
      <c r="F386" s="1">
        <v>305.226</v>
      </c>
      <c r="G386" s="1">
        <v>102.828</v>
      </c>
      <c r="H386" s="1">
        <v>532.02149999999995</v>
      </c>
      <c r="I386" s="1">
        <v>350.274</v>
      </c>
      <c r="J386" s="1">
        <v>185.661</v>
      </c>
      <c r="K386" s="1">
        <v>201.12149999999997</v>
      </c>
      <c r="L386" s="1">
        <v>231.89550000000003</v>
      </c>
      <c r="M386" s="1">
        <v>339.58050000000003</v>
      </c>
      <c r="N386" s="4">
        <f t="shared" si="8"/>
        <v>7.6650498891453722</v>
      </c>
      <c r="O386" s="4">
        <f t="shared" si="12"/>
        <v>84.089835627826858</v>
      </c>
      <c r="P386" s="4">
        <f t="shared" si="11"/>
        <v>63.382569343745068</v>
      </c>
      <c r="Q386" s="4">
        <v>367.875</v>
      </c>
      <c r="R386" s="4">
        <f t="shared" si="10"/>
        <v>12.80811219564419</v>
      </c>
      <c r="S386" s="1">
        <v>256.35449999999997</v>
      </c>
      <c r="T386" s="1">
        <v>442.35450000000003</v>
      </c>
      <c r="U386" s="1">
        <v>510.26550000000003</v>
      </c>
      <c r="V386" s="1">
        <v>451.11300000000006</v>
      </c>
      <c r="W386" s="1">
        <v>205.476</v>
      </c>
      <c r="X386" s="1">
        <v>611.80649999999991</v>
      </c>
      <c r="Y386" s="1">
        <v>411.072</v>
      </c>
      <c r="Z386" s="1">
        <v>218.553</v>
      </c>
      <c r="AA386" s="3">
        <v>15000</v>
      </c>
      <c r="AB386" s="1">
        <v>4287.0300000000007</v>
      </c>
    </row>
    <row r="387" spans="1:28" x14ac:dyDescent="0.25">
      <c r="A387" s="1">
        <v>386</v>
      </c>
      <c r="B387" s="2">
        <v>57346</v>
      </c>
      <c r="C387" s="1">
        <v>460.0095</v>
      </c>
      <c r="D387" s="4">
        <f t="shared" si="9"/>
        <v>44.392327027583057</v>
      </c>
      <c r="E387" s="1">
        <v>244.62450000000001</v>
      </c>
      <c r="F387" s="1">
        <v>304.27499999999998</v>
      </c>
      <c r="G387" s="1">
        <v>102.65549999999999</v>
      </c>
      <c r="H387" s="1">
        <v>532.00649999999996</v>
      </c>
      <c r="I387" s="1">
        <v>349.82550000000003</v>
      </c>
      <c r="J387" s="1">
        <v>185.32499999999999</v>
      </c>
      <c r="K387" s="1">
        <v>200.39999999999998</v>
      </c>
      <c r="L387" s="1">
        <v>231.58799999999999</v>
      </c>
      <c r="M387" s="1">
        <v>339.15</v>
      </c>
      <c r="N387" s="4">
        <f t="shared" si="8"/>
        <v>7.5883993902539189</v>
      </c>
      <c r="O387" s="4">
        <f t="shared" si="12"/>
        <v>83.248937271548584</v>
      </c>
      <c r="P387" s="4">
        <f t="shared" si="11"/>
        <v>62.748743650307617</v>
      </c>
      <c r="Q387" s="4">
        <v>367.25850000000003</v>
      </c>
      <c r="R387" s="4">
        <f t="shared" si="10"/>
        <v>12.680031073687749</v>
      </c>
      <c r="S387" s="1">
        <v>256.22550000000001</v>
      </c>
      <c r="T387" s="1">
        <v>440.20049999999998</v>
      </c>
      <c r="U387" s="1">
        <v>509.42550000000006</v>
      </c>
      <c r="V387" s="1">
        <v>450.10050000000001</v>
      </c>
      <c r="W387" s="1">
        <v>205.125</v>
      </c>
      <c r="X387" s="1">
        <v>609.75</v>
      </c>
      <c r="Y387" s="1">
        <v>410.27549999999997</v>
      </c>
      <c r="Z387" s="1">
        <v>216.96299999999999</v>
      </c>
      <c r="AA387" s="3">
        <v>15000</v>
      </c>
      <c r="AB387" s="1">
        <v>4276.3</v>
      </c>
    </row>
    <row r="388" spans="1:28" x14ac:dyDescent="0.25">
      <c r="A388" s="1">
        <v>387</v>
      </c>
      <c r="B388" s="2">
        <v>57377</v>
      </c>
      <c r="C388" s="1">
        <v>458.733</v>
      </c>
      <c r="D388" s="4">
        <f t="shared" si="9"/>
        <v>43.948403757307226</v>
      </c>
      <c r="E388" s="1">
        <v>242.928</v>
      </c>
      <c r="F388" s="1">
        <v>303.363</v>
      </c>
      <c r="G388" s="1">
        <v>102.41550000000001</v>
      </c>
      <c r="H388" s="1">
        <v>531.99750000000006</v>
      </c>
      <c r="I388" s="1">
        <v>349.40250000000003</v>
      </c>
      <c r="J388" s="1">
        <v>185.0325</v>
      </c>
      <c r="K388" s="1">
        <v>199.71750000000003</v>
      </c>
      <c r="L388" s="1">
        <v>231.291</v>
      </c>
      <c r="M388" s="1">
        <v>338.709</v>
      </c>
      <c r="N388" s="4">
        <f t="shared" si="8"/>
        <v>7.5125153963513798</v>
      </c>
      <c r="O388" s="4">
        <f t="shared" si="12"/>
        <v>82.416447898833098</v>
      </c>
      <c r="P388" s="4">
        <f t="shared" si="11"/>
        <v>62.121256213804543</v>
      </c>
      <c r="Q388" s="4">
        <v>366.52499999999998</v>
      </c>
      <c r="R388" s="4">
        <f t="shared" si="10"/>
        <v>12.553230762950871</v>
      </c>
      <c r="S388" s="1">
        <v>256.01549999999997</v>
      </c>
      <c r="T388" s="1">
        <v>438.16949999999997</v>
      </c>
      <c r="U388" s="1">
        <v>508.69350000000003</v>
      </c>
      <c r="V388" s="1">
        <v>449.322</v>
      </c>
      <c r="W388" s="1">
        <v>204.6525</v>
      </c>
      <c r="X388" s="1">
        <v>608.322</v>
      </c>
      <c r="Y388" s="1">
        <v>409.851</v>
      </c>
      <c r="Z388" s="1">
        <v>215.43150000000003</v>
      </c>
      <c r="AA388" s="3">
        <v>15000</v>
      </c>
      <c r="AB388" s="1">
        <v>4266.5850000000009</v>
      </c>
    </row>
    <row r="389" spans="1:28" x14ac:dyDescent="0.25">
      <c r="A389" s="1">
        <v>388</v>
      </c>
      <c r="B389" s="2">
        <v>57405</v>
      </c>
      <c r="C389" s="1">
        <v>457.40999999999997</v>
      </c>
      <c r="D389" s="4">
        <f t="shared" si="9"/>
        <v>43.508919719734152</v>
      </c>
      <c r="E389" s="1">
        <v>241.2225</v>
      </c>
      <c r="F389" s="1">
        <v>302.49149999999997</v>
      </c>
      <c r="G389" s="1">
        <v>102.13800000000001</v>
      </c>
      <c r="H389" s="1">
        <v>532.04549999999995</v>
      </c>
      <c r="I389" s="1">
        <v>348.99149999999997</v>
      </c>
      <c r="J389" s="1">
        <v>184.7655</v>
      </c>
      <c r="K389" s="1">
        <v>199.00350000000003</v>
      </c>
      <c r="L389" s="1">
        <v>231.012</v>
      </c>
      <c r="M389" s="1">
        <v>338.34749999999997</v>
      </c>
      <c r="N389" s="4">
        <f t="shared" si="8"/>
        <v>7.4373902423878659</v>
      </c>
      <c r="O389" s="4">
        <f t="shared" si="12"/>
        <v>81.592283419844762</v>
      </c>
      <c r="P389" s="4">
        <f t="shared" si="11"/>
        <v>61.500043651666495</v>
      </c>
      <c r="Q389" s="4">
        <v>365.83050000000003</v>
      </c>
      <c r="R389" s="4">
        <f t="shared" si="10"/>
        <v>12.427698455321362</v>
      </c>
      <c r="S389" s="1">
        <v>255.8475</v>
      </c>
      <c r="T389" s="1">
        <v>436.13699999999994</v>
      </c>
      <c r="U389" s="1">
        <v>507.84749999999997</v>
      </c>
      <c r="V389" s="1">
        <v>448.59749999999997</v>
      </c>
      <c r="W389" s="1">
        <v>204.2415</v>
      </c>
      <c r="X389" s="1">
        <v>607.20899999999995</v>
      </c>
      <c r="Y389" s="1">
        <v>409.62150000000003</v>
      </c>
      <c r="Z389" s="1">
        <v>213.9195</v>
      </c>
      <c r="AA389" s="3">
        <v>15000</v>
      </c>
      <c r="AB389" s="1">
        <v>4257.3340000000007</v>
      </c>
    </row>
    <row r="390" spans="1:28" x14ac:dyDescent="0.25">
      <c r="A390" s="1">
        <v>389</v>
      </c>
      <c r="B390" s="2">
        <v>57436</v>
      </c>
      <c r="C390" s="1">
        <v>456.20100000000002</v>
      </c>
      <c r="D390" s="4">
        <f t="shared" si="9"/>
        <v>43.073830522536809</v>
      </c>
      <c r="E390" s="1">
        <v>239.4495</v>
      </c>
      <c r="F390" s="1">
        <v>301.57500000000005</v>
      </c>
      <c r="G390" s="1">
        <v>101.99549999999999</v>
      </c>
      <c r="H390" s="1">
        <v>532.03199999999993</v>
      </c>
      <c r="I390" s="1">
        <v>348.5745</v>
      </c>
      <c r="J390" s="1">
        <v>184.52549999999999</v>
      </c>
      <c r="K390" s="1">
        <v>198.22500000000002</v>
      </c>
      <c r="L390" s="1">
        <v>230.71199999999999</v>
      </c>
      <c r="M390" s="1">
        <v>337.84950000000003</v>
      </c>
      <c r="N390" s="4">
        <f t="shared" si="8"/>
        <v>7.3630163399639876</v>
      </c>
      <c r="O390" s="4">
        <f t="shared" si="12"/>
        <v>80.776360585646316</v>
      </c>
      <c r="P390" s="4">
        <f t="shared" si="11"/>
        <v>60.885043215149828</v>
      </c>
      <c r="Q390" s="4">
        <v>365.15250000000003</v>
      </c>
      <c r="R390" s="4">
        <f t="shared" si="10"/>
        <v>12.303421470768148</v>
      </c>
      <c r="S390" s="1">
        <v>255.62549999999999</v>
      </c>
      <c r="T390" s="1">
        <v>433.99950000000001</v>
      </c>
      <c r="U390" s="1">
        <v>507</v>
      </c>
      <c r="V390" s="1">
        <v>447.85050000000001</v>
      </c>
      <c r="W390" s="1">
        <v>203.67449999999997</v>
      </c>
      <c r="X390" s="1">
        <v>606.10050000000001</v>
      </c>
      <c r="Y390" s="1">
        <v>409.45049999999998</v>
      </c>
      <c r="Z390" s="1">
        <v>212.37450000000001</v>
      </c>
      <c r="AA390" s="3">
        <v>15000</v>
      </c>
      <c r="AB390" s="1">
        <v>4247.7429999999995</v>
      </c>
    </row>
    <row r="391" spans="1:28" x14ac:dyDescent="0.25">
      <c r="A391" s="1">
        <v>390</v>
      </c>
      <c r="B391" s="2">
        <v>57466</v>
      </c>
      <c r="C391" s="1">
        <v>454.95150000000001</v>
      </c>
      <c r="D391" s="4">
        <f t="shared" si="9"/>
        <v>42.643092217311441</v>
      </c>
      <c r="E391" s="1">
        <v>237.822</v>
      </c>
      <c r="F391" s="1">
        <v>300.75</v>
      </c>
      <c r="G391" s="1">
        <v>101.7885</v>
      </c>
      <c r="H391" s="1">
        <v>532.04549999999995</v>
      </c>
      <c r="I391" s="1">
        <v>348.19349999999997</v>
      </c>
      <c r="J391" s="1">
        <v>184.3065</v>
      </c>
      <c r="K391" s="1">
        <v>197.4915</v>
      </c>
      <c r="L391" s="1">
        <v>230.4195</v>
      </c>
      <c r="M391" s="1">
        <v>337.428</v>
      </c>
      <c r="N391" s="4">
        <f t="shared" si="8"/>
        <v>7.2893861765643475</v>
      </c>
      <c r="O391" s="4">
        <f t="shared" si="12"/>
        <v>79.968596979789851</v>
      </c>
      <c r="P391" s="4">
        <f t="shared" si="11"/>
        <v>60.276192782998329</v>
      </c>
      <c r="Q391" s="4">
        <v>364.39949999999999</v>
      </c>
      <c r="R391" s="4">
        <f t="shared" si="10"/>
        <v>12.180387256060467</v>
      </c>
      <c r="S391" s="1">
        <v>255.435</v>
      </c>
      <c r="T391" s="1">
        <v>431.976</v>
      </c>
      <c r="U391" s="1">
        <v>506.202</v>
      </c>
      <c r="V391" s="1">
        <v>447.29100000000005</v>
      </c>
      <c r="W391" s="1">
        <v>203.25</v>
      </c>
      <c r="X391" s="1">
        <v>604.98450000000003</v>
      </c>
      <c r="Y391" s="1">
        <v>409.23449999999997</v>
      </c>
      <c r="Z391" s="1">
        <v>210.94349999999997</v>
      </c>
      <c r="AA391" s="3">
        <v>15000</v>
      </c>
      <c r="AB391" s="1">
        <v>4238.7609999999995</v>
      </c>
    </row>
    <row r="392" spans="1:28" x14ac:dyDescent="0.25">
      <c r="A392" s="1">
        <v>391</v>
      </c>
      <c r="B392" s="2">
        <v>57497</v>
      </c>
      <c r="C392" s="1">
        <v>453.61349999999999</v>
      </c>
      <c r="D392" s="4">
        <f t="shared" si="9"/>
        <v>42.216661295138323</v>
      </c>
      <c r="E392" s="1">
        <v>236.10000000000002</v>
      </c>
      <c r="F392" s="1">
        <v>299.85000000000002</v>
      </c>
      <c r="G392" s="1">
        <v>101.47649999999999</v>
      </c>
      <c r="H392" s="1">
        <v>532.03199999999993</v>
      </c>
      <c r="I392" s="1">
        <v>347.70000000000005</v>
      </c>
      <c r="J392" s="1">
        <v>184.00049999999999</v>
      </c>
      <c r="K392" s="1">
        <v>196.79999999999998</v>
      </c>
      <c r="L392" s="1">
        <v>230.17499999999998</v>
      </c>
      <c r="M392" s="1">
        <v>337.07550000000003</v>
      </c>
      <c r="N392" s="4">
        <f t="shared" si="8"/>
        <v>7.2164923147987041</v>
      </c>
      <c r="O392" s="4">
        <f t="shared" si="12"/>
        <v>79.168911009991945</v>
      </c>
      <c r="P392" s="4">
        <f t="shared" si="11"/>
        <v>59.673430855168348</v>
      </c>
      <c r="Q392" s="4">
        <v>363.62850000000003</v>
      </c>
      <c r="R392" s="4">
        <f t="shared" si="10"/>
        <v>12.058583383499862</v>
      </c>
      <c r="S392" s="1">
        <v>255.22500000000002</v>
      </c>
      <c r="T392" s="1">
        <v>429.77549999999997</v>
      </c>
      <c r="U392" s="1">
        <v>505.30050000000006</v>
      </c>
      <c r="V392" s="1">
        <v>446.44949999999994</v>
      </c>
      <c r="W392" s="1">
        <v>202.77449999999999</v>
      </c>
      <c r="X392" s="1">
        <v>603.55050000000006</v>
      </c>
      <c r="Y392" s="1">
        <v>408.91200000000003</v>
      </c>
      <c r="Z392" s="1">
        <v>209.4255</v>
      </c>
      <c r="AA392" s="3">
        <v>15000</v>
      </c>
      <c r="AB392" s="1">
        <v>4228.7240000000002</v>
      </c>
    </row>
    <row r="393" spans="1:28" x14ac:dyDescent="0.25">
      <c r="A393" s="1">
        <v>392</v>
      </c>
      <c r="B393" s="2">
        <v>57527</v>
      </c>
      <c r="C393" s="1">
        <v>452.40000000000003</v>
      </c>
      <c r="D393" s="4">
        <f t="shared" si="9"/>
        <v>41.794494682186937</v>
      </c>
      <c r="E393" s="1">
        <v>234.459</v>
      </c>
      <c r="F393" s="1">
        <v>298.98450000000003</v>
      </c>
      <c r="G393" s="1">
        <v>101.304</v>
      </c>
      <c r="H393" s="1">
        <v>532.04549999999995</v>
      </c>
      <c r="I393" s="1">
        <v>347.34749999999997</v>
      </c>
      <c r="J393" s="1">
        <v>183.75</v>
      </c>
      <c r="K393" s="1">
        <v>195.96750000000003</v>
      </c>
      <c r="L393" s="1">
        <v>229.899</v>
      </c>
      <c r="M393" s="1">
        <v>336.65250000000003</v>
      </c>
      <c r="N393" s="4">
        <f t="shared" si="8"/>
        <v>7.1443273916507168</v>
      </c>
      <c r="O393" s="4">
        <f t="shared" si="12"/>
        <v>78.377221899892021</v>
      </c>
      <c r="P393" s="4">
        <f t="shared" si="11"/>
        <v>59.076696546616667</v>
      </c>
      <c r="Q393" s="4">
        <v>362.85</v>
      </c>
      <c r="R393" s="4">
        <f t="shared" si="10"/>
        <v>11.937997549664862</v>
      </c>
      <c r="S393" s="1">
        <v>255</v>
      </c>
      <c r="T393" s="1">
        <v>427.71749999999997</v>
      </c>
      <c r="U393" s="1">
        <v>504.43500000000006</v>
      </c>
      <c r="V393" s="1">
        <v>445.839</v>
      </c>
      <c r="W393" s="1">
        <v>202.30650000000003</v>
      </c>
      <c r="X393" s="1">
        <v>602.08050000000003</v>
      </c>
      <c r="Y393" s="1">
        <v>408.53250000000003</v>
      </c>
      <c r="Z393" s="1">
        <v>208.041</v>
      </c>
      <c r="AA393" s="3">
        <v>15000</v>
      </c>
      <c r="AB393" s="1">
        <v>4219.2120000000004</v>
      </c>
    </row>
    <row r="394" spans="1:28" x14ac:dyDescent="0.25">
      <c r="A394" s="1">
        <v>393</v>
      </c>
      <c r="B394" s="2">
        <v>57558</v>
      </c>
      <c r="C394" s="1">
        <v>451.125</v>
      </c>
      <c r="D394" s="4">
        <f t="shared" si="9"/>
        <v>41.376549735365067</v>
      </c>
      <c r="E394" s="1">
        <v>232.935</v>
      </c>
      <c r="F394" s="1">
        <v>298.185</v>
      </c>
      <c r="G394" s="1">
        <v>100.99799999999999</v>
      </c>
      <c r="H394" s="1">
        <v>532.06950000000006</v>
      </c>
      <c r="I394" s="1">
        <v>346.959</v>
      </c>
      <c r="J394" s="1">
        <v>183.4845</v>
      </c>
      <c r="K394" s="1">
        <v>195.2775</v>
      </c>
      <c r="L394" s="1">
        <v>229.6695</v>
      </c>
      <c r="M394" s="1">
        <v>336.26549999999997</v>
      </c>
      <c r="N394" s="4">
        <f t="shared" si="8"/>
        <v>7.0728841177342092</v>
      </c>
      <c r="O394" s="4">
        <f t="shared" si="12"/>
        <v>77.593449680893102</v>
      </c>
      <c r="P394" s="4">
        <f t="shared" si="11"/>
        <v>58.485929581150501</v>
      </c>
      <c r="Q394" s="4">
        <v>362.05650000000003</v>
      </c>
      <c r="R394" s="4">
        <f t="shared" si="10"/>
        <v>11.818617574168213</v>
      </c>
      <c r="S394" s="1">
        <v>254.80650000000003</v>
      </c>
      <c r="T394" s="1">
        <v>425.78250000000003</v>
      </c>
      <c r="U394" s="1">
        <v>503.61300000000006</v>
      </c>
      <c r="V394" s="1">
        <v>445.25850000000003</v>
      </c>
      <c r="W394" s="1">
        <v>201.89550000000003</v>
      </c>
      <c r="X394" s="1">
        <v>600.62850000000003</v>
      </c>
      <c r="Y394" s="1">
        <v>408.072</v>
      </c>
      <c r="Z394" s="1">
        <v>206.685</v>
      </c>
      <c r="AA394" s="3">
        <v>15000</v>
      </c>
      <c r="AB394" s="1">
        <v>4210.0110000000004</v>
      </c>
    </row>
    <row r="395" spans="1:28" x14ac:dyDescent="0.25">
      <c r="A395" s="1">
        <v>394</v>
      </c>
      <c r="B395" s="2">
        <v>57589</v>
      </c>
      <c r="C395" s="1">
        <v>449.91600000000005</v>
      </c>
      <c r="D395" s="4">
        <f t="shared" si="9"/>
        <v>40.962784238011416</v>
      </c>
      <c r="E395" s="1">
        <v>231.17400000000004</v>
      </c>
      <c r="F395" s="1">
        <v>297.1875</v>
      </c>
      <c r="G395" s="1">
        <v>100.87200000000001</v>
      </c>
      <c r="H395" s="1">
        <v>532.07849999999996</v>
      </c>
      <c r="I395" s="1">
        <v>346.52699999999999</v>
      </c>
      <c r="J395" s="1">
        <v>183.1335</v>
      </c>
      <c r="K395" s="1">
        <v>194.39700000000002</v>
      </c>
      <c r="L395" s="1">
        <v>229.41899999999998</v>
      </c>
      <c r="M395" s="1">
        <v>335.86649999999997</v>
      </c>
      <c r="N395" s="4">
        <f t="shared" si="8"/>
        <v>7.0021552765568673</v>
      </c>
      <c r="O395" s="4">
        <f t="shared" si="12"/>
        <v>76.817515184084172</v>
      </c>
      <c r="P395" s="4">
        <f t="shared" si="11"/>
        <v>57.901070285338996</v>
      </c>
      <c r="Q395" s="4">
        <v>361.30650000000003</v>
      </c>
      <c r="R395" s="4">
        <f t="shared" si="10"/>
        <v>11.700431398426531</v>
      </c>
      <c r="S395" s="1">
        <v>254.54399999999998</v>
      </c>
      <c r="T395" s="1">
        <v>423.50850000000003</v>
      </c>
      <c r="U395" s="1">
        <v>502.66050000000007</v>
      </c>
      <c r="V395" s="1">
        <v>444.375</v>
      </c>
      <c r="W395" s="1">
        <v>201.429</v>
      </c>
      <c r="X395" s="1">
        <v>598.66050000000007</v>
      </c>
      <c r="Y395" s="1">
        <v>407.4375</v>
      </c>
      <c r="Z395" s="1">
        <v>205.16549999999998</v>
      </c>
      <c r="AA395" s="3">
        <v>15000</v>
      </c>
      <c r="AB395" s="1">
        <v>4199.1329999999998</v>
      </c>
    </row>
    <row r="396" spans="1:28" x14ac:dyDescent="0.25">
      <c r="A396" s="1">
        <v>395</v>
      </c>
      <c r="B396" s="2">
        <v>57619</v>
      </c>
      <c r="C396" s="1">
        <v>448.66800000000001</v>
      </c>
      <c r="D396" s="4">
        <f t="shared" si="9"/>
        <v>40.553156395631298</v>
      </c>
      <c r="E396" s="1">
        <v>229.76549999999997</v>
      </c>
      <c r="F396" s="1">
        <v>296.39550000000003</v>
      </c>
      <c r="G396" s="1">
        <v>100.61399999999999</v>
      </c>
      <c r="H396" s="1">
        <v>532.09199999999998</v>
      </c>
      <c r="I396" s="1">
        <v>346.137</v>
      </c>
      <c r="J396" s="1">
        <v>182.8305</v>
      </c>
      <c r="K396" s="1">
        <v>193.7055</v>
      </c>
      <c r="L396" s="1">
        <v>229.209</v>
      </c>
      <c r="M396" s="1">
        <v>335.541</v>
      </c>
      <c r="N396" s="4">
        <f t="shared" si="8"/>
        <v>6.9321337237912983</v>
      </c>
      <c r="O396" s="4">
        <f t="shared" si="12"/>
        <v>76.049340032243336</v>
      </c>
      <c r="P396" s="4">
        <f t="shared" si="11"/>
        <v>57.322059582485608</v>
      </c>
      <c r="Q396" s="4">
        <v>360.34800000000001</v>
      </c>
      <c r="R396" s="4">
        <f t="shared" si="10"/>
        <v>11.583427084442265</v>
      </c>
      <c r="S396" s="1">
        <v>254.3475</v>
      </c>
      <c r="T396" s="1">
        <v>421.64549999999997</v>
      </c>
      <c r="U396" s="1">
        <v>501.94350000000003</v>
      </c>
      <c r="V396" s="1">
        <v>443.70899999999995</v>
      </c>
      <c r="W396" s="1">
        <v>201.0975</v>
      </c>
      <c r="X396" s="1">
        <v>596.952</v>
      </c>
      <c r="Y396" s="1">
        <v>406.839</v>
      </c>
      <c r="Z396" s="1">
        <v>203.916</v>
      </c>
      <c r="AA396" s="3">
        <v>15000</v>
      </c>
      <c r="AB396" s="1">
        <v>4189.982</v>
      </c>
    </row>
    <row r="397" spans="1:28" x14ac:dyDescent="0.25">
      <c r="A397" s="1">
        <v>396</v>
      </c>
      <c r="B397" s="2">
        <v>57650</v>
      </c>
      <c r="C397" s="1">
        <v>447.36300000000006</v>
      </c>
      <c r="D397" s="4">
        <f t="shared" si="9"/>
        <v>40.147624831674982</v>
      </c>
      <c r="E397" s="1">
        <v>228.14999999999998</v>
      </c>
      <c r="F397" s="1">
        <v>295.45050000000003</v>
      </c>
      <c r="G397" s="1">
        <v>100.5</v>
      </c>
      <c r="H397" s="1">
        <v>532.05600000000004</v>
      </c>
      <c r="I397" s="1">
        <v>345.72450000000003</v>
      </c>
      <c r="J397" s="1">
        <v>182.4495</v>
      </c>
      <c r="K397" s="1">
        <v>192.88800000000003</v>
      </c>
      <c r="L397" s="1">
        <v>228.98699999999997</v>
      </c>
      <c r="M397" s="1">
        <v>335.22450000000003</v>
      </c>
      <c r="N397" s="4">
        <f t="shared" si="8"/>
        <v>6.8628123865533857</v>
      </c>
      <c r="O397" s="4">
        <f t="shared" si="12"/>
        <v>75.288846631920904</v>
      </c>
      <c r="P397" s="4">
        <f t="shared" si="11"/>
        <v>56.748838986660751</v>
      </c>
      <c r="Q397" s="4">
        <v>359.565</v>
      </c>
      <c r="R397" s="4">
        <f t="shared" si="10"/>
        <v>11.467592813597843</v>
      </c>
      <c r="S397" s="1">
        <v>254.0745</v>
      </c>
      <c r="T397" s="1">
        <v>419.50049999999999</v>
      </c>
      <c r="U397" s="1">
        <v>501.10050000000001</v>
      </c>
      <c r="V397" s="1">
        <v>442.79999999999995</v>
      </c>
      <c r="W397" s="1">
        <v>200.65049999999999</v>
      </c>
      <c r="X397" s="1">
        <v>594.90000000000009</v>
      </c>
      <c r="Y397" s="1">
        <v>406.04999999999995</v>
      </c>
      <c r="Z397" s="1">
        <v>202.488</v>
      </c>
      <c r="AA397" s="3">
        <v>15000</v>
      </c>
      <c r="AB397" s="1">
        <v>4179.3379999999988</v>
      </c>
    </row>
    <row r="398" spans="1:28" x14ac:dyDescent="0.25">
      <c r="A398" s="1">
        <v>397</v>
      </c>
      <c r="B398" s="2">
        <v>57680</v>
      </c>
      <c r="C398" s="1">
        <v>446.21100000000001</v>
      </c>
      <c r="D398" s="4">
        <f t="shared" si="9"/>
        <v>39.746148583358234</v>
      </c>
      <c r="E398" s="1">
        <v>226.68150000000003</v>
      </c>
      <c r="F398" s="1">
        <v>294.58050000000003</v>
      </c>
      <c r="G398" s="1">
        <v>100.35300000000001</v>
      </c>
      <c r="H398" s="1">
        <v>532.09199999999998</v>
      </c>
      <c r="I398" s="1">
        <v>345.339</v>
      </c>
      <c r="J398" s="1">
        <v>182.1045</v>
      </c>
      <c r="K398" s="1">
        <v>192.15749999999997</v>
      </c>
      <c r="L398" s="1">
        <v>228.786</v>
      </c>
      <c r="M398" s="1">
        <v>334.935</v>
      </c>
      <c r="N398" s="4">
        <f t="shared" si="8"/>
        <v>6.7941842626878515</v>
      </c>
      <c r="O398" s="4">
        <f t="shared" si="12"/>
        <v>74.535958165601699</v>
      </c>
      <c r="P398" s="4">
        <f t="shared" si="11"/>
        <v>56.18135059679414</v>
      </c>
      <c r="Q398" s="4">
        <v>358.65</v>
      </c>
      <c r="R398" s="4">
        <f t="shared" si="10"/>
        <v>11.352916885461864</v>
      </c>
      <c r="S398" s="1">
        <v>253.839</v>
      </c>
      <c r="T398" s="1">
        <v>417.48449999999997</v>
      </c>
      <c r="U398" s="1">
        <v>500.298</v>
      </c>
      <c r="V398" s="1">
        <v>441.91949999999997</v>
      </c>
      <c r="W398" s="1">
        <v>200.274</v>
      </c>
      <c r="X398" s="1">
        <v>592.93500000000006</v>
      </c>
      <c r="Y398" s="1">
        <v>405.31499999999994</v>
      </c>
      <c r="Z398" s="1">
        <v>201.1695</v>
      </c>
      <c r="AA398" s="3">
        <v>15000</v>
      </c>
      <c r="AB398" s="1">
        <v>4169.4830000000002</v>
      </c>
    </row>
    <row r="399" spans="1:28" x14ac:dyDescent="0.25">
      <c r="A399" s="1">
        <v>398</v>
      </c>
      <c r="B399" s="2">
        <v>57711</v>
      </c>
      <c r="C399" s="1">
        <v>444.87299999999999</v>
      </c>
      <c r="D399" s="4">
        <f t="shared" si="9"/>
        <v>39.348687097524653</v>
      </c>
      <c r="E399" s="1">
        <v>225.12450000000001</v>
      </c>
      <c r="F399" s="1">
        <v>293.625</v>
      </c>
      <c r="G399" s="1">
        <v>100.24349999999998</v>
      </c>
      <c r="H399" s="1">
        <v>532.12950000000001</v>
      </c>
      <c r="I399" s="1">
        <v>344.89949999999999</v>
      </c>
      <c r="J399" s="1">
        <v>181.72500000000002</v>
      </c>
      <c r="K399" s="1">
        <v>191.33700000000002</v>
      </c>
      <c r="L399" s="1">
        <v>228.5745</v>
      </c>
      <c r="M399" s="1">
        <v>334.62450000000001</v>
      </c>
      <c r="N399" s="4">
        <f t="shared" si="8"/>
        <v>6.7262424200609727</v>
      </c>
      <c r="O399" s="4">
        <f t="shared" si="12"/>
        <v>73.79059858394568</v>
      </c>
      <c r="P399" s="4">
        <f t="shared" si="11"/>
        <v>55.619537090826199</v>
      </c>
      <c r="Q399" s="4">
        <v>357.75</v>
      </c>
      <c r="R399" s="4">
        <f t="shared" si="10"/>
        <v>11.239387716607245</v>
      </c>
      <c r="S399" s="1">
        <v>253.57500000000002</v>
      </c>
      <c r="T399" s="1">
        <v>415.37549999999999</v>
      </c>
      <c r="U399" s="1">
        <v>499.47450000000003</v>
      </c>
      <c r="V399" s="1">
        <v>441</v>
      </c>
      <c r="W399" s="1">
        <v>199.875</v>
      </c>
      <c r="X399" s="1">
        <v>590.70000000000005</v>
      </c>
      <c r="Y399" s="1">
        <v>404.42550000000006</v>
      </c>
      <c r="Z399" s="1">
        <v>199.76250000000002</v>
      </c>
      <c r="AA399" s="3">
        <v>15000</v>
      </c>
      <c r="AB399" s="1">
        <v>4158.7290000000003</v>
      </c>
    </row>
    <row r="400" spans="1:28" x14ac:dyDescent="0.25">
      <c r="A400" s="1">
        <v>399</v>
      </c>
      <c r="B400" s="2">
        <v>57742</v>
      </c>
      <c r="C400" s="1">
        <v>443.61149999999998</v>
      </c>
      <c r="D400" s="4">
        <f t="shared" si="9"/>
        <v>38.955200226549408</v>
      </c>
      <c r="E400" s="1">
        <v>223.68150000000003</v>
      </c>
      <c r="F400" s="1">
        <v>292.69349999999997</v>
      </c>
      <c r="G400" s="1">
        <v>100.035</v>
      </c>
      <c r="H400" s="1">
        <v>532.11599999999999</v>
      </c>
      <c r="I400" s="1">
        <v>344.46750000000003</v>
      </c>
      <c r="J400" s="1">
        <v>181.3545</v>
      </c>
      <c r="K400" s="1">
        <v>190.56</v>
      </c>
      <c r="L400" s="1">
        <v>228.351</v>
      </c>
      <c r="M400" s="1">
        <v>334.33050000000003</v>
      </c>
      <c r="N400" s="4">
        <f t="shared" si="8"/>
        <v>6.6589799958603626</v>
      </c>
      <c r="O400" s="4">
        <f t="shared" si="12"/>
        <v>73.052692598106219</v>
      </c>
      <c r="P400" s="4">
        <f t="shared" si="11"/>
        <v>55.063341719917936</v>
      </c>
      <c r="Q400" s="4">
        <v>356.74950000000001</v>
      </c>
      <c r="R400" s="4">
        <f t="shared" si="10"/>
        <v>11.126993839441173</v>
      </c>
      <c r="S400" s="1">
        <v>253.30650000000003</v>
      </c>
      <c r="T400" s="1">
        <v>413.37150000000003</v>
      </c>
      <c r="U400" s="1">
        <v>498.702</v>
      </c>
      <c r="V400" s="1">
        <v>440.08050000000003</v>
      </c>
      <c r="W400" s="1">
        <v>199.476</v>
      </c>
      <c r="X400" s="1">
        <v>588.58050000000003</v>
      </c>
      <c r="Y400" s="1">
        <v>403.572</v>
      </c>
      <c r="Z400" s="1">
        <v>198.447</v>
      </c>
      <c r="AA400" s="3">
        <v>15000</v>
      </c>
      <c r="AB400" s="1">
        <v>4148.384</v>
      </c>
    </row>
    <row r="401" spans="1:28" x14ac:dyDescent="0.25">
      <c r="A401" s="1">
        <v>400</v>
      </c>
      <c r="B401" s="2">
        <v>57770</v>
      </c>
      <c r="C401" s="1">
        <v>442.42949999999996</v>
      </c>
      <c r="D401" s="4">
        <f t="shared" si="9"/>
        <v>38.565648224283912</v>
      </c>
      <c r="E401" s="1">
        <v>222.22949999999997</v>
      </c>
      <c r="F401" s="1">
        <v>291.75</v>
      </c>
      <c r="G401" s="1">
        <v>99.81</v>
      </c>
      <c r="H401" s="1">
        <v>532.14</v>
      </c>
      <c r="I401" s="1">
        <v>344.10449999999997</v>
      </c>
      <c r="J401" s="1">
        <v>180.9915</v>
      </c>
      <c r="K401" s="1">
        <v>189.786</v>
      </c>
      <c r="L401" s="1">
        <v>228.14550000000003</v>
      </c>
      <c r="M401" s="1">
        <v>334.065</v>
      </c>
      <c r="N401" s="4">
        <f t="shared" ref="N401:N464" si="13">N400*0.99</f>
        <v>6.5923901959017588</v>
      </c>
      <c r="O401" s="4">
        <f t="shared" si="12"/>
        <v>72.322165672125152</v>
      </c>
      <c r="P401" s="4">
        <f t="shared" si="11"/>
        <v>54.512708302718757</v>
      </c>
      <c r="Q401" s="4">
        <v>355.839</v>
      </c>
      <c r="R401" s="4">
        <f t="shared" si="10"/>
        <v>11.015723901046762</v>
      </c>
      <c r="S401" s="1">
        <v>253.041</v>
      </c>
      <c r="T401" s="1">
        <v>411.411</v>
      </c>
      <c r="U401" s="1">
        <v>497.952</v>
      </c>
      <c r="V401" s="1">
        <v>439.161</v>
      </c>
      <c r="W401" s="1">
        <v>199.137</v>
      </c>
      <c r="X401" s="1">
        <v>586.40250000000003</v>
      </c>
      <c r="Y401" s="1">
        <v>402.702</v>
      </c>
      <c r="Z401" s="1">
        <v>197.1525</v>
      </c>
      <c r="AA401" s="3">
        <v>15000</v>
      </c>
      <c r="AB401" s="1">
        <v>4138.1879999999992</v>
      </c>
    </row>
    <row r="402" spans="1:28" x14ac:dyDescent="0.25">
      <c r="A402" s="1">
        <v>401</v>
      </c>
      <c r="B402" s="2">
        <v>57801</v>
      </c>
      <c r="C402" s="1">
        <v>441.06450000000001</v>
      </c>
      <c r="D402" s="4">
        <f t="shared" si="9"/>
        <v>38.179991742041075</v>
      </c>
      <c r="E402" s="1">
        <v>220.77449999999999</v>
      </c>
      <c r="F402" s="1">
        <v>290.8005</v>
      </c>
      <c r="G402" s="1">
        <v>99.511499999999984</v>
      </c>
      <c r="H402" s="1">
        <v>532.12950000000001</v>
      </c>
      <c r="I402" s="1">
        <v>343.65</v>
      </c>
      <c r="J402" s="1">
        <v>180.62549999999999</v>
      </c>
      <c r="K402" s="1">
        <v>188.97450000000001</v>
      </c>
      <c r="L402" s="1">
        <v>227.93700000000001</v>
      </c>
      <c r="M402" s="1">
        <v>333.75</v>
      </c>
      <c r="N402" s="4">
        <f t="shared" si="13"/>
        <v>6.5264662939427414</v>
      </c>
      <c r="O402" s="4">
        <f t="shared" si="12"/>
        <v>71.598944015403902</v>
      </c>
      <c r="P402" s="4">
        <f t="shared" si="11"/>
        <v>53.967581219691567</v>
      </c>
      <c r="Q402" s="4">
        <v>354.87149999999997</v>
      </c>
      <c r="R402" s="4">
        <f t="shared" si="10"/>
        <v>10.905566662036295</v>
      </c>
      <c r="S402" s="1">
        <v>252.75</v>
      </c>
      <c r="T402" s="1">
        <v>409.32449999999994</v>
      </c>
      <c r="U402" s="1">
        <v>497.17499999999995</v>
      </c>
      <c r="V402" s="1">
        <v>438.10050000000001</v>
      </c>
      <c r="W402" s="1">
        <v>198.72450000000001</v>
      </c>
      <c r="X402" s="1">
        <v>584.09999999999991</v>
      </c>
      <c r="Y402" s="1">
        <v>401.74950000000001</v>
      </c>
      <c r="Z402" s="1">
        <v>195.78750000000002</v>
      </c>
      <c r="AA402" s="3">
        <v>15000</v>
      </c>
      <c r="AB402" s="1">
        <v>4127.1859999999997</v>
      </c>
    </row>
    <row r="403" spans="1:28" x14ac:dyDescent="0.25">
      <c r="A403" s="1">
        <v>402</v>
      </c>
      <c r="B403" s="2">
        <v>57831</v>
      </c>
      <c r="C403" s="1">
        <v>439.92599999999999</v>
      </c>
      <c r="D403" s="4">
        <f t="shared" si="9"/>
        <v>37.798191824620666</v>
      </c>
      <c r="E403" s="1">
        <v>219.411</v>
      </c>
      <c r="F403" s="1">
        <v>289.911</v>
      </c>
      <c r="G403" s="1">
        <v>99.254999999999995</v>
      </c>
      <c r="H403" s="1">
        <v>532.16399999999999</v>
      </c>
      <c r="I403" s="1">
        <v>343.25850000000003</v>
      </c>
      <c r="J403" s="1">
        <v>180.291</v>
      </c>
      <c r="K403" s="1">
        <v>188.19</v>
      </c>
      <c r="L403" s="1">
        <v>227.7225</v>
      </c>
      <c r="M403" s="1">
        <v>333.459</v>
      </c>
      <c r="N403" s="4">
        <f t="shared" si="13"/>
        <v>6.4612016310033136</v>
      </c>
      <c r="O403" s="4">
        <f t="shared" si="12"/>
        <v>70.882954575249869</v>
      </c>
      <c r="P403" s="4">
        <f t="shared" si="11"/>
        <v>53.427905407494649</v>
      </c>
      <c r="Q403" s="4">
        <v>353.85</v>
      </c>
      <c r="R403" s="4">
        <f t="shared" si="10"/>
        <v>10.796510995415931</v>
      </c>
      <c r="S403" s="1">
        <v>252.5085</v>
      </c>
      <c r="T403" s="1">
        <v>407.46749999999997</v>
      </c>
      <c r="U403" s="1">
        <v>496.452</v>
      </c>
      <c r="V403" s="1">
        <v>437.226</v>
      </c>
      <c r="W403" s="1">
        <v>198.12149999999997</v>
      </c>
      <c r="X403" s="1">
        <v>583.5</v>
      </c>
      <c r="Y403" s="1">
        <v>401.74650000000003</v>
      </c>
      <c r="Z403" s="1">
        <v>194.565</v>
      </c>
      <c r="AA403" s="3">
        <v>15000</v>
      </c>
      <c r="AB403" s="1">
        <v>4118.7079999999996</v>
      </c>
    </row>
    <row r="404" spans="1:28" x14ac:dyDescent="0.25">
      <c r="A404" s="1">
        <v>403</v>
      </c>
      <c r="B404" s="2">
        <v>57862</v>
      </c>
      <c r="C404" s="1">
        <v>438.62250000000006</v>
      </c>
      <c r="D404" s="4">
        <f t="shared" si="9"/>
        <v>37.42020990637446</v>
      </c>
      <c r="E404" s="1">
        <v>217.98749999999998</v>
      </c>
      <c r="F404" s="1">
        <v>288.97500000000002</v>
      </c>
      <c r="G404" s="1">
        <v>98.962499999999991</v>
      </c>
      <c r="H404" s="1">
        <v>532.15350000000001</v>
      </c>
      <c r="I404" s="1">
        <v>342.79949999999997</v>
      </c>
      <c r="J404" s="1">
        <v>180.07499999999999</v>
      </c>
      <c r="K404" s="1">
        <v>187.3245</v>
      </c>
      <c r="L404" s="1">
        <v>227.47500000000002</v>
      </c>
      <c r="M404" s="1">
        <v>333.07500000000005</v>
      </c>
      <c r="N404" s="4">
        <f t="shared" si="13"/>
        <v>6.3965896146932808</v>
      </c>
      <c r="O404" s="4">
        <f t="shared" si="12"/>
        <v>70.174125029497375</v>
      </c>
      <c r="P404" s="4">
        <f t="shared" si="11"/>
        <v>52.893626353419698</v>
      </c>
      <c r="Q404" s="4">
        <v>352.887</v>
      </c>
      <c r="R404" s="4">
        <f t="shared" si="10"/>
        <v>10.688545885461771</v>
      </c>
      <c r="S404" s="1">
        <v>252.1755</v>
      </c>
      <c r="T404" s="1">
        <v>405.40049999999997</v>
      </c>
      <c r="U404" s="1">
        <v>495.64949999999999</v>
      </c>
      <c r="V404" s="1">
        <v>436.5</v>
      </c>
      <c r="W404" s="1">
        <v>197.4495</v>
      </c>
      <c r="X404" s="1">
        <v>582.59999999999991</v>
      </c>
      <c r="Y404" s="1">
        <v>401.74950000000001</v>
      </c>
      <c r="Z404" s="1">
        <v>193.22550000000001</v>
      </c>
      <c r="AA404" s="3">
        <v>15000</v>
      </c>
      <c r="AB404" s="1">
        <v>4109.3500000000004</v>
      </c>
    </row>
    <row r="405" spans="1:28" x14ac:dyDescent="0.25">
      <c r="A405" s="1">
        <v>404</v>
      </c>
      <c r="B405" s="2">
        <v>57892</v>
      </c>
      <c r="C405" s="1">
        <v>437.37450000000001</v>
      </c>
      <c r="D405" s="4">
        <f t="shared" si="9"/>
        <v>37.046007807310716</v>
      </c>
      <c r="E405" s="1">
        <v>216.6525</v>
      </c>
      <c r="F405" s="1">
        <v>288.09749999999997</v>
      </c>
      <c r="G405" s="1">
        <v>98.794499999999999</v>
      </c>
      <c r="H405" s="1">
        <v>532.18650000000002</v>
      </c>
      <c r="I405" s="1">
        <v>342.411</v>
      </c>
      <c r="J405" s="1">
        <v>179.8305</v>
      </c>
      <c r="K405" s="1">
        <v>186.5685</v>
      </c>
      <c r="L405" s="1">
        <v>227.262</v>
      </c>
      <c r="M405" s="1">
        <v>332.75850000000003</v>
      </c>
      <c r="N405" s="4">
        <f t="shared" si="13"/>
        <v>6.3326237185463476</v>
      </c>
      <c r="O405" s="4">
        <f t="shared" si="12"/>
        <v>69.472383779202403</v>
      </c>
      <c r="P405" s="4">
        <f t="shared" si="11"/>
        <v>52.364690089885499</v>
      </c>
      <c r="Q405" s="4">
        <v>351.82500000000005</v>
      </c>
      <c r="R405" s="4">
        <f t="shared" si="10"/>
        <v>10.581660426607153</v>
      </c>
      <c r="S405" s="1">
        <v>251.9025</v>
      </c>
      <c r="T405" s="1">
        <v>403.524</v>
      </c>
      <c r="U405" s="1">
        <v>494.75850000000003</v>
      </c>
      <c r="V405" s="1">
        <v>435.726</v>
      </c>
      <c r="W405" s="1">
        <v>196.911</v>
      </c>
      <c r="X405" s="1">
        <v>581.226</v>
      </c>
      <c r="Y405" s="1">
        <v>401.51550000000003</v>
      </c>
      <c r="Z405" s="1">
        <v>191.976</v>
      </c>
      <c r="AA405" s="3">
        <v>15000</v>
      </c>
      <c r="AB405" s="1">
        <v>4100.1880000000001</v>
      </c>
    </row>
    <row r="406" spans="1:28" x14ac:dyDescent="0.25">
      <c r="A406" s="1">
        <v>405</v>
      </c>
      <c r="B406" s="2">
        <v>57923</v>
      </c>
      <c r="C406" s="1">
        <v>436.14600000000002</v>
      </c>
      <c r="D406" s="4">
        <f t="shared" si="9"/>
        <v>36.675547729237607</v>
      </c>
      <c r="E406" s="1">
        <v>215.4195</v>
      </c>
      <c r="F406" s="1">
        <v>287.274</v>
      </c>
      <c r="G406" s="1">
        <v>98.410499999999999</v>
      </c>
      <c r="H406" s="1">
        <v>532.21050000000002</v>
      </c>
      <c r="I406" s="1">
        <v>342.048</v>
      </c>
      <c r="J406" s="1">
        <v>179.589</v>
      </c>
      <c r="K406" s="1">
        <v>185.8545</v>
      </c>
      <c r="L406" s="1">
        <v>227.06849999999997</v>
      </c>
      <c r="M406" s="1">
        <v>332.49149999999997</v>
      </c>
      <c r="N406" s="4">
        <f t="shared" si="13"/>
        <v>6.2692974813608844</v>
      </c>
      <c r="O406" s="4">
        <f t="shared" si="12"/>
        <v>68.777659941410377</v>
      </c>
      <c r="P406" s="4">
        <f t="shared" si="11"/>
        <v>51.841043188986646</v>
      </c>
      <c r="Q406" s="4">
        <v>350.80650000000003</v>
      </c>
      <c r="R406" s="4">
        <f t="shared" si="10"/>
        <v>10.475843822341082</v>
      </c>
      <c r="S406" s="1">
        <v>251.661</v>
      </c>
      <c r="T406" s="1">
        <v>401.75850000000003</v>
      </c>
      <c r="U406" s="1">
        <v>493.98449999999997</v>
      </c>
      <c r="V406" s="1">
        <v>434.952</v>
      </c>
      <c r="W406" s="1">
        <v>196.37850000000003</v>
      </c>
      <c r="X406" s="1">
        <v>579.62850000000003</v>
      </c>
      <c r="Y406" s="1">
        <v>401.08050000000003</v>
      </c>
      <c r="Z406" s="1">
        <v>190.7775</v>
      </c>
      <c r="AA406" s="3">
        <v>15000</v>
      </c>
      <c r="AB406" s="1">
        <v>4091.0639999999994</v>
      </c>
    </row>
    <row r="407" spans="1:28" x14ac:dyDescent="0.25">
      <c r="A407" s="1">
        <v>406</v>
      </c>
      <c r="B407" s="2">
        <v>57954</v>
      </c>
      <c r="C407" s="1">
        <v>435.00600000000003</v>
      </c>
      <c r="D407" s="4">
        <f t="shared" si="9"/>
        <v>36.308792251945228</v>
      </c>
      <c r="E407" s="1">
        <v>214.005</v>
      </c>
      <c r="F407" s="1">
        <v>286.25850000000003</v>
      </c>
      <c r="G407" s="1">
        <v>98.406000000000006</v>
      </c>
      <c r="H407" s="1">
        <v>532.20899999999995</v>
      </c>
      <c r="I407" s="1">
        <v>341.57100000000003</v>
      </c>
      <c r="J407" s="1">
        <v>179.27699999999999</v>
      </c>
      <c r="K407" s="1">
        <v>184.98149999999998</v>
      </c>
      <c r="L407" s="1">
        <v>226.821</v>
      </c>
      <c r="M407" s="1">
        <v>332.08949999999999</v>
      </c>
      <c r="N407" s="4">
        <f t="shared" si="13"/>
        <v>6.2066045065472757</v>
      </c>
      <c r="O407" s="4">
        <f t="shared" si="12"/>
        <v>68.08988334199627</v>
      </c>
      <c r="P407" s="4">
        <f t="shared" si="11"/>
        <v>51.322632757096777</v>
      </c>
      <c r="Q407" s="4">
        <v>349.863</v>
      </c>
      <c r="R407" s="4">
        <f t="shared" si="10"/>
        <v>10.37108538411767</v>
      </c>
      <c r="S407" s="1">
        <v>251.33100000000002</v>
      </c>
      <c r="T407" s="1">
        <v>399.66900000000004</v>
      </c>
      <c r="U407" s="1">
        <v>492.99149999999997</v>
      </c>
      <c r="V407" s="1">
        <v>434.03550000000007</v>
      </c>
      <c r="W407" s="1">
        <v>195.85649999999998</v>
      </c>
      <c r="X407" s="1">
        <v>577.55399999999997</v>
      </c>
      <c r="Y407" s="1">
        <v>400.36649999999997</v>
      </c>
      <c r="Z407" s="1">
        <v>189.40199999999999</v>
      </c>
      <c r="AA407" s="3">
        <v>15000</v>
      </c>
      <c r="AB407" s="1">
        <v>4080.3869999999997</v>
      </c>
    </row>
    <row r="408" spans="1:28" x14ac:dyDescent="0.25">
      <c r="A408" s="1">
        <v>407</v>
      </c>
      <c r="B408" s="2">
        <v>57984</v>
      </c>
      <c r="C408" s="1">
        <v>433.7355</v>
      </c>
      <c r="D408" s="4">
        <f t="shared" si="9"/>
        <v>35.945704329425773</v>
      </c>
      <c r="E408" s="1">
        <v>212.916</v>
      </c>
      <c r="F408" s="1">
        <v>285.48450000000003</v>
      </c>
      <c r="G408" s="1">
        <v>98.233500000000006</v>
      </c>
      <c r="H408" s="1">
        <v>532.23450000000003</v>
      </c>
      <c r="I408" s="1">
        <v>341.178</v>
      </c>
      <c r="J408" s="1">
        <v>179.0085</v>
      </c>
      <c r="K408" s="1">
        <v>184.2705</v>
      </c>
      <c r="L408" s="1">
        <v>226.6335</v>
      </c>
      <c r="M408" s="1">
        <v>331.815</v>
      </c>
      <c r="N408" s="4">
        <f t="shared" si="13"/>
        <v>6.1445384614818028</v>
      </c>
      <c r="O408" s="4">
        <f t="shared" si="12"/>
        <v>67.40898450857631</v>
      </c>
      <c r="P408" s="4">
        <f t="shared" si="11"/>
        <v>50.809406429525808</v>
      </c>
      <c r="Q408" s="4">
        <v>348.75</v>
      </c>
      <c r="R408" s="4">
        <f t="shared" si="10"/>
        <v>10.267374530276493</v>
      </c>
      <c r="S408" s="1">
        <v>251.05650000000003</v>
      </c>
      <c r="T408" s="1">
        <v>398.08050000000003</v>
      </c>
      <c r="U408" s="1">
        <v>492.26550000000003</v>
      </c>
      <c r="V408" s="1">
        <v>433.25850000000003</v>
      </c>
      <c r="W408" s="1">
        <v>195.411</v>
      </c>
      <c r="X408" s="1">
        <v>575.61300000000006</v>
      </c>
      <c r="Y408" s="1">
        <v>399.68999999999994</v>
      </c>
      <c r="Z408" s="1">
        <v>188.322</v>
      </c>
      <c r="AA408" s="3">
        <v>15000</v>
      </c>
      <c r="AB408" s="1">
        <v>4071.3900000000003</v>
      </c>
    </row>
    <row r="409" spans="1:28" x14ac:dyDescent="0.25">
      <c r="A409" s="1">
        <v>408</v>
      </c>
      <c r="B409" s="2">
        <v>58015</v>
      </c>
      <c r="C409" s="1">
        <v>432.56850000000003</v>
      </c>
      <c r="D409" s="4">
        <f t="shared" si="9"/>
        <v>35.586247286131517</v>
      </c>
      <c r="E409" s="1">
        <v>211.62450000000001</v>
      </c>
      <c r="F409" s="1">
        <v>284.54999999999995</v>
      </c>
      <c r="G409" s="1">
        <v>98.113500000000016</v>
      </c>
      <c r="H409" s="1">
        <v>532.22699999999998</v>
      </c>
      <c r="I409" s="1">
        <v>340.75049999999999</v>
      </c>
      <c r="J409" s="1">
        <v>178.62450000000001</v>
      </c>
      <c r="K409" s="1">
        <v>183.42449999999999</v>
      </c>
      <c r="L409" s="1">
        <v>226.43700000000001</v>
      </c>
      <c r="M409" s="1">
        <v>331.47450000000003</v>
      </c>
      <c r="N409" s="4">
        <f t="shared" si="13"/>
        <v>6.0830930768669846</v>
      </c>
      <c r="O409" s="4">
        <f t="shared" si="12"/>
        <v>66.73489466349055</v>
      </c>
      <c r="P409" s="4">
        <f t="shared" si="11"/>
        <v>50.301312365230551</v>
      </c>
      <c r="Q409" s="4">
        <v>347.87850000000003</v>
      </c>
      <c r="R409" s="4">
        <f t="shared" si="10"/>
        <v>10.164700784973729</v>
      </c>
      <c r="S409" s="1">
        <v>250.72500000000002</v>
      </c>
      <c r="T409" s="1">
        <v>396.17550000000006</v>
      </c>
      <c r="U409" s="1">
        <v>491.42550000000006</v>
      </c>
      <c r="V409" s="1">
        <v>432.34950000000003</v>
      </c>
      <c r="W409" s="1">
        <v>194.89949999999999</v>
      </c>
      <c r="X409" s="1">
        <v>573.29999999999995</v>
      </c>
      <c r="Y409" s="1">
        <v>398.8125</v>
      </c>
      <c r="Z409" s="1">
        <v>187.08749999999998</v>
      </c>
      <c r="AA409" s="3">
        <v>15000</v>
      </c>
      <c r="AB409" s="1">
        <v>4060.9460000000004</v>
      </c>
    </row>
    <row r="410" spans="1:28" x14ac:dyDescent="0.25">
      <c r="A410" s="1">
        <v>409</v>
      </c>
      <c r="B410" s="2">
        <v>58045</v>
      </c>
      <c r="C410" s="1">
        <v>431.27850000000001</v>
      </c>
      <c r="D410" s="4">
        <f t="shared" si="9"/>
        <v>35.230384813270199</v>
      </c>
      <c r="E410" s="1">
        <v>210.435</v>
      </c>
      <c r="F410" s="1">
        <v>283.69349999999997</v>
      </c>
      <c r="G410" s="1">
        <v>97.902000000000001</v>
      </c>
      <c r="H410" s="1">
        <v>532.28099999999995</v>
      </c>
      <c r="I410" s="1">
        <v>340.35449999999997</v>
      </c>
      <c r="J410" s="1">
        <v>178.2825</v>
      </c>
      <c r="K410" s="1">
        <v>182.637</v>
      </c>
      <c r="L410" s="1">
        <v>226.23450000000003</v>
      </c>
      <c r="M410" s="1">
        <v>331.185</v>
      </c>
      <c r="N410" s="4">
        <f t="shared" si="13"/>
        <v>6.0222621460983143</v>
      </c>
      <c r="O410" s="4">
        <f t="shared" si="12"/>
        <v>66.067545716855648</v>
      </c>
      <c r="P410" s="4">
        <f t="shared" si="11"/>
        <v>49.798299241578242</v>
      </c>
      <c r="Q410" s="4">
        <v>346.84950000000003</v>
      </c>
      <c r="R410" s="4">
        <f t="shared" si="10"/>
        <v>10.063053777123992</v>
      </c>
      <c r="S410" s="1">
        <v>250.476</v>
      </c>
      <c r="T410" s="1">
        <v>394.428</v>
      </c>
      <c r="U410" s="1">
        <v>490.69350000000003</v>
      </c>
      <c r="V410" s="1">
        <v>431.46749999999997</v>
      </c>
      <c r="W410" s="1">
        <v>194.4915</v>
      </c>
      <c r="X410" s="1">
        <v>571.06499999999994</v>
      </c>
      <c r="Y410" s="1">
        <v>397.97249999999997</v>
      </c>
      <c r="Z410" s="1">
        <v>185.94</v>
      </c>
      <c r="AA410" s="3">
        <v>15000</v>
      </c>
      <c r="AB410" s="1">
        <v>4051.1900000000005</v>
      </c>
    </row>
    <row r="411" spans="1:28" x14ac:dyDescent="0.25">
      <c r="A411" s="1">
        <v>410</v>
      </c>
      <c r="B411" s="2">
        <v>58076</v>
      </c>
      <c r="C411" s="1">
        <v>430.029</v>
      </c>
      <c r="D411" s="4">
        <f t="shared" si="9"/>
        <v>34.878080965137499</v>
      </c>
      <c r="E411" s="1">
        <v>209.16300000000001</v>
      </c>
      <c r="F411" s="1">
        <v>282.75</v>
      </c>
      <c r="G411" s="1">
        <v>97.631999999999991</v>
      </c>
      <c r="H411" s="1">
        <v>532.27500000000009</v>
      </c>
      <c r="I411" s="1">
        <v>339.9</v>
      </c>
      <c r="J411" s="1">
        <v>177.89999999999998</v>
      </c>
      <c r="K411" s="1">
        <v>181.77450000000002</v>
      </c>
      <c r="L411" s="1">
        <v>226.02449999999999</v>
      </c>
      <c r="M411" s="1">
        <v>330.82500000000005</v>
      </c>
      <c r="N411" s="4">
        <f t="shared" si="13"/>
        <v>5.9620395246373308</v>
      </c>
      <c r="O411" s="4">
        <f t="shared" si="12"/>
        <v>65.406870259687096</v>
      </c>
      <c r="P411" s="4">
        <f t="shared" si="11"/>
        <v>49.300316249162456</v>
      </c>
      <c r="Q411" s="4">
        <v>345.96750000000003</v>
      </c>
      <c r="R411" s="4">
        <f t="shared" si="10"/>
        <v>9.9624232393527521</v>
      </c>
      <c r="S411" s="1">
        <v>250.15049999999999</v>
      </c>
      <c r="T411" s="1">
        <v>392.57549999999998</v>
      </c>
      <c r="U411" s="1">
        <v>489.92550000000006</v>
      </c>
      <c r="V411" s="1">
        <v>430.5</v>
      </c>
      <c r="W411" s="1">
        <v>194.02499999999998</v>
      </c>
      <c r="X411" s="1">
        <v>568.65000000000009</v>
      </c>
      <c r="Y411" s="1">
        <v>397.03800000000001</v>
      </c>
      <c r="Z411" s="1">
        <v>184.73699999999999</v>
      </c>
      <c r="AA411" s="3">
        <v>15000</v>
      </c>
      <c r="AB411" s="1">
        <v>4040.5499999999993</v>
      </c>
    </row>
    <row r="412" spans="1:28" x14ac:dyDescent="0.25">
      <c r="A412" s="1">
        <v>411</v>
      </c>
      <c r="B412" s="2">
        <v>58107</v>
      </c>
      <c r="C412" s="1">
        <v>428.82149999999996</v>
      </c>
      <c r="D412" s="4">
        <f t="shared" si="9"/>
        <v>34.529300155486126</v>
      </c>
      <c r="E412" s="1">
        <v>207.96750000000003</v>
      </c>
      <c r="F412" s="1">
        <v>281.87850000000003</v>
      </c>
      <c r="G412" s="1">
        <v>97.636499999999984</v>
      </c>
      <c r="H412" s="1">
        <v>532.30500000000006</v>
      </c>
      <c r="I412" s="1">
        <v>339.48450000000003</v>
      </c>
      <c r="J412" s="1">
        <v>177.5085</v>
      </c>
      <c r="K412" s="1">
        <v>180.9675</v>
      </c>
      <c r="L412" s="1">
        <v>225.8475</v>
      </c>
      <c r="M412" s="1">
        <v>330.55650000000003</v>
      </c>
      <c r="N412" s="4">
        <f t="shared" si="13"/>
        <v>5.9024191293909576</v>
      </c>
      <c r="O412" s="4">
        <f t="shared" si="12"/>
        <v>64.752801557090223</v>
      </c>
      <c r="P412" s="4">
        <f t="shared" si="11"/>
        <v>48.807313086670831</v>
      </c>
      <c r="Q412" s="4">
        <v>344.95050000000003</v>
      </c>
      <c r="R412" s="4">
        <f t="shared" si="10"/>
        <v>9.8627990069592251</v>
      </c>
      <c r="S412" s="1">
        <v>249.822</v>
      </c>
      <c r="T412" s="1">
        <v>390.87150000000003</v>
      </c>
      <c r="U412" s="1">
        <v>489.21749999999997</v>
      </c>
      <c r="V412" s="1">
        <v>429.53250000000003</v>
      </c>
      <c r="W412" s="1">
        <v>193.572</v>
      </c>
      <c r="X412" s="1">
        <v>566.37149999999997</v>
      </c>
      <c r="Y412" s="1">
        <v>396.16949999999997</v>
      </c>
      <c r="Z412" s="1">
        <v>183.5925</v>
      </c>
      <c r="AA412" s="3">
        <v>15000</v>
      </c>
      <c r="AB412" s="1">
        <v>4030.7860000000001</v>
      </c>
    </row>
    <row r="413" spans="1:28" x14ac:dyDescent="0.25">
      <c r="A413" s="1">
        <v>412</v>
      </c>
      <c r="B413" s="2">
        <v>58135</v>
      </c>
      <c r="C413" s="1">
        <v>427.54499999999996</v>
      </c>
      <c r="D413" s="4">
        <f t="shared" si="9"/>
        <v>34.184007153931262</v>
      </c>
      <c r="E413" s="1">
        <v>206.7945</v>
      </c>
      <c r="F413" s="1">
        <v>281.00850000000003</v>
      </c>
      <c r="G413" s="1">
        <v>97.465500000000006</v>
      </c>
      <c r="H413" s="1">
        <v>532.30500000000006</v>
      </c>
      <c r="I413" s="1">
        <v>339.072</v>
      </c>
      <c r="J413" s="1">
        <v>177.1455</v>
      </c>
      <c r="K413" s="1">
        <v>180.1695</v>
      </c>
      <c r="L413" s="1">
        <v>225.62850000000003</v>
      </c>
      <c r="M413" s="1">
        <v>330.24149999999997</v>
      </c>
      <c r="N413" s="4">
        <f t="shared" si="13"/>
        <v>5.843394938097048</v>
      </c>
      <c r="O413" s="4">
        <f t="shared" si="12"/>
        <v>64.105273541519324</v>
      </c>
      <c r="P413" s="4">
        <f t="shared" si="11"/>
        <v>48.319239955804122</v>
      </c>
      <c r="Q413" s="4">
        <v>344.05650000000003</v>
      </c>
      <c r="R413" s="4">
        <f t="shared" si="10"/>
        <v>9.7641710168896321</v>
      </c>
      <c r="S413" s="1">
        <v>249.53249999999997</v>
      </c>
      <c r="T413" s="1">
        <v>389.178</v>
      </c>
      <c r="U413" s="1">
        <v>488.54100000000005</v>
      </c>
      <c r="V413" s="1">
        <v>428.61300000000006</v>
      </c>
      <c r="W413" s="1">
        <v>193.089</v>
      </c>
      <c r="X413" s="1">
        <v>564.09749999999997</v>
      </c>
      <c r="Y413" s="1">
        <v>395.322</v>
      </c>
      <c r="Z413" s="1">
        <v>182.4555</v>
      </c>
      <c r="AA413" s="3">
        <v>15000</v>
      </c>
      <c r="AB413" s="1">
        <v>4020.9260000000008</v>
      </c>
    </row>
    <row r="414" spans="1:28" x14ac:dyDescent="0.25">
      <c r="A414" s="1">
        <v>413</v>
      </c>
      <c r="B414" s="2">
        <v>58166</v>
      </c>
      <c r="C414" s="1">
        <v>426.36750000000001</v>
      </c>
      <c r="D414" s="4">
        <f t="shared" si="9"/>
        <v>33.842167082391946</v>
      </c>
      <c r="E414" s="1">
        <v>205.57500000000002</v>
      </c>
      <c r="F414" s="1">
        <v>280.07550000000003</v>
      </c>
      <c r="G414" s="1">
        <v>97.301999999999992</v>
      </c>
      <c r="H414" s="1">
        <v>532.32449999999994</v>
      </c>
      <c r="I414" s="1">
        <v>338.625</v>
      </c>
      <c r="J414" s="1">
        <v>176.72549999999998</v>
      </c>
      <c r="K414" s="1">
        <v>179.37450000000001</v>
      </c>
      <c r="L414" s="1">
        <v>225.42449999999997</v>
      </c>
      <c r="M414" s="1">
        <v>329.97450000000003</v>
      </c>
      <c r="N414" s="4">
        <f t="shared" si="13"/>
        <v>5.7849609887160778</v>
      </c>
      <c r="O414" s="4">
        <f t="shared" si="12"/>
        <v>63.46422080610413</v>
      </c>
      <c r="P414" s="4">
        <f t="shared" si="11"/>
        <v>47.836047556246079</v>
      </c>
      <c r="Q414" s="4">
        <v>343.185</v>
      </c>
      <c r="R414" s="4">
        <f t="shared" si="10"/>
        <v>9.6665293067207365</v>
      </c>
      <c r="S414" s="1">
        <v>249.1755</v>
      </c>
      <c r="T414" s="1">
        <v>387.34950000000003</v>
      </c>
      <c r="U414" s="1">
        <v>487.79999999999995</v>
      </c>
      <c r="V414" s="1">
        <v>427.5</v>
      </c>
      <c r="W414" s="1">
        <v>192.62549999999999</v>
      </c>
      <c r="X414" s="1">
        <v>561.85050000000001</v>
      </c>
      <c r="Y414" s="1">
        <v>394.45049999999998</v>
      </c>
      <c r="Z414" s="1">
        <v>181.27499999999998</v>
      </c>
      <c r="AA414" s="3">
        <v>15000</v>
      </c>
      <c r="AB414" s="1">
        <v>4010.7130000000002</v>
      </c>
    </row>
    <row r="415" spans="1:28" x14ac:dyDescent="0.25">
      <c r="A415" s="1">
        <v>414</v>
      </c>
      <c r="B415" s="2">
        <v>58196</v>
      </c>
      <c r="C415" s="1">
        <v>425.13599999999997</v>
      </c>
      <c r="D415" s="4">
        <f t="shared" ref="D415:D478" si="14">D414*0.99</f>
        <v>33.503745411568026</v>
      </c>
      <c r="E415" s="1">
        <v>204.48450000000003</v>
      </c>
      <c r="F415" s="1">
        <v>279.24149999999997</v>
      </c>
      <c r="G415" s="1">
        <f>G414*0.99</f>
        <v>96.328979999999987</v>
      </c>
      <c r="H415" s="1">
        <v>532.35299999999995</v>
      </c>
      <c r="I415" s="1">
        <v>338.178</v>
      </c>
      <c r="J415" s="1">
        <v>176.4195</v>
      </c>
      <c r="K415" s="1">
        <v>178.6215</v>
      </c>
      <c r="L415" s="1">
        <v>225.21750000000003</v>
      </c>
      <c r="M415" s="1">
        <v>329.73450000000003</v>
      </c>
      <c r="N415" s="4">
        <f t="shared" si="13"/>
        <v>5.7271113788289165</v>
      </c>
      <c r="O415" s="4">
        <f t="shared" si="12"/>
        <v>62.829578598043085</v>
      </c>
      <c r="P415" s="4">
        <f t="shared" si="11"/>
        <v>47.357687080683618</v>
      </c>
      <c r="Q415" s="4">
        <v>342.27449999999999</v>
      </c>
      <c r="R415" s="4">
        <f t="shared" si="10"/>
        <v>9.5698640136535289</v>
      </c>
      <c r="S415" s="1">
        <v>248.87850000000003</v>
      </c>
      <c r="T415" s="1">
        <v>385.76550000000003</v>
      </c>
      <c r="U415" s="1">
        <v>487.161</v>
      </c>
      <c r="V415" s="1">
        <v>426.53250000000003</v>
      </c>
      <c r="W415" s="1">
        <v>192.1695</v>
      </c>
      <c r="X415" s="1">
        <v>559.79100000000005</v>
      </c>
      <c r="Y415" s="1">
        <v>393.702</v>
      </c>
      <c r="Z415" s="1">
        <v>180.2055</v>
      </c>
      <c r="AA415" s="3">
        <v>15000</v>
      </c>
      <c r="AB415" s="1">
        <v>4001.3559999999998</v>
      </c>
    </row>
    <row r="416" spans="1:28" x14ac:dyDescent="0.25">
      <c r="A416" s="1">
        <v>415</v>
      </c>
      <c r="B416" s="2">
        <v>58227</v>
      </c>
      <c r="C416" s="1">
        <v>423.92550000000006</v>
      </c>
      <c r="D416" s="4">
        <f t="shared" si="14"/>
        <v>33.168707957452348</v>
      </c>
      <c r="E416" s="1">
        <v>203.29949999999997</v>
      </c>
      <c r="F416" s="1">
        <v>278.27549999999997</v>
      </c>
      <c r="G416" s="4">
        <f t="shared" ref="G416:G479" si="15">G415*0.99</f>
        <v>95.365690199999989</v>
      </c>
      <c r="H416" s="1">
        <v>532.37250000000006</v>
      </c>
      <c r="I416" s="1">
        <v>337.75049999999999</v>
      </c>
      <c r="J416" s="1">
        <v>176.0505</v>
      </c>
      <c r="K416" s="1">
        <v>177.82499999999999</v>
      </c>
      <c r="L416" s="1">
        <v>225</v>
      </c>
      <c r="M416" s="1">
        <v>329.4</v>
      </c>
      <c r="N416" s="4">
        <f t="shared" si="13"/>
        <v>5.6698402650406274</v>
      </c>
      <c r="O416" s="4">
        <f t="shared" si="12"/>
        <v>62.201282812062651</v>
      </c>
      <c r="P416" s="4">
        <f t="shared" si="11"/>
        <v>46.884110209876781</v>
      </c>
      <c r="Q416" s="4">
        <v>341.44349999999997</v>
      </c>
      <c r="R416" s="4">
        <f t="shared" si="10"/>
        <v>9.4741653735169944</v>
      </c>
      <c r="S416" s="1">
        <v>248.54999999999998</v>
      </c>
      <c r="T416" s="1">
        <v>384</v>
      </c>
      <c r="U416" s="1">
        <v>486.42450000000002</v>
      </c>
      <c r="V416" s="1">
        <v>425.50049999999999</v>
      </c>
      <c r="W416" s="1">
        <v>191.65049999999999</v>
      </c>
      <c r="X416" s="1">
        <v>557.59950000000003</v>
      </c>
      <c r="Y416" s="1">
        <v>392.93700000000001</v>
      </c>
      <c r="Z416" s="1">
        <v>179.0505</v>
      </c>
      <c r="AA416" s="3">
        <v>15000</v>
      </c>
      <c r="AB416" s="1">
        <v>3926.7739999999994</v>
      </c>
    </row>
    <row r="417" spans="1:28" x14ac:dyDescent="0.25">
      <c r="A417" s="1">
        <v>416</v>
      </c>
      <c r="B417" s="2">
        <v>58257</v>
      </c>
      <c r="C417" s="1">
        <v>422.82</v>
      </c>
      <c r="D417" s="4">
        <f t="shared" si="14"/>
        <v>32.837020877877826</v>
      </c>
      <c r="E417" s="1">
        <v>202.209</v>
      </c>
      <c r="F417" s="1">
        <v>277.452</v>
      </c>
      <c r="G417" s="4">
        <f t="shared" si="15"/>
        <v>94.412033297999983</v>
      </c>
      <c r="H417" s="1">
        <v>532.39949999999999</v>
      </c>
      <c r="I417" s="1">
        <v>337.30650000000003</v>
      </c>
      <c r="J417" s="1">
        <v>175.6935</v>
      </c>
      <c r="K417" s="1">
        <v>177.06</v>
      </c>
      <c r="L417" s="1">
        <v>224.78249999999997</v>
      </c>
      <c r="M417" s="1">
        <v>329.15250000000003</v>
      </c>
      <c r="N417" s="4">
        <f t="shared" si="13"/>
        <v>5.6131418623902212</v>
      </c>
      <c r="O417" s="4">
        <f t="shared" si="12"/>
        <v>61.579269983942027</v>
      </c>
      <c r="P417" s="4">
        <f t="shared" si="11"/>
        <v>46.415269107778009</v>
      </c>
      <c r="Q417" s="4">
        <v>340.54949999999997</v>
      </c>
      <c r="R417" s="4">
        <f t="shared" si="10"/>
        <v>9.3794237197818244</v>
      </c>
      <c r="S417" s="1">
        <v>248.178</v>
      </c>
      <c r="T417" s="1">
        <v>382.37850000000003</v>
      </c>
      <c r="U417" s="1">
        <v>485.70899999999995</v>
      </c>
      <c r="V417" s="1">
        <v>424.5</v>
      </c>
      <c r="W417" s="1">
        <v>191.1525</v>
      </c>
      <c r="X417" s="1">
        <v>555.87149999999997</v>
      </c>
      <c r="Y417" s="1">
        <v>392.40750000000003</v>
      </c>
      <c r="Z417" s="1">
        <v>177.9555</v>
      </c>
      <c r="AA417" s="3">
        <v>15000</v>
      </c>
      <c r="AB417" s="1">
        <v>3917.8680000000004</v>
      </c>
    </row>
    <row r="418" spans="1:28" x14ac:dyDescent="0.25">
      <c r="A418" s="1">
        <v>417</v>
      </c>
      <c r="B418" s="2">
        <v>58288</v>
      </c>
      <c r="C418" s="1">
        <v>421.54349999999999</v>
      </c>
      <c r="D418" s="4">
        <f t="shared" si="14"/>
        <v>32.508650669099048</v>
      </c>
      <c r="E418" s="1">
        <v>201.2055</v>
      </c>
      <c r="F418" s="1">
        <v>276.62850000000003</v>
      </c>
      <c r="G418" s="4">
        <f t="shared" si="15"/>
        <v>93.467912965019977</v>
      </c>
      <c r="H418" s="1">
        <v>532.44749999999999</v>
      </c>
      <c r="I418" s="1">
        <v>336.89550000000003</v>
      </c>
      <c r="J418" s="1">
        <v>175.4025</v>
      </c>
      <c r="K418" s="1">
        <v>176.3475</v>
      </c>
      <c r="L418" s="1">
        <v>224.565</v>
      </c>
      <c r="M418" s="1">
        <v>328.839</v>
      </c>
      <c r="N418" s="4">
        <f t="shared" si="13"/>
        <v>5.5570104437663188</v>
      </c>
      <c r="O418" s="4">
        <f t="shared" si="12"/>
        <v>60.963477284102609</v>
      </c>
      <c r="P418" s="4">
        <f t="shared" si="11"/>
        <v>45.951116416700231</v>
      </c>
      <c r="Q418" s="4">
        <v>339.774</v>
      </c>
      <c r="R418" s="4">
        <f t="shared" si="10"/>
        <v>9.2856294825840067</v>
      </c>
      <c r="S418" s="1">
        <v>247.911</v>
      </c>
      <c r="T418" s="1">
        <v>380.87850000000003</v>
      </c>
      <c r="U418" s="1">
        <v>485.08050000000003</v>
      </c>
      <c r="V418" s="1">
        <v>423.62849999999997</v>
      </c>
      <c r="W418" s="1">
        <v>190.572</v>
      </c>
      <c r="X418" s="1">
        <v>554.322</v>
      </c>
      <c r="Y418" s="1">
        <v>392.00850000000003</v>
      </c>
      <c r="Z418" s="1">
        <v>176.928</v>
      </c>
      <c r="AA418" s="3">
        <v>15000</v>
      </c>
      <c r="AB418" s="1">
        <v>3909.5339999999997</v>
      </c>
    </row>
    <row r="419" spans="1:28" x14ac:dyDescent="0.25">
      <c r="A419" s="1">
        <v>418</v>
      </c>
      <c r="B419" s="2">
        <v>58319</v>
      </c>
      <c r="C419" s="1">
        <v>420.5145</v>
      </c>
      <c r="D419" s="4">
        <f t="shared" si="14"/>
        <v>32.183564162408054</v>
      </c>
      <c r="E419" s="1">
        <v>200.02200000000002</v>
      </c>
      <c r="F419" s="1">
        <v>275.70600000000002</v>
      </c>
      <c r="G419" s="4">
        <f t="shared" si="15"/>
        <v>92.533233835369771</v>
      </c>
      <c r="H419" s="1">
        <v>532.4190000000001</v>
      </c>
      <c r="I419" s="1">
        <v>336.40199999999999</v>
      </c>
      <c r="J419" s="1">
        <v>175.09800000000001</v>
      </c>
      <c r="K419" s="1">
        <v>175.48650000000001</v>
      </c>
      <c r="L419" s="1">
        <v>224.33100000000002</v>
      </c>
      <c r="M419" s="1">
        <v>328.47300000000001</v>
      </c>
      <c r="N419" s="4">
        <f t="shared" si="13"/>
        <v>5.5014403393286555</v>
      </c>
      <c r="O419" s="4">
        <f t="shared" si="12"/>
        <v>60.353842511261583</v>
      </c>
      <c r="P419" s="4">
        <f t="shared" si="11"/>
        <v>45.491605252533226</v>
      </c>
      <c r="Q419" s="4">
        <v>339.09749999999997</v>
      </c>
      <c r="R419" s="4">
        <f t="shared" si="10"/>
        <v>9.1927731877581671</v>
      </c>
      <c r="S419" s="1">
        <v>247.5</v>
      </c>
      <c r="T419" s="1">
        <v>379.09800000000001</v>
      </c>
      <c r="U419" s="1">
        <v>484.25850000000003</v>
      </c>
      <c r="V419" s="1">
        <v>422.625</v>
      </c>
      <c r="W419" s="1">
        <v>189.96449999999999</v>
      </c>
      <c r="X419" s="1">
        <v>552.4815000000001</v>
      </c>
      <c r="Y419" s="1">
        <v>391.5675</v>
      </c>
      <c r="Z419" s="1">
        <v>175.72800000000001</v>
      </c>
      <c r="AA419" s="3">
        <v>15000</v>
      </c>
      <c r="AB419" s="1">
        <v>3899.9139999999998</v>
      </c>
    </row>
    <row r="420" spans="1:28" x14ac:dyDescent="0.25">
      <c r="A420" s="1">
        <v>419</v>
      </c>
      <c r="B420" s="2">
        <v>58349</v>
      </c>
      <c r="C420" s="1">
        <v>419.37</v>
      </c>
      <c r="D420" s="4">
        <f t="shared" si="14"/>
        <v>31.861728520783974</v>
      </c>
      <c r="E420" s="1">
        <v>199.077</v>
      </c>
      <c r="F420" s="1">
        <v>274.98450000000003</v>
      </c>
      <c r="G420" s="4">
        <f t="shared" si="15"/>
        <v>91.607901497016073</v>
      </c>
      <c r="H420" s="1">
        <v>532.47</v>
      </c>
      <c r="I420" s="1">
        <v>335.976</v>
      </c>
      <c r="J420" s="1">
        <v>174.8475</v>
      </c>
      <c r="K420" s="1">
        <v>174.786</v>
      </c>
      <c r="L420" s="1">
        <v>224.10449999999997</v>
      </c>
      <c r="M420" s="1">
        <v>328.209</v>
      </c>
      <c r="N420" s="4">
        <f t="shared" si="13"/>
        <v>5.4464259359353688</v>
      </c>
      <c r="O420" s="4">
        <f t="shared" si="12"/>
        <v>59.750304086148965</v>
      </c>
      <c r="P420" s="4">
        <f t="shared" si="11"/>
        <v>45.036689200007892</v>
      </c>
      <c r="Q420" s="4">
        <v>338.19600000000003</v>
      </c>
      <c r="R420" s="4">
        <f t="shared" ref="R420:R482" si="16">R419*0.99</f>
        <v>9.1008454558805845</v>
      </c>
      <c r="S420" s="1">
        <v>247.209</v>
      </c>
      <c r="T420" s="1">
        <v>377.637</v>
      </c>
      <c r="U420" s="1">
        <v>483.58050000000003</v>
      </c>
      <c r="V420" s="1">
        <v>421.74149999999997</v>
      </c>
      <c r="W420" s="1">
        <v>189.4845</v>
      </c>
      <c r="X420" s="1">
        <v>550.93500000000006</v>
      </c>
      <c r="Y420" s="1">
        <v>391.173</v>
      </c>
      <c r="Z420" s="1">
        <v>174.786</v>
      </c>
      <c r="AA420" s="3">
        <v>15000</v>
      </c>
      <c r="AB420" s="1">
        <v>3891.9459999999999</v>
      </c>
    </row>
    <row r="421" spans="1:28" x14ac:dyDescent="0.25">
      <c r="A421" s="1">
        <v>420</v>
      </c>
      <c r="B421" s="2">
        <v>58380</v>
      </c>
      <c r="C421" s="1">
        <v>418.26150000000001</v>
      </c>
      <c r="D421" s="4">
        <f t="shared" si="14"/>
        <v>31.543111235576134</v>
      </c>
      <c r="E421" s="1">
        <v>198</v>
      </c>
      <c r="F421" s="1">
        <v>274.09950000000003</v>
      </c>
      <c r="G421" s="4">
        <f t="shared" si="15"/>
        <v>90.691822482045907</v>
      </c>
      <c r="H421" s="1">
        <v>532.47</v>
      </c>
      <c r="I421" s="1">
        <v>335.50049999999999</v>
      </c>
      <c r="J421" s="1">
        <v>174.52499999999998</v>
      </c>
      <c r="K421" s="1">
        <v>173.988</v>
      </c>
      <c r="L421" s="1">
        <v>223.90049999999999</v>
      </c>
      <c r="M421" s="1">
        <v>327.85050000000001</v>
      </c>
      <c r="N421" s="4">
        <f t="shared" si="13"/>
        <v>5.391961676576015</v>
      </c>
      <c r="O421" s="4">
        <f t="shared" si="12"/>
        <v>59.152801045287475</v>
      </c>
      <c r="P421" s="4">
        <f t="shared" ref="P421:P482" si="17">P420*0.99</f>
        <v>44.586322308007816</v>
      </c>
      <c r="Q421" s="4">
        <v>337.548</v>
      </c>
      <c r="R421" s="4">
        <f t="shared" si="16"/>
        <v>9.0098370013217792</v>
      </c>
      <c r="S421" s="1">
        <v>246.85050000000001</v>
      </c>
      <c r="T421" s="1">
        <v>376.00049999999999</v>
      </c>
      <c r="U421" s="1">
        <v>482.77500000000003</v>
      </c>
      <c r="V421" s="1">
        <v>418.79999999999995</v>
      </c>
      <c r="W421" s="1">
        <v>188.89950000000002</v>
      </c>
      <c r="X421" s="1">
        <v>548.95049999999992</v>
      </c>
      <c r="Y421" s="1">
        <v>390.64949999999999</v>
      </c>
      <c r="Z421" s="1">
        <v>173.7</v>
      </c>
      <c r="AA421" s="3">
        <v>15000</v>
      </c>
      <c r="AB421" s="1">
        <v>3881.3139999999999</v>
      </c>
    </row>
    <row r="422" spans="1:28" x14ac:dyDescent="0.25">
      <c r="A422" s="1">
        <v>421</v>
      </c>
      <c r="B422" s="2">
        <v>58410</v>
      </c>
      <c r="C422" s="1">
        <v>417.10199999999998</v>
      </c>
      <c r="D422" s="4">
        <f t="shared" si="14"/>
        <v>31.227680123220374</v>
      </c>
      <c r="E422" s="1">
        <v>197.0085</v>
      </c>
      <c r="F422" s="1">
        <v>273.291</v>
      </c>
      <c r="G422" s="4">
        <f t="shared" si="15"/>
        <v>89.784904257225449</v>
      </c>
      <c r="H422" s="1">
        <v>532.49399999999991</v>
      </c>
      <c r="I422" s="1">
        <v>335.08050000000003</v>
      </c>
      <c r="J422" s="1">
        <v>174.2415</v>
      </c>
      <c r="K422" s="1">
        <v>173.274</v>
      </c>
      <c r="L422" s="1">
        <v>223.69349999999997</v>
      </c>
      <c r="M422" s="1">
        <v>327.55650000000003</v>
      </c>
      <c r="N422" s="4">
        <f t="shared" si="13"/>
        <v>5.3380420598102551</v>
      </c>
      <c r="O422" s="4">
        <f t="shared" si="12"/>
        <v>58.561273034834599</v>
      </c>
      <c r="P422" s="4">
        <f t="shared" si="17"/>
        <v>44.140459084927734</v>
      </c>
      <c r="Q422" s="4">
        <v>336.75</v>
      </c>
      <c r="R422" s="4">
        <f t="shared" si="16"/>
        <v>8.9197386313085616</v>
      </c>
      <c r="S422" s="1">
        <v>246.5085</v>
      </c>
      <c r="T422" s="1">
        <v>374.49149999999997</v>
      </c>
      <c r="U422" s="1">
        <v>482.05649999999997</v>
      </c>
      <c r="V422" s="1">
        <v>415.64549999999997</v>
      </c>
      <c r="W422" s="1">
        <v>188.4435</v>
      </c>
      <c r="X422" s="1">
        <v>547.25850000000003</v>
      </c>
      <c r="Y422" s="1">
        <v>390.13350000000003</v>
      </c>
      <c r="Z422" s="1">
        <v>172.6935</v>
      </c>
      <c r="AA422" s="3">
        <v>15000</v>
      </c>
      <c r="AB422" s="1">
        <v>3871.38</v>
      </c>
    </row>
    <row r="423" spans="1:28" x14ac:dyDescent="0.25">
      <c r="A423" s="1">
        <v>422</v>
      </c>
      <c r="B423" s="2">
        <v>58441</v>
      </c>
      <c r="C423" s="1">
        <v>416.01599999999996</v>
      </c>
      <c r="D423" s="4">
        <f t="shared" si="14"/>
        <v>30.915403321988169</v>
      </c>
      <c r="E423" s="1">
        <v>195.9495</v>
      </c>
      <c r="F423" s="1">
        <v>272.4495</v>
      </c>
      <c r="G423" s="4">
        <f t="shared" si="15"/>
        <v>88.887055214653188</v>
      </c>
      <c r="H423" s="1">
        <v>532.54349999999999</v>
      </c>
      <c r="I423" s="1">
        <v>334.54949999999997</v>
      </c>
      <c r="J423" s="1">
        <v>173.95050000000001</v>
      </c>
      <c r="K423" s="1">
        <v>172.488</v>
      </c>
      <c r="L423" s="1">
        <v>223.45050000000003</v>
      </c>
      <c r="M423" s="1">
        <v>327.1995</v>
      </c>
      <c r="N423" s="4">
        <f t="shared" si="13"/>
        <v>5.2846616392121524</v>
      </c>
      <c r="O423" s="4">
        <f t="shared" si="12"/>
        <v>57.975660304486254</v>
      </c>
      <c r="P423" s="4">
        <f t="shared" si="17"/>
        <v>43.699054494078453</v>
      </c>
      <c r="Q423" s="4">
        <v>336.09749999999997</v>
      </c>
      <c r="R423" s="4">
        <f t="shared" si="16"/>
        <v>8.8305412449954765</v>
      </c>
      <c r="S423" s="1">
        <v>246.14999999999998</v>
      </c>
      <c r="T423" s="1">
        <v>372.82500000000005</v>
      </c>
      <c r="U423" s="1">
        <v>481.27500000000003</v>
      </c>
      <c r="V423" s="1">
        <v>412.39949999999999</v>
      </c>
      <c r="W423" s="1">
        <v>187.875</v>
      </c>
      <c r="X423" s="1">
        <v>545.20049999999992</v>
      </c>
      <c r="Y423" s="1">
        <v>389.50049999999999</v>
      </c>
      <c r="Z423" s="1">
        <v>171.64950000000002</v>
      </c>
      <c r="AA423" s="3">
        <v>15000</v>
      </c>
      <c r="AB423" s="1">
        <v>3860.5480000000002</v>
      </c>
    </row>
    <row r="424" spans="1:28" x14ac:dyDescent="0.25">
      <c r="A424" s="1">
        <v>423</v>
      </c>
      <c r="B424" s="2">
        <v>58472</v>
      </c>
      <c r="C424" s="1">
        <v>414.88200000000006</v>
      </c>
      <c r="D424" s="4">
        <f t="shared" si="14"/>
        <v>30.606249288768286</v>
      </c>
      <c r="E424" s="1">
        <v>194.976</v>
      </c>
      <c r="F424" s="1">
        <v>271.64550000000003</v>
      </c>
      <c r="G424" s="4">
        <f t="shared" si="15"/>
        <v>87.998184662506659</v>
      </c>
      <c r="H424" s="1">
        <v>532.54200000000003</v>
      </c>
      <c r="I424" s="1">
        <v>334.113</v>
      </c>
      <c r="J424" s="1">
        <v>173.661</v>
      </c>
      <c r="K424" s="1">
        <v>171.726</v>
      </c>
      <c r="L424" s="1">
        <v>223.23450000000003</v>
      </c>
      <c r="M424" s="1">
        <v>326.928</v>
      </c>
      <c r="N424" s="4">
        <f t="shared" si="13"/>
        <v>5.2318150228200304</v>
      </c>
      <c r="O424" s="4">
        <f t="shared" si="12"/>
        <v>57.395903701441391</v>
      </c>
      <c r="P424" s="4">
        <f t="shared" si="17"/>
        <v>43.262063949137669</v>
      </c>
      <c r="Q424" s="4">
        <v>335.35050000000001</v>
      </c>
      <c r="R424" s="4">
        <f t="shared" si="16"/>
        <v>8.7422358325455214</v>
      </c>
      <c r="S424" s="1">
        <v>245.78249999999997</v>
      </c>
      <c r="T424" s="1">
        <v>371.274</v>
      </c>
      <c r="U424" s="1">
        <v>480.58050000000003</v>
      </c>
      <c r="V424" s="1">
        <v>409.25850000000003</v>
      </c>
      <c r="W424" s="1">
        <v>187.4025</v>
      </c>
      <c r="X424" s="1">
        <v>543.24149999999997</v>
      </c>
      <c r="Y424" s="1">
        <v>388.88699999999994</v>
      </c>
      <c r="Z424" s="1">
        <v>170.661</v>
      </c>
      <c r="AA424" s="3">
        <v>15000</v>
      </c>
      <c r="AB424" s="1">
        <v>3850.326</v>
      </c>
    </row>
    <row r="425" spans="1:28" x14ac:dyDescent="0.25">
      <c r="A425" s="1">
        <v>424</v>
      </c>
      <c r="B425" s="2">
        <v>58501</v>
      </c>
      <c r="C425" s="1">
        <v>413.74799999999999</v>
      </c>
      <c r="D425" s="4">
        <f t="shared" si="14"/>
        <v>30.300186795880602</v>
      </c>
      <c r="E425" s="1">
        <v>193.98450000000003</v>
      </c>
      <c r="F425" s="1">
        <v>270.822</v>
      </c>
      <c r="G425" s="4">
        <f t="shared" si="15"/>
        <v>87.118202815881588</v>
      </c>
      <c r="H425" s="1">
        <v>532.56449999999995</v>
      </c>
      <c r="I425" s="1">
        <v>333.60449999999997</v>
      </c>
      <c r="J425" s="1">
        <v>173.298</v>
      </c>
      <c r="K425" s="1">
        <v>170.988</v>
      </c>
      <c r="L425" s="1">
        <v>223.01549999999997</v>
      </c>
      <c r="M425" s="1">
        <v>326.637</v>
      </c>
      <c r="N425" s="4">
        <f t="shared" si="13"/>
        <v>5.1794968725918302</v>
      </c>
      <c r="O425" s="4">
        <f t="shared" si="12"/>
        <v>56.821944664426979</v>
      </c>
      <c r="P425" s="4">
        <f t="shared" si="17"/>
        <v>42.829443309646294</v>
      </c>
      <c r="Q425" s="4">
        <v>334.69349999999997</v>
      </c>
      <c r="R425" s="4">
        <f t="shared" si="16"/>
        <v>8.6548134742200666</v>
      </c>
      <c r="S425" s="1">
        <v>245.46750000000003</v>
      </c>
      <c r="T425" s="1">
        <v>369.726</v>
      </c>
      <c r="U425" s="1">
        <v>479.87849999999997</v>
      </c>
      <c r="V425" s="1">
        <v>406.35450000000003</v>
      </c>
      <c r="W425" s="1">
        <v>186.9195</v>
      </c>
      <c r="X425" s="1">
        <v>541.35450000000003</v>
      </c>
      <c r="Y425" s="1">
        <v>388.28250000000003</v>
      </c>
      <c r="Z425" s="1">
        <v>169.6935</v>
      </c>
      <c r="AA425" s="3">
        <v>15000</v>
      </c>
      <c r="AB425" s="1">
        <v>3840.2849999999994</v>
      </c>
    </row>
    <row r="426" spans="1:28" x14ac:dyDescent="0.25">
      <c r="A426" s="1">
        <v>425</v>
      </c>
      <c r="B426" s="2">
        <v>58532</v>
      </c>
      <c r="C426" s="1">
        <v>412.69499999999999</v>
      </c>
      <c r="D426" s="4">
        <f t="shared" si="14"/>
        <v>29.997184927921797</v>
      </c>
      <c r="E426" s="1">
        <v>192.98699999999997</v>
      </c>
      <c r="F426" s="1">
        <v>269.97450000000003</v>
      </c>
      <c r="G426" s="4">
        <f t="shared" si="15"/>
        <v>86.247020787722775</v>
      </c>
      <c r="H426" s="1">
        <v>532.59300000000007</v>
      </c>
      <c r="I426" s="1">
        <v>333.15</v>
      </c>
      <c r="J426" s="1">
        <v>172.99950000000001</v>
      </c>
      <c r="K426" s="1">
        <v>170.22450000000001</v>
      </c>
      <c r="L426" s="1">
        <v>222.82500000000002</v>
      </c>
      <c r="M426" s="1">
        <v>326.35050000000001</v>
      </c>
      <c r="N426" s="4">
        <f t="shared" si="13"/>
        <v>5.127701903865912</v>
      </c>
      <c r="O426" s="4">
        <f t="shared" si="12"/>
        <v>56.253725217782709</v>
      </c>
      <c r="P426" s="4">
        <f t="shared" si="17"/>
        <v>42.401148876549833</v>
      </c>
      <c r="Q426" s="4">
        <v>334.089</v>
      </c>
      <c r="R426" s="4">
        <f t="shared" si="16"/>
        <v>8.5682653394778665</v>
      </c>
      <c r="S426" s="1">
        <v>245.0745</v>
      </c>
      <c r="T426" s="1">
        <v>368.14949999999999</v>
      </c>
      <c r="U426" s="1">
        <v>479.14949999999999</v>
      </c>
      <c r="V426" s="1">
        <v>403.15049999999997</v>
      </c>
      <c r="W426" s="1">
        <v>186.40049999999999</v>
      </c>
      <c r="X426" s="1">
        <v>539.35050000000001</v>
      </c>
      <c r="Y426" s="1">
        <v>387.59999999999997</v>
      </c>
      <c r="Z426" s="1">
        <v>168.64950000000002</v>
      </c>
      <c r="AA426" s="3">
        <v>15000</v>
      </c>
      <c r="AB426" s="1">
        <v>3829.8659999999995</v>
      </c>
    </row>
    <row r="427" spans="1:28" x14ac:dyDescent="0.25">
      <c r="A427" s="1">
        <v>426</v>
      </c>
      <c r="B427" s="2">
        <v>58562</v>
      </c>
      <c r="C427" s="1">
        <v>411.57449999999994</v>
      </c>
      <c r="D427" s="4">
        <f t="shared" si="14"/>
        <v>29.69721307864258</v>
      </c>
      <c r="E427" s="1">
        <v>192.036</v>
      </c>
      <c r="F427" s="1">
        <v>269.202</v>
      </c>
      <c r="G427" s="4">
        <f t="shared" si="15"/>
        <v>85.384550579845552</v>
      </c>
      <c r="H427" s="1">
        <v>532.63650000000007</v>
      </c>
      <c r="I427" s="1">
        <v>332.661</v>
      </c>
      <c r="J427" s="1">
        <v>172.6935</v>
      </c>
      <c r="K427" s="1">
        <v>169.512</v>
      </c>
      <c r="L427" s="1">
        <v>222.5805</v>
      </c>
      <c r="M427" s="1">
        <v>326.08050000000003</v>
      </c>
      <c r="N427" s="4">
        <f t="shared" si="13"/>
        <v>5.0764248848272526</v>
      </c>
      <c r="O427" s="4">
        <f t="shared" si="12"/>
        <v>55.691187965604882</v>
      </c>
      <c r="P427" s="4">
        <f t="shared" si="17"/>
        <v>41.977137387784332</v>
      </c>
      <c r="Q427" s="4">
        <v>333.47550000000001</v>
      </c>
      <c r="R427" s="4">
        <f t="shared" si="16"/>
        <v>8.482582686083088</v>
      </c>
      <c r="S427" s="1">
        <v>244.71750000000003</v>
      </c>
      <c r="T427" s="1">
        <v>366.702</v>
      </c>
      <c r="U427" s="1">
        <v>478.572</v>
      </c>
      <c r="V427" s="1">
        <v>400.35450000000003</v>
      </c>
      <c r="W427" s="1">
        <v>185.976</v>
      </c>
      <c r="X427" s="1">
        <v>537.53250000000003</v>
      </c>
      <c r="Y427" s="1">
        <v>387.01199999999994</v>
      </c>
      <c r="Z427" s="1">
        <v>167.7345</v>
      </c>
      <c r="AA427" s="3">
        <v>15000</v>
      </c>
      <c r="AB427" s="1">
        <v>3820.3529999999996</v>
      </c>
    </row>
    <row r="428" spans="1:28" x14ac:dyDescent="0.25">
      <c r="A428" s="1">
        <v>427</v>
      </c>
      <c r="B428" s="2">
        <v>58593</v>
      </c>
      <c r="C428" s="1">
        <v>410.54699999999997</v>
      </c>
      <c r="D428" s="4">
        <f t="shared" si="14"/>
        <v>29.400240947856155</v>
      </c>
      <c r="E428" s="1">
        <v>191.0505</v>
      </c>
      <c r="F428" s="1">
        <v>268.39949999999999</v>
      </c>
      <c r="G428" s="4">
        <f t="shared" si="15"/>
        <v>84.530705074047091</v>
      </c>
      <c r="H428" s="1">
        <v>532.64099999999996</v>
      </c>
      <c r="I428" s="1">
        <v>332.14949999999999</v>
      </c>
      <c r="J428" s="1">
        <v>172.35000000000002</v>
      </c>
      <c r="K428" s="1">
        <v>168.75</v>
      </c>
      <c r="L428" s="1">
        <v>222.40049999999999</v>
      </c>
      <c r="M428" s="1">
        <v>325.79999999999995</v>
      </c>
      <c r="N428" s="4">
        <f t="shared" si="13"/>
        <v>5.0256606359789799</v>
      </c>
      <c r="O428" s="4">
        <f t="shared" si="12"/>
        <v>55.134276085948834</v>
      </c>
      <c r="P428" s="4">
        <f t="shared" si="17"/>
        <v>41.557366013906488</v>
      </c>
      <c r="Q428" s="4">
        <v>332.952</v>
      </c>
      <c r="R428" s="4">
        <f t="shared" si="16"/>
        <v>8.3977568592222571</v>
      </c>
      <c r="S428" s="1">
        <v>244.37549999999999</v>
      </c>
      <c r="T428" s="1">
        <v>365.12549999999999</v>
      </c>
      <c r="U428" s="1">
        <v>477.85050000000001</v>
      </c>
      <c r="V428" s="1">
        <v>397.20000000000005</v>
      </c>
      <c r="W428" s="1">
        <v>185.47500000000002</v>
      </c>
      <c r="X428" s="1">
        <v>535.60050000000001</v>
      </c>
      <c r="Y428" s="1">
        <v>386.36249999999995</v>
      </c>
      <c r="Z428" s="1">
        <v>166.75049999999999</v>
      </c>
      <c r="AA428" s="3">
        <v>15000</v>
      </c>
      <c r="AB428" s="1">
        <v>3810.1350000000002</v>
      </c>
    </row>
    <row r="429" spans="1:28" x14ac:dyDescent="0.25">
      <c r="A429" s="1">
        <v>428</v>
      </c>
      <c r="B429" s="2">
        <v>58623</v>
      </c>
      <c r="C429" s="1">
        <v>409.49399999999997</v>
      </c>
      <c r="D429" s="4">
        <f t="shared" si="14"/>
        <v>29.106238538377593</v>
      </c>
      <c r="E429" s="1">
        <v>190.137</v>
      </c>
      <c r="F429" s="1">
        <v>267.60449999999997</v>
      </c>
      <c r="G429" s="4">
        <f t="shared" si="15"/>
        <v>83.685398023306618</v>
      </c>
      <c r="H429" s="1">
        <v>532.70699999999999</v>
      </c>
      <c r="I429" s="1">
        <v>331.69349999999997</v>
      </c>
      <c r="J429" s="1">
        <v>172.065</v>
      </c>
      <c r="K429" s="1">
        <v>168.036</v>
      </c>
      <c r="L429" s="1">
        <v>222.14550000000003</v>
      </c>
      <c r="M429" s="1">
        <v>325.5</v>
      </c>
      <c r="N429" s="4">
        <f t="shared" si="13"/>
        <v>4.9754040296191899</v>
      </c>
      <c r="O429" s="4">
        <f t="shared" si="12"/>
        <v>54.582933325089343</v>
      </c>
      <c r="P429" s="4">
        <f t="shared" si="17"/>
        <v>41.141792353767421</v>
      </c>
      <c r="Q429" s="4">
        <v>332.37450000000001</v>
      </c>
      <c r="R429" s="4">
        <f t="shared" si="16"/>
        <v>8.3137792906300341</v>
      </c>
      <c r="S429" s="1">
        <v>243.9915</v>
      </c>
      <c r="T429" s="1">
        <v>363.65250000000003</v>
      </c>
      <c r="U429" s="1">
        <v>477.19350000000003</v>
      </c>
      <c r="V429" s="1">
        <v>394.30649999999997</v>
      </c>
      <c r="W429" s="1">
        <v>185.0325</v>
      </c>
      <c r="X429" s="1">
        <v>533.80649999999991</v>
      </c>
      <c r="Y429" s="1">
        <v>385.75349999999997</v>
      </c>
      <c r="Z429" s="1">
        <v>165.798</v>
      </c>
      <c r="AA429" s="3">
        <v>15000</v>
      </c>
      <c r="AB429" s="1">
        <v>3800.5360000000001</v>
      </c>
    </row>
    <row r="430" spans="1:28" x14ac:dyDescent="0.25">
      <c r="A430" s="1">
        <v>429</v>
      </c>
      <c r="B430" s="2">
        <v>58654</v>
      </c>
      <c r="C430" s="1">
        <v>408.40800000000002</v>
      </c>
      <c r="D430" s="4">
        <f t="shared" si="14"/>
        <v>28.815176152993818</v>
      </c>
      <c r="E430" s="1">
        <v>189.2175</v>
      </c>
      <c r="F430" s="1">
        <v>266.83050000000003</v>
      </c>
      <c r="G430" s="4">
        <f t="shared" si="15"/>
        <v>82.848544043073545</v>
      </c>
      <c r="H430" s="1">
        <v>532.68299999999999</v>
      </c>
      <c r="I430" s="1">
        <v>331.209</v>
      </c>
      <c r="J430" s="1">
        <v>171.75</v>
      </c>
      <c r="K430" s="1">
        <v>167.3475</v>
      </c>
      <c r="L430" s="1">
        <v>221.928</v>
      </c>
      <c r="M430" s="1">
        <v>325.23450000000003</v>
      </c>
      <c r="N430" s="4">
        <f t="shared" si="13"/>
        <v>4.9256499893229977</v>
      </c>
      <c r="O430" s="4">
        <f t="shared" si="12"/>
        <v>54.03710399183845</v>
      </c>
      <c r="P430" s="4">
        <f t="shared" si="17"/>
        <v>40.730374430229745</v>
      </c>
      <c r="Q430" s="4">
        <v>331.887</v>
      </c>
      <c r="R430" s="4">
        <f t="shared" si="16"/>
        <v>8.2306414977237328</v>
      </c>
      <c r="S430" s="1">
        <v>243.678</v>
      </c>
      <c r="T430" s="1">
        <v>362.25</v>
      </c>
      <c r="U430" s="1">
        <v>476.61300000000006</v>
      </c>
      <c r="V430" s="1">
        <v>391.452</v>
      </c>
      <c r="W430" s="1">
        <v>184.548</v>
      </c>
      <c r="X430" s="1">
        <v>532.11300000000006</v>
      </c>
      <c r="Y430" s="1">
        <v>385.20899999999995</v>
      </c>
      <c r="Z430" s="1">
        <v>164.9025</v>
      </c>
      <c r="AA430" s="3">
        <v>15000</v>
      </c>
      <c r="AB430" s="1">
        <v>3791.1840000000002</v>
      </c>
    </row>
    <row r="431" spans="1:28" x14ac:dyDescent="0.25">
      <c r="A431" s="1">
        <v>430</v>
      </c>
      <c r="B431" s="2">
        <v>58685</v>
      </c>
      <c r="C431" s="1">
        <v>407.42850000000004</v>
      </c>
      <c r="D431" s="4">
        <f t="shared" si="14"/>
        <v>28.527024391463879</v>
      </c>
      <c r="E431" s="1">
        <v>188.19899999999998</v>
      </c>
      <c r="F431" s="1">
        <v>266.09550000000002</v>
      </c>
      <c r="G431" s="4">
        <f t="shared" si="15"/>
        <v>82.020058602642806</v>
      </c>
      <c r="H431" s="1">
        <v>532.72350000000006</v>
      </c>
      <c r="I431" s="1">
        <v>330.67200000000003</v>
      </c>
      <c r="J431" s="1">
        <v>171.465</v>
      </c>
      <c r="K431" s="1">
        <v>166.46100000000001</v>
      </c>
      <c r="L431" s="1">
        <v>221.715</v>
      </c>
      <c r="M431" s="1">
        <v>324.90449999999998</v>
      </c>
      <c r="N431" s="4">
        <f t="shared" si="13"/>
        <v>4.876393489429768</v>
      </c>
      <c r="O431" s="4">
        <f t="shared" si="12"/>
        <v>53.496732951920066</v>
      </c>
      <c r="P431" s="4">
        <f t="shared" si="17"/>
        <v>40.323070685927448</v>
      </c>
      <c r="Q431" s="4">
        <v>331.40250000000003</v>
      </c>
      <c r="R431" s="4">
        <f t="shared" si="16"/>
        <v>8.1483350827464953</v>
      </c>
      <c r="S431" s="1">
        <v>243.285</v>
      </c>
      <c r="T431" s="1">
        <v>360.69900000000001</v>
      </c>
      <c r="U431" s="1">
        <v>475.88850000000002</v>
      </c>
      <c r="V431" s="1">
        <v>388.13850000000002</v>
      </c>
      <c r="W431" s="1">
        <v>183.95699999999999</v>
      </c>
      <c r="X431" s="1">
        <v>530.63850000000002</v>
      </c>
      <c r="Y431" s="1">
        <v>384.86699999999996</v>
      </c>
      <c r="Z431" s="1">
        <v>163.92600000000002</v>
      </c>
      <c r="AA431" s="3">
        <v>15000</v>
      </c>
      <c r="AB431" s="1">
        <v>3781.3119999999999</v>
      </c>
    </row>
    <row r="432" spans="1:28" x14ac:dyDescent="0.25">
      <c r="A432" s="1">
        <v>431</v>
      </c>
      <c r="B432" s="2">
        <v>58715</v>
      </c>
      <c r="C432" s="1">
        <v>406.32900000000006</v>
      </c>
      <c r="D432" s="4">
        <f t="shared" si="14"/>
        <v>28.241754147549241</v>
      </c>
      <c r="E432" s="1">
        <v>187.5975</v>
      </c>
      <c r="F432" s="1">
        <v>265.524</v>
      </c>
      <c r="G432" s="4">
        <f t="shared" si="15"/>
        <v>81.199858016616375</v>
      </c>
      <c r="H432" s="1">
        <v>532.77750000000003</v>
      </c>
      <c r="I432" s="1">
        <v>330.411</v>
      </c>
      <c r="J432" s="1">
        <v>171.291</v>
      </c>
      <c r="K432" s="1">
        <v>166.2225</v>
      </c>
      <c r="L432" s="1">
        <v>221.565</v>
      </c>
      <c r="M432" s="1">
        <v>324.798</v>
      </c>
      <c r="N432" s="4">
        <f t="shared" si="13"/>
        <v>4.8276295545354699</v>
      </c>
      <c r="O432" s="4">
        <f t="shared" si="12"/>
        <v>52.961765622400868</v>
      </c>
      <c r="P432" s="4">
        <f t="shared" si="17"/>
        <v>39.919839979068172</v>
      </c>
      <c r="Q432" s="4">
        <v>330.90449999999998</v>
      </c>
      <c r="R432" s="4">
        <f t="shared" si="16"/>
        <v>8.06685173191903</v>
      </c>
      <c r="S432" s="1">
        <v>243.024</v>
      </c>
      <c r="T432" s="1">
        <v>359.709</v>
      </c>
      <c r="U432" s="1">
        <v>475.452</v>
      </c>
      <c r="V432" s="1">
        <v>386.178</v>
      </c>
      <c r="W432" s="1">
        <v>183.6045</v>
      </c>
      <c r="X432" s="1">
        <v>529.64549999999997</v>
      </c>
      <c r="Y432" s="1">
        <v>384.66600000000005</v>
      </c>
      <c r="Z432" s="1">
        <v>163.2225</v>
      </c>
      <c r="AA432" s="3">
        <v>15000</v>
      </c>
      <c r="AB432" s="1">
        <v>3775.1619999999994</v>
      </c>
    </row>
    <row r="433" spans="1:28" x14ac:dyDescent="0.25">
      <c r="A433" s="1">
        <v>432</v>
      </c>
      <c r="B433" s="2">
        <v>58746</v>
      </c>
      <c r="C433" s="1">
        <v>405.37049999999999</v>
      </c>
      <c r="D433" s="4">
        <f t="shared" si="14"/>
        <v>27.959336606073748</v>
      </c>
      <c r="E433" s="1">
        <v>186.47549999999998</v>
      </c>
      <c r="F433" s="1">
        <v>264.49950000000001</v>
      </c>
      <c r="G433" s="4">
        <f t="shared" si="15"/>
        <v>80.387859436450213</v>
      </c>
      <c r="H433" s="1">
        <v>532.76400000000001</v>
      </c>
      <c r="I433" s="1">
        <v>329.67449999999997</v>
      </c>
      <c r="J433" s="1">
        <v>170.95050000000001</v>
      </c>
      <c r="K433" s="1">
        <v>165.5745</v>
      </c>
      <c r="L433" s="1">
        <v>221.29949999999997</v>
      </c>
      <c r="M433" s="1">
        <v>324.67499999999995</v>
      </c>
      <c r="N433" s="4">
        <f t="shared" si="13"/>
        <v>4.7793532589901151</v>
      </c>
      <c r="O433" s="4">
        <f t="shared" si="12"/>
        <v>52.432147966176856</v>
      </c>
      <c r="P433" s="4">
        <f t="shared" si="17"/>
        <v>39.520641579277488</v>
      </c>
      <c r="Q433" s="4">
        <v>330.726</v>
      </c>
      <c r="R433" s="4">
        <f t="shared" si="16"/>
        <v>7.9861832145998397</v>
      </c>
      <c r="S433" s="1">
        <v>242.57550000000003</v>
      </c>
      <c r="T433" s="1">
        <v>357.9255</v>
      </c>
      <c r="U433" s="1">
        <v>474.62549999999999</v>
      </c>
      <c r="V433" s="1">
        <v>382.84950000000003</v>
      </c>
      <c r="W433" s="1">
        <v>182.95050000000001</v>
      </c>
      <c r="X433" s="1">
        <v>527.80050000000006</v>
      </c>
      <c r="Y433" s="1">
        <v>384.16200000000003</v>
      </c>
      <c r="Z433" s="1">
        <v>162.13800000000001</v>
      </c>
      <c r="AA433" s="3">
        <v>15000</v>
      </c>
      <c r="AB433" s="1">
        <v>3764.257000000001</v>
      </c>
    </row>
    <row r="434" spans="1:28" x14ac:dyDescent="0.25">
      <c r="A434" s="1">
        <v>433</v>
      </c>
      <c r="B434" s="2">
        <v>58776</v>
      </c>
      <c r="C434" s="1">
        <v>404.25</v>
      </c>
      <c r="D434" s="4">
        <f t="shared" si="14"/>
        <v>27.679743240013011</v>
      </c>
      <c r="E434" s="1">
        <v>185.613</v>
      </c>
      <c r="F434" s="1">
        <v>263.685</v>
      </c>
      <c r="G434" s="4">
        <f t="shared" si="15"/>
        <v>79.583980842085708</v>
      </c>
      <c r="H434" s="1">
        <v>532.82549999999992</v>
      </c>
      <c r="I434" s="1">
        <v>329.202</v>
      </c>
      <c r="J434" s="1">
        <v>170.709</v>
      </c>
      <c r="K434" s="1">
        <v>165.1095</v>
      </c>
      <c r="L434" s="1">
        <v>221.0805</v>
      </c>
      <c r="M434" s="1">
        <v>324.50850000000003</v>
      </c>
      <c r="N434" s="4">
        <f t="shared" si="13"/>
        <v>4.7315597264002136</v>
      </c>
      <c r="O434" s="4">
        <f t="shared" si="12"/>
        <v>51.907826486515084</v>
      </c>
      <c r="P434" s="4">
        <f t="shared" si="17"/>
        <v>39.12543516348471</v>
      </c>
      <c r="Q434" s="4">
        <v>330.07500000000005</v>
      </c>
      <c r="R434" s="4">
        <f t="shared" si="16"/>
        <v>7.9063213824538412</v>
      </c>
      <c r="S434" s="1">
        <v>242.202</v>
      </c>
      <c r="T434" s="1">
        <v>356.565</v>
      </c>
      <c r="U434" s="1">
        <v>473.928</v>
      </c>
      <c r="V434" s="1">
        <v>380.178</v>
      </c>
      <c r="W434" s="1">
        <v>182.4915</v>
      </c>
      <c r="X434" s="1">
        <v>526.25850000000003</v>
      </c>
      <c r="Y434" s="1">
        <v>383.697</v>
      </c>
      <c r="Z434" s="1">
        <v>161.25</v>
      </c>
      <c r="AA434" s="3">
        <v>15000</v>
      </c>
      <c r="AB434" s="1">
        <v>3755.4920000000002</v>
      </c>
    </row>
    <row r="435" spans="1:28" x14ac:dyDescent="0.25">
      <c r="A435" s="1">
        <v>434</v>
      </c>
      <c r="B435" s="2">
        <v>58807</v>
      </c>
      <c r="C435" s="1">
        <v>403.27200000000005</v>
      </c>
      <c r="D435" s="4">
        <f t="shared" si="14"/>
        <v>27.40294580761288</v>
      </c>
      <c r="E435" s="1">
        <v>184.72500000000002</v>
      </c>
      <c r="F435" s="1">
        <v>262.77449999999999</v>
      </c>
      <c r="G435" s="4">
        <f t="shared" si="15"/>
        <v>78.788141033664857</v>
      </c>
      <c r="H435" s="1">
        <v>532.83750000000009</v>
      </c>
      <c r="I435" s="1">
        <v>328.65</v>
      </c>
      <c r="J435" s="1">
        <v>170.4255</v>
      </c>
      <c r="K435" s="1">
        <v>164.59950000000001</v>
      </c>
      <c r="L435" s="1">
        <v>220.79999999999998</v>
      </c>
      <c r="M435" s="1">
        <v>324.29999999999995</v>
      </c>
      <c r="N435" s="4">
        <f t="shared" si="13"/>
        <v>4.6842441291362116</v>
      </c>
      <c r="O435" s="4">
        <f t="shared" si="12"/>
        <v>51.388748221649934</v>
      </c>
      <c r="P435" s="4">
        <f t="shared" si="17"/>
        <v>38.734180811849861</v>
      </c>
      <c r="Q435" s="4">
        <v>329.685</v>
      </c>
      <c r="R435" s="4">
        <f t="shared" si="16"/>
        <v>7.827258168629303</v>
      </c>
      <c r="S435" s="1">
        <v>241.84950000000001</v>
      </c>
      <c r="T435" s="1">
        <v>355.125</v>
      </c>
      <c r="U435" s="1">
        <v>473.17499999999995</v>
      </c>
      <c r="V435" s="1">
        <v>377.4495</v>
      </c>
      <c r="W435" s="1">
        <v>181.95</v>
      </c>
      <c r="X435" s="1">
        <v>524.65049999999997</v>
      </c>
      <c r="Y435" s="1">
        <v>383.12549999999999</v>
      </c>
      <c r="Z435" s="1">
        <v>160.33799999999999</v>
      </c>
      <c r="AA435" s="3">
        <v>15000</v>
      </c>
      <c r="AB435" s="1">
        <v>3746.2149999999997</v>
      </c>
    </row>
    <row r="436" spans="1:28" x14ac:dyDescent="0.25">
      <c r="A436" s="1">
        <v>435</v>
      </c>
      <c r="B436" s="2">
        <v>58838</v>
      </c>
      <c r="C436" s="1">
        <v>402.17099999999994</v>
      </c>
      <c r="D436" s="4">
        <f t="shared" si="14"/>
        <v>27.128916349536752</v>
      </c>
      <c r="E436" s="1">
        <v>183.8955</v>
      </c>
      <c r="F436" s="1">
        <v>261.91949999999997</v>
      </c>
      <c r="G436" s="4">
        <f t="shared" si="15"/>
        <v>78.000259623328205</v>
      </c>
      <c r="H436" s="1">
        <v>532.87199999999996</v>
      </c>
      <c r="I436" s="1">
        <v>328.137</v>
      </c>
      <c r="J436" s="1">
        <v>170.1525</v>
      </c>
      <c r="K436" s="1">
        <v>164.1165</v>
      </c>
      <c r="L436" s="1">
        <v>220.5975</v>
      </c>
      <c r="M436" s="1">
        <v>324.024</v>
      </c>
      <c r="N436" s="4">
        <f t="shared" si="13"/>
        <v>4.6374016878448492</v>
      </c>
      <c r="O436" s="4">
        <f t="shared" ref="O436:O482" si="18">O435*0.99</f>
        <v>50.874860739433437</v>
      </c>
      <c r="P436" s="4">
        <f t="shared" si="17"/>
        <v>38.346839003731361</v>
      </c>
      <c r="Q436" s="4">
        <v>329.27549999999997</v>
      </c>
      <c r="R436" s="4">
        <f t="shared" si="16"/>
        <v>7.74898558694301</v>
      </c>
      <c r="S436" s="1">
        <v>241.476</v>
      </c>
      <c r="T436" s="1">
        <v>353.75850000000003</v>
      </c>
      <c r="U436" s="1">
        <v>472.5</v>
      </c>
      <c r="V436" s="1">
        <v>374.75850000000003</v>
      </c>
      <c r="W436" s="1">
        <v>181.476</v>
      </c>
      <c r="X436" s="1">
        <v>523.01549999999997</v>
      </c>
      <c r="Y436" s="1">
        <v>382.59749999999997</v>
      </c>
      <c r="Z436" s="1">
        <v>159.4725</v>
      </c>
      <c r="AA436" s="3">
        <v>15000</v>
      </c>
      <c r="AB436" s="1">
        <v>3737.2339999999999</v>
      </c>
    </row>
    <row r="437" spans="1:28" x14ac:dyDescent="0.25">
      <c r="A437" s="1">
        <v>436</v>
      </c>
      <c r="B437" s="2">
        <v>58866</v>
      </c>
      <c r="C437" s="1">
        <v>401.13149999999996</v>
      </c>
      <c r="D437" s="4">
        <f t="shared" si="14"/>
        <v>26.857627186041384</v>
      </c>
      <c r="E437" s="1">
        <v>183.024</v>
      </c>
      <c r="F437" s="1">
        <v>261.048</v>
      </c>
      <c r="G437" s="4">
        <f t="shared" si="15"/>
        <v>77.220257027094917</v>
      </c>
      <c r="H437" s="1">
        <v>532.91999999999996</v>
      </c>
      <c r="I437" s="1">
        <v>327.60449999999997</v>
      </c>
      <c r="J437" s="1">
        <v>169.911</v>
      </c>
      <c r="K437" s="1">
        <v>163.6335</v>
      </c>
      <c r="L437" s="1">
        <v>220.3305</v>
      </c>
      <c r="M437" s="1">
        <v>323.75850000000003</v>
      </c>
      <c r="N437" s="4">
        <f t="shared" si="13"/>
        <v>4.5910276709664011</v>
      </c>
      <c r="O437" s="4">
        <f t="shared" si="18"/>
        <v>50.366112132039099</v>
      </c>
      <c r="P437" s="4">
        <f t="shared" si="17"/>
        <v>37.963370613694046</v>
      </c>
      <c r="Q437" s="4">
        <v>328.911</v>
      </c>
      <c r="R437" s="4">
        <f t="shared" si="16"/>
        <v>7.6714957310735796</v>
      </c>
      <c r="S437" s="1">
        <v>241.089</v>
      </c>
      <c r="T437" s="1">
        <v>352.452</v>
      </c>
      <c r="U437" s="1">
        <v>471.84749999999997</v>
      </c>
      <c r="V437" s="1">
        <v>372.14550000000003</v>
      </c>
      <c r="W437" s="1">
        <v>181.0155</v>
      </c>
      <c r="X437" s="1">
        <v>521.41949999999997</v>
      </c>
      <c r="Y437" s="1">
        <v>382.01549999999997</v>
      </c>
      <c r="Z437" s="1">
        <v>158.613</v>
      </c>
      <c r="AA437" s="3">
        <v>15000</v>
      </c>
      <c r="AB437" s="1">
        <v>3728.3540000000003</v>
      </c>
    </row>
    <row r="438" spans="1:28" x14ac:dyDescent="0.25">
      <c r="A438" s="1">
        <v>437</v>
      </c>
      <c r="B438" s="2">
        <v>58897</v>
      </c>
      <c r="C438" s="1">
        <v>400.14600000000002</v>
      </c>
      <c r="D438" s="4">
        <f t="shared" si="14"/>
        <v>26.589050914180969</v>
      </c>
      <c r="E438" s="1">
        <v>182.14950000000002</v>
      </c>
      <c r="F438" s="1">
        <v>260.17499999999995</v>
      </c>
      <c r="G438" s="4">
        <f t="shared" si="15"/>
        <v>76.448054456823968</v>
      </c>
      <c r="H438" s="1">
        <v>532.90949999999998</v>
      </c>
      <c r="I438" s="1">
        <v>327.12450000000001</v>
      </c>
      <c r="J438" s="1">
        <v>169.62450000000001</v>
      </c>
      <c r="K438" s="1">
        <v>163.08749999999998</v>
      </c>
      <c r="L438" s="1">
        <v>220.15049999999999</v>
      </c>
      <c r="M438" s="1">
        <v>323.4495</v>
      </c>
      <c r="N438" s="4">
        <f t="shared" si="13"/>
        <v>4.5451173942567369</v>
      </c>
      <c r="O438" s="4">
        <f t="shared" si="18"/>
        <v>49.862451010718708</v>
      </c>
      <c r="P438" s="4">
        <f t="shared" si="17"/>
        <v>37.583736907557103</v>
      </c>
      <c r="Q438" s="4">
        <v>328.572</v>
      </c>
      <c r="R438" s="4">
        <f t="shared" si="16"/>
        <v>7.5947807737628441</v>
      </c>
      <c r="S438" s="1">
        <v>240.72450000000001</v>
      </c>
      <c r="T438" s="1">
        <v>351.02549999999997</v>
      </c>
      <c r="U438" s="1">
        <v>471.15000000000003</v>
      </c>
      <c r="V438" s="1">
        <v>369.34950000000003</v>
      </c>
      <c r="W438" s="1">
        <v>180.52499999999998</v>
      </c>
      <c r="X438" s="1">
        <v>519.75</v>
      </c>
      <c r="Y438" s="1">
        <v>381.43799999999999</v>
      </c>
      <c r="Z438" s="1">
        <v>157.75049999999999</v>
      </c>
      <c r="AA438" s="3">
        <v>15000</v>
      </c>
      <c r="AB438" s="1">
        <v>3719.1529999999998</v>
      </c>
    </row>
    <row r="439" spans="1:28" x14ac:dyDescent="0.25">
      <c r="A439" s="1">
        <v>438</v>
      </c>
      <c r="B439" s="2">
        <v>58927</v>
      </c>
      <c r="C439" s="1">
        <v>399.14700000000005</v>
      </c>
      <c r="D439" s="4">
        <f t="shared" si="14"/>
        <v>26.323160405039161</v>
      </c>
      <c r="E439" s="1">
        <v>181.3545</v>
      </c>
      <c r="F439" s="1">
        <v>259.40250000000003</v>
      </c>
      <c r="G439" s="4">
        <f t="shared" si="15"/>
        <v>75.683573912255724</v>
      </c>
      <c r="H439" s="1">
        <v>532.9665</v>
      </c>
      <c r="I439" s="1">
        <v>326.589</v>
      </c>
      <c r="J439" s="1">
        <v>169.3305</v>
      </c>
      <c r="K439" s="1">
        <v>162.6285</v>
      </c>
      <c r="L439" s="1">
        <v>219.89550000000003</v>
      </c>
      <c r="M439" s="1">
        <v>323.15250000000003</v>
      </c>
      <c r="N439" s="4">
        <f t="shared" si="13"/>
        <v>4.4996662203141691</v>
      </c>
      <c r="O439" s="4">
        <f t="shared" si="18"/>
        <v>49.363826500611523</v>
      </c>
      <c r="P439" s="4">
        <f t="shared" si="17"/>
        <v>37.207899538481534</v>
      </c>
      <c r="Q439" s="4">
        <v>328.20000000000005</v>
      </c>
      <c r="R439" s="4">
        <f t="shared" si="16"/>
        <v>7.518832966025216</v>
      </c>
      <c r="S439" s="1">
        <v>240.387</v>
      </c>
      <c r="T439" s="1">
        <v>349.791</v>
      </c>
      <c r="U439" s="1">
        <v>470.51550000000003</v>
      </c>
      <c r="V439" s="1">
        <v>366.774</v>
      </c>
      <c r="W439" s="1">
        <v>180.048</v>
      </c>
      <c r="X439" s="1">
        <v>518.178</v>
      </c>
      <c r="Y439" s="1">
        <v>380.89049999999997</v>
      </c>
      <c r="Z439" s="1">
        <v>156.9315</v>
      </c>
      <c r="AA439" s="3">
        <v>15000</v>
      </c>
      <c r="AB439" s="1">
        <v>3710.6170000000006</v>
      </c>
    </row>
    <row r="440" spans="1:28" x14ac:dyDescent="0.25">
      <c r="A440" s="1">
        <v>439</v>
      </c>
      <c r="B440" s="2">
        <v>58958</v>
      </c>
      <c r="C440" s="1">
        <v>398.19299999999998</v>
      </c>
      <c r="D440" s="4">
        <f t="shared" si="14"/>
        <v>26.059928800988768</v>
      </c>
      <c r="E440" s="1">
        <v>180.47549999999998</v>
      </c>
      <c r="F440" s="1">
        <v>258.47550000000001</v>
      </c>
      <c r="G440" s="4">
        <f t="shared" si="15"/>
        <v>74.92673817313316</v>
      </c>
      <c r="H440" s="1">
        <v>533.00850000000003</v>
      </c>
      <c r="I440" s="1">
        <v>326.0745</v>
      </c>
      <c r="J440" s="1">
        <v>169.07550000000001</v>
      </c>
      <c r="K440" s="1">
        <v>162.10049999999998</v>
      </c>
      <c r="L440" s="1">
        <v>219.62549999999999</v>
      </c>
      <c r="M440" s="1">
        <v>322.82550000000003</v>
      </c>
      <c r="N440" s="4">
        <f t="shared" si="13"/>
        <v>4.4546695581110276</v>
      </c>
      <c r="O440" s="4">
        <f t="shared" si="18"/>
        <v>48.870188235605404</v>
      </c>
      <c r="P440" s="4">
        <f t="shared" si="17"/>
        <v>36.835820543096716</v>
      </c>
      <c r="Q440" s="4">
        <v>327.94349999999997</v>
      </c>
      <c r="R440" s="4">
        <f t="shared" si="16"/>
        <v>7.4436446363649642</v>
      </c>
      <c r="S440" s="1">
        <v>239.97450000000001</v>
      </c>
      <c r="T440" s="1">
        <v>348.40049999999997</v>
      </c>
      <c r="U440" s="1">
        <v>469.90049999999997</v>
      </c>
      <c r="V440" s="1">
        <v>363.9495</v>
      </c>
      <c r="W440" s="1">
        <v>179.52450000000002</v>
      </c>
      <c r="X440" s="1">
        <v>516.55050000000006</v>
      </c>
      <c r="Y440" s="1">
        <v>380.31299999999999</v>
      </c>
      <c r="Z440" s="1">
        <v>156.07499999999999</v>
      </c>
      <c r="AA440" s="3">
        <v>15000</v>
      </c>
      <c r="AB440" s="1">
        <v>3701.4449999999997</v>
      </c>
    </row>
    <row r="441" spans="1:28" x14ac:dyDescent="0.25">
      <c r="A441" s="1">
        <v>440</v>
      </c>
      <c r="B441" s="2">
        <v>58988</v>
      </c>
      <c r="C441" s="1">
        <v>397.161</v>
      </c>
      <c r="D441" s="4">
        <f t="shared" si="14"/>
        <v>25.799329512978879</v>
      </c>
      <c r="E441" s="1">
        <v>179.685</v>
      </c>
      <c r="F441" s="1">
        <v>257.73450000000003</v>
      </c>
      <c r="G441" s="4">
        <f t="shared" si="15"/>
        <v>74.177470791401831</v>
      </c>
      <c r="H441" s="1">
        <v>533.0145</v>
      </c>
      <c r="I441" s="1">
        <v>325.572</v>
      </c>
      <c r="J441" s="1">
        <v>168.8475</v>
      </c>
      <c r="K441" s="1">
        <v>161.541</v>
      </c>
      <c r="L441" s="1">
        <v>219.459</v>
      </c>
      <c r="M441" s="1">
        <v>322.5</v>
      </c>
      <c r="N441" s="4">
        <f t="shared" si="13"/>
        <v>4.4101228625299171</v>
      </c>
      <c r="O441" s="4">
        <f t="shared" si="18"/>
        <v>48.38148635324935</v>
      </c>
      <c r="P441" s="4">
        <f t="shared" si="17"/>
        <v>36.467462337665751</v>
      </c>
      <c r="Q441" s="4">
        <v>327.62549999999999</v>
      </c>
      <c r="R441" s="4">
        <f t="shared" si="16"/>
        <v>7.3692081900013147</v>
      </c>
      <c r="S441" s="1">
        <v>239.637</v>
      </c>
      <c r="T441" s="1">
        <v>347.10449999999997</v>
      </c>
      <c r="U441" s="1">
        <v>469.23449999999997</v>
      </c>
      <c r="V441" s="1">
        <v>360.339</v>
      </c>
      <c r="W441" s="1">
        <v>178.887</v>
      </c>
      <c r="X441" s="1">
        <v>516.048</v>
      </c>
      <c r="Y441" s="1">
        <v>380.43150000000003</v>
      </c>
      <c r="Z441" s="1">
        <v>155.262</v>
      </c>
      <c r="AA441" s="3">
        <v>15000</v>
      </c>
      <c r="AB441" s="1">
        <v>3693.1979999999994</v>
      </c>
    </row>
    <row r="442" spans="1:28" x14ac:dyDescent="0.25">
      <c r="A442" s="1">
        <v>441</v>
      </c>
      <c r="B442" s="2">
        <v>59019</v>
      </c>
      <c r="C442" s="1">
        <v>396.12150000000003</v>
      </c>
      <c r="D442" s="4">
        <f t="shared" si="14"/>
        <v>25.541336217849089</v>
      </c>
      <c r="E442" s="1">
        <v>178.476</v>
      </c>
      <c r="F442" s="1">
        <v>256.959</v>
      </c>
      <c r="G442" s="4">
        <f t="shared" si="15"/>
        <v>73.435696083487812</v>
      </c>
      <c r="H442" s="1">
        <v>533.06100000000004</v>
      </c>
      <c r="I442" s="1">
        <v>325.089</v>
      </c>
      <c r="J442" s="1">
        <v>168.6525</v>
      </c>
      <c r="K442" s="1">
        <v>161.166</v>
      </c>
      <c r="L442" s="1">
        <v>219.21750000000003</v>
      </c>
      <c r="M442" s="1">
        <v>322.25850000000003</v>
      </c>
      <c r="N442" s="4">
        <f t="shared" si="13"/>
        <v>4.3660216339046176</v>
      </c>
      <c r="O442" s="4">
        <f t="shared" si="18"/>
        <v>47.897671489716856</v>
      </c>
      <c r="P442" s="4">
        <f t="shared" si="17"/>
        <v>36.102787714289093</v>
      </c>
      <c r="Q442" s="4">
        <v>327.339</v>
      </c>
      <c r="R442" s="4">
        <f t="shared" si="16"/>
        <v>7.2955161081013014</v>
      </c>
      <c r="S442" s="1">
        <v>239.274</v>
      </c>
      <c r="T442" s="1">
        <v>345.91949999999997</v>
      </c>
      <c r="U442" s="1">
        <v>468.62849999999997</v>
      </c>
      <c r="V442" s="1">
        <v>357.91949999999997</v>
      </c>
      <c r="W442" s="1">
        <v>178.209</v>
      </c>
      <c r="X442" s="1">
        <v>515.46749999999997</v>
      </c>
      <c r="Y442" s="1">
        <v>380.553</v>
      </c>
      <c r="Z442" s="1">
        <v>154.512</v>
      </c>
      <c r="AA442" s="3">
        <v>15000</v>
      </c>
      <c r="AB442" s="1">
        <v>3685.7369999999992</v>
      </c>
    </row>
    <row r="443" spans="1:28" x14ac:dyDescent="0.25">
      <c r="A443" s="1">
        <v>442</v>
      </c>
      <c r="B443" s="2">
        <v>59050</v>
      </c>
      <c r="C443" s="1">
        <v>395.24549999999999</v>
      </c>
      <c r="D443" s="4">
        <f t="shared" si="14"/>
        <v>25.285922855670599</v>
      </c>
      <c r="E443" s="1">
        <v>176.91899999999998</v>
      </c>
      <c r="F443" s="1">
        <v>256.04399999999998</v>
      </c>
      <c r="G443" s="4">
        <f t="shared" si="15"/>
        <v>72.701339122652939</v>
      </c>
      <c r="H443" s="1">
        <v>533.09850000000006</v>
      </c>
      <c r="I443" s="1">
        <v>324.53550000000001</v>
      </c>
      <c r="J443" s="1">
        <v>168.45600000000002</v>
      </c>
      <c r="K443" s="1">
        <v>160.6875</v>
      </c>
      <c r="L443" s="1">
        <v>219</v>
      </c>
      <c r="M443" s="1">
        <v>321.99149999999997</v>
      </c>
      <c r="N443" s="4">
        <f t="shared" si="13"/>
        <v>4.3223614175655714</v>
      </c>
      <c r="O443" s="4">
        <f t="shared" si="18"/>
        <v>47.418694774819684</v>
      </c>
      <c r="P443" s="4">
        <f t="shared" si="17"/>
        <v>35.741759837146205</v>
      </c>
      <c r="Q443" s="4">
        <v>327.12149999999997</v>
      </c>
      <c r="R443" s="4">
        <f t="shared" si="16"/>
        <v>7.2225609470202885</v>
      </c>
      <c r="S443" s="1">
        <v>238.90199999999999</v>
      </c>
      <c r="T443" s="1">
        <v>344.51850000000002</v>
      </c>
      <c r="U443" s="1">
        <v>467.8125</v>
      </c>
      <c r="V443" s="1">
        <v>355.82100000000003</v>
      </c>
      <c r="W443" s="1">
        <v>177.48149999999998</v>
      </c>
      <c r="X443" s="1">
        <v>514.5</v>
      </c>
      <c r="Y443" s="1">
        <v>380.47799999999995</v>
      </c>
      <c r="Z443" s="1">
        <v>153.64350000000002</v>
      </c>
      <c r="AA443" s="3">
        <v>15000</v>
      </c>
      <c r="AB443" s="1">
        <v>3677.2980000000002</v>
      </c>
    </row>
    <row r="444" spans="1:28" x14ac:dyDescent="0.25">
      <c r="A444" s="1">
        <v>443</v>
      </c>
      <c r="B444" s="2">
        <v>59080</v>
      </c>
      <c r="C444" s="1">
        <v>394.27949999999998</v>
      </c>
      <c r="D444" s="4">
        <f t="shared" si="14"/>
        <v>25.033063627113894</v>
      </c>
      <c r="E444" s="1">
        <v>175.7655</v>
      </c>
      <c r="F444" s="1">
        <v>255.291</v>
      </c>
      <c r="G444" s="4">
        <f t="shared" si="15"/>
        <v>71.974325731426404</v>
      </c>
      <c r="H444" s="1">
        <v>533.13149999999996</v>
      </c>
      <c r="I444" s="1">
        <v>324.048</v>
      </c>
      <c r="J444" s="1">
        <v>168.2655</v>
      </c>
      <c r="K444" s="1">
        <v>160.3665</v>
      </c>
      <c r="L444" s="1">
        <v>218.78249999999997</v>
      </c>
      <c r="M444" s="1">
        <v>321.774</v>
      </c>
      <c r="N444" s="4">
        <f t="shared" si="13"/>
        <v>4.2791378033899159</v>
      </c>
      <c r="O444" s="4">
        <f t="shared" si="18"/>
        <v>46.94450782707149</v>
      </c>
      <c r="P444" s="4">
        <f t="shared" si="17"/>
        <v>35.384342238774742</v>
      </c>
      <c r="Q444" s="4">
        <v>326.8125</v>
      </c>
      <c r="R444" s="4">
        <f t="shared" si="16"/>
        <v>7.1503353375500858</v>
      </c>
      <c r="S444" s="1">
        <v>238.572</v>
      </c>
      <c r="T444" s="1">
        <v>343.428</v>
      </c>
      <c r="U444" s="1">
        <v>467.12849999999997</v>
      </c>
      <c r="V444" s="1">
        <v>354.339</v>
      </c>
      <c r="W444" s="1">
        <v>176.952</v>
      </c>
      <c r="X444" s="1">
        <v>513.38699999999994</v>
      </c>
      <c r="Y444" s="1">
        <v>380.202</v>
      </c>
      <c r="Z444" s="1">
        <v>152.928</v>
      </c>
      <c r="AA444" s="3">
        <v>15000</v>
      </c>
      <c r="AB444" s="1">
        <v>3670.168999999999</v>
      </c>
    </row>
    <row r="445" spans="1:28" x14ac:dyDescent="0.25">
      <c r="A445" s="1">
        <v>444</v>
      </c>
      <c r="B445" s="2">
        <v>59111</v>
      </c>
      <c r="C445" s="1">
        <v>393.26099999999997</v>
      </c>
      <c r="D445" s="4">
        <f t="shared" si="14"/>
        <v>24.782732990842753</v>
      </c>
      <c r="E445" s="1">
        <v>174.45</v>
      </c>
      <c r="F445" s="1">
        <v>254.4255</v>
      </c>
      <c r="G445" s="4">
        <f t="shared" si="15"/>
        <v>71.254582474112141</v>
      </c>
      <c r="H445" s="1">
        <v>533.178</v>
      </c>
      <c r="I445" s="1">
        <v>323.52449999999999</v>
      </c>
      <c r="J445" s="1">
        <v>168.02549999999999</v>
      </c>
      <c r="K445" s="1">
        <v>159.9495</v>
      </c>
      <c r="L445" s="1">
        <v>218.52449999999999</v>
      </c>
      <c r="M445" s="1">
        <v>321.49950000000001</v>
      </c>
      <c r="N445" s="4">
        <f t="shared" si="13"/>
        <v>4.2363464253560164</v>
      </c>
      <c r="O445" s="4">
        <f t="shared" si="18"/>
        <v>46.475062748800774</v>
      </c>
      <c r="P445" s="4">
        <f t="shared" si="17"/>
        <v>35.030498816386995</v>
      </c>
      <c r="Q445" s="4">
        <v>326.613</v>
      </c>
      <c r="R445" s="4">
        <f t="shared" si="16"/>
        <v>7.0788319841745846</v>
      </c>
      <c r="S445" s="1">
        <v>238.20000000000002</v>
      </c>
      <c r="T445" s="1">
        <v>342.10050000000001</v>
      </c>
      <c r="U445" s="1">
        <v>466.39949999999999</v>
      </c>
      <c r="V445" s="1">
        <v>352.65</v>
      </c>
      <c r="W445" s="1">
        <v>176.39999999999998</v>
      </c>
      <c r="X445" s="1">
        <v>511.84950000000003</v>
      </c>
      <c r="Y445" s="1">
        <v>379.72500000000002</v>
      </c>
      <c r="Z445" s="1">
        <v>152.12549999999999</v>
      </c>
      <c r="AA445" s="3">
        <v>15000</v>
      </c>
      <c r="AB445" s="1">
        <v>3661.7920000000004</v>
      </c>
    </row>
    <row r="446" spans="1:28" x14ac:dyDescent="0.25">
      <c r="A446" s="1">
        <v>445</v>
      </c>
      <c r="B446" s="2">
        <v>59141</v>
      </c>
      <c r="C446" s="1">
        <v>392.3895</v>
      </c>
      <c r="D446" s="4">
        <f t="shared" si="14"/>
        <v>24.534905660934324</v>
      </c>
      <c r="E446" s="1">
        <v>173.3955</v>
      </c>
      <c r="F446" s="1">
        <v>253.5975</v>
      </c>
      <c r="G446" s="4">
        <f t="shared" si="15"/>
        <v>70.542036649371013</v>
      </c>
      <c r="H446" s="1">
        <v>533.17949999999996</v>
      </c>
      <c r="I446" s="1">
        <v>323.03249999999997</v>
      </c>
      <c r="J446" s="1">
        <v>167.7825</v>
      </c>
      <c r="K446" s="1">
        <v>159.5445</v>
      </c>
      <c r="L446" s="1">
        <v>218.3475</v>
      </c>
      <c r="M446" s="1">
        <v>321.24149999999997</v>
      </c>
      <c r="N446" s="4">
        <f t="shared" si="13"/>
        <v>4.1939829611024564</v>
      </c>
      <c r="O446" s="4">
        <f t="shared" si="18"/>
        <v>46.010312121312765</v>
      </c>
      <c r="P446" s="4">
        <f t="shared" si="17"/>
        <v>34.680193828223125</v>
      </c>
      <c r="Q446" s="4">
        <v>326.39999999999998</v>
      </c>
      <c r="R446" s="4">
        <f t="shared" si="16"/>
        <v>7.0080436643328383</v>
      </c>
      <c r="S446" s="1">
        <v>237.87149999999997</v>
      </c>
      <c r="T446" s="1">
        <v>340.935</v>
      </c>
      <c r="U446" s="1">
        <v>465.43500000000006</v>
      </c>
      <c r="V446" s="1">
        <v>351.24149999999997</v>
      </c>
      <c r="W446" s="1">
        <v>175.863</v>
      </c>
      <c r="X446" s="1">
        <v>510.19350000000003</v>
      </c>
      <c r="Y446" s="1">
        <v>379.137</v>
      </c>
      <c r="Z446" s="1">
        <v>151.3905</v>
      </c>
      <c r="AA446" s="3">
        <v>15000</v>
      </c>
      <c r="AB446" s="1">
        <v>3653.8530000000001</v>
      </c>
    </row>
    <row r="447" spans="1:28" x14ac:dyDescent="0.25">
      <c r="A447" s="1">
        <v>446</v>
      </c>
      <c r="B447" s="2">
        <v>59172</v>
      </c>
      <c r="C447" s="1">
        <v>391.26</v>
      </c>
      <c r="D447" s="4">
        <f t="shared" si="14"/>
        <v>24.289556604324982</v>
      </c>
      <c r="E447" s="1">
        <v>172.35000000000002</v>
      </c>
      <c r="F447" s="1">
        <v>252.72450000000001</v>
      </c>
      <c r="G447" s="4">
        <f t="shared" si="15"/>
        <v>69.836616282877301</v>
      </c>
      <c r="H447" s="1">
        <v>533.20349999999996</v>
      </c>
      <c r="I447" s="1">
        <v>322.5</v>
      </c>
      <c r="J447" s="1">
        <v>167.4495</v>
      </c>
      <c r="K447" s="1">
        <v>159.11250000000001</v>
      </c>
      <c r="L447" s="1">
        <v>218.10000000000002</v>
      </c>
      <c r="M447" s="1">
        <v>320.95050000000003</v>
      </c>
      <c r="N447" s="4">
        <f t="shared" si="13"/>
        <v>4.1520431314914319</v>
      </c>
      <c r="O447" s="4">
        <f t="shared" si="18"/>
        <v>45.550209000099635</v>
      </c>
      <c r="P447" s="4">
        <f t="shared" si="17"/>
        <v>34.333391889940891</v>
      </c>
      <c r="Q447" s="4">
        <v>326.202</v>
      </c>
      <c r="R447" s="4">
        <f t="shared" si="16"/>
        <v>6.9379632276895098</v>
      </c>
      <c r="S447" s="1">
        <v>237.47550000000001</v>
      </c>
      <c r="T447" s="1">
        <v>339.70050000000003</v>
      </c>
      <c r="U447" s="1">
        <v>464.07449999999994</v>
      </c>
      <c r="V447" s="1">
        <v>349.84950000000003</v>
      </c>
      <c r="W447" s="1">
        <v>175.3245</v>
      </c>
      <c r="X447" s="1">
        <v>508.39949999999999</v>
      </c>
      <c r="Y447" s="1">
        <v>378.43799999999999</v>
      </c>
      <c r="Z447" s="1">
        <v>150.60000000000002</v>
      </c>
      <c r="AA447" s="3">
        <v>15000</v>
      </c>
      <c r="AB447" s="1">
        <v>3645.0419999999999</v>
      </c>
    </row>
    <row r="448" spans="1:28" x14ac:dyDescent="0.25">
      <c r="A448" s="1">
        <v>447</v>
      </c>
      <c r="B448" s="2">
        <v>59203</v>
      </c>
      <c r="C448" s="1">
        <v>390.16800000000001</v>
      </c>
      <c r="D448" s="4">
        <f t="shared" si="14"/>
        <v>24.046661038281734</v>
      </c>
      <c r="E448" s="1">
        <v>171.363</v>
      </c>
      <c r="F448" s="1">
        <v>251.952</v>
      </c>
      <c r="G448" s="4">
        <f t="shared" si="15"/>
        <v>69.138250120048525</v>
      </c>
      <c r="H448" s="1">
        <v>533.274</v>
      </c>
      <c r="I448" s="1">
        <v>322.01549999999997</v>
      </c>
      <c r="J448" s="1">
        <v>167.178</v>
      </c>
      <c r="K448" s="1">
        <v>158.685</v>
      </c>
      <c r="L448" s="1">
        <v>217.887</v>
      </c>
      <c r="M448" s="1">
        <v>320.661</v>
      </c>
      <c r="N448" s="4">
        <f t="shared" si="13"/>
        <v>4.1105227001765172</v>
      </c>
      <c r="O448" s="4">
        <f t="shared" si="18"/>
        <v>45.094706910098637</v>
      </c>
      <c r="P448" s="4">
        <f t="shared" si="17"/>
        <v>33.99005797104148</v>
      </c>
      <c r="Q448" s="4">
        <v>326.0505</v>
      </c>
      <c r="R448" s="4">
        <f t="shared" si="16"/>
        <v>6.8685835954126144</v>
      </c>
      <c r="S448" s="1">
        <v>237.14550000000003</v>
      </c>
      <c r="T448" s="1">
        <v>338.49149999999997</v>
      </c>
      <c r="U448" s="1">
        <v>462.798</v>
      </c>
      <c r="V448" s="1">
        <v>348.53249999999997</v>
      </c>
      <c r="W448" s="1">
        <v>174.8715</v>
      </c>
      <c r="X448" s="1">
        <v>506.61300000000006</v>
      </c>
      <c r="Y448" s="1">
        <v>377.74649999999997</v>
      </c>
      <c r="Z448" s="1">
        <v>149.86695</v>
      </c>
      <c r="AA448" s="3">
        <v>15000</v>
      </c>
      <c r="AB448" s="1">
        <v>3636.7573000000007</v>
      </c>
    </row>
    <row r="449" spans="1:28" x14ac:dyDescent="0.25">
      <c r="A449" s="1">
        <v>448</v>
      </c>
      <c r="B449" s="2">
        <v>59231</v>
      </c>
      <c r="C449" s="1">
        <v>389.03399999999999</v>
      </c>
      <c r="D449" s="4">
        <f t="shared" si="14"/>
        <v>23.806194427898916</v>
      </c>
      <c r="E449" s="1">
        <v>170.4195</v>
      </c>
      <c r="F449" s="1">
        <v>251.12850000000003</v>
      </c>
      <c r="G449" s="4">
        <f t="shared" si="15"/>
        <v>68.446867618848046</v>
      </c>
      <c r="H449" s="1">
        <v>533.298</v>
      </c>
      <c r="I449" s="1">
        <v>321.55650000000003</v>
      </c>
      <c r="J449" s="1">
        <v>166.863</v>
      </c>
      <c r="K449" s="1">
        <v>158.202</v>
      </c>
      <c r="L449" s="1">
        <v>217.6695</v>
      </c>
      <c r="M449" s="1">
        <v>320.34749999999997</v>
      </c>
      <c r="N449" s="4">
        <f t="shared" si="13"/>
        <v>4.0694174731747523</v>
      </c>
      <c r="O449" s="4">
        <f t="shared" si="18"/>
        <v>44.643759840997653</v>
      </c>
      <c r="P449" s="4">
        <f t="shared" si="17"/>
        <v>33.650157391331064</v>
      </c>
      <c r="Q449" s="4">
        <v>325.887</v>
      </c>
      <c r="R449" s="4">
        <f t="shared" si="16"/>
        <v>6.7998977594584886</v>
      </c>
      <c r="S449" s="1">
        <v>236.78249999999997</v>
      </c>
      <c r="T449" s="1">
        <v>337.30650000000003</v>
      </c>
      <c r="U449" s="1">
        <v>461.56499999999994</v>
      </c>
      <c r="V449" s="1">
        <v>347.226</v>
      </c>
      <c r="W449" s="1">
        <v>174.363</v>
      </c>
      <c r="X449" s="1">
        <v>504.91949999999997</v>
      </c>
      <c r="Y449" s="1">
        <v>377.03249999999997</v>
      </c>
      <c r="Z449" s="1">
        <v>149.10480000000001</v>
      </c>
      <c r="AA449" s="3">
        <v>15000</v>
      </c>
      <c r="AB449" s="1">
        <v>3628.3732000000005</v>
      </c>
    </row>
    <row r="450" spans="1:28" x14ac:dyDescent="0.25">
      <c r="A450" s="1">
        <v>449</v>
      </c>
      <c r="B450" s="2">
        <v>59262</v>
      </c>
      <c r="C450" s="1">
        <v>387.98849999999999</v>
      </c>
      <c r="D450" s="4">
        <f t="shared" si="14"/>
        <v>23.568132483619927</v>
      </c>
      <c r="E450" s="1">
        <v>169.42500000000001</v>
      </c>
      <c r="F450" s="1">
        <v>250.37549999999999</v>
      </c>
      <c r="G450" s="4">
        <f t="shared" si="15"/>
        <v>67.762398942659559</v>
      </c>
      <c r="H450" s="1">
        <v>533.32500000000005</v>
      </c>
      <c r="I450" s="1">
        <v>321</v>
      </c>
      <c r="J450" s="1">
        <v>166.52549999999999</v>
      </c>
      <c r="K450" s="1">
        <v>157.512</v>
      </c>
      <c r="L450" s="1">
        <v>217.45050000000003</v>
      </c>
      <c r="M450" s="1">
        <v>320.02499999999998</v>
      </c>
      <c r="N450" s="4">
        <f t="shared" si="13"/>
        <v>4.0287232984430048</v>
      </c>
      <c r="O450" s="4">
        <f t="shared" si="18"/>
        <v>44.197322242587674</v>
      </c>
      <c r="P450" s="4">
        <f t="shared" si="17"/>
        <v>33.313655817417754</v>
      </c>
      <c r="Q450" s="4">
        <v>325.74149999999997</v>
      </c>
      <c r="R450" s="4">
        <f t="shared" si="16"/>
        <v>6.7318987818639036</v>
      </c>
      <c r="S450" s="1">
        <v>236.37450000000001</v>
      </c>
      <c r="T450" s="1">
        <v>336.07500000000005</v>
      </c>
      <c r="U450" s="1">
        <v>460.42499999999995</v>
      </c>
      <c r="V450" s="1">
        <v>345.9</v>
      </c>
      <c r="W450" s="1">
        <v>173.87549999999999</v>
      </c>
      <c r="X450" s="1">
        <v>503.05050000000006</v>
      </c>
      <c r="Y450" s="1">
        <v>376.28700000000003</v>
      </c>
      <c r="Z450" s="1">
        <v>148.36245</v>
      </c>
      <c r="AA450" s="3">
        <v>15000</v>
      </c>
      <c r="AB450" s="1">
        <v>3619.7513000000004</v>
      </c>
    </row>
    <row r="451" spans="1:28" x14ac:dyDescent="0.25">
      <c r="A451" s="1">
        <v>450</v>
      </c>
      <c r="B451" s="2">
        <v>59292</v>
      </c>
      <c r="C451" s="1">
        <v>386.8605</v>
      </c>
      <c r="D451" s="4">
        <f t="shared" si="14"/>
        <v>23.332451158783726</v>
      </c>
      <c r="E451" s="1">
        <v>168.6045</v>
      </c>
      <c r="F451" s="1">
        <v>249.62850000000003</v>
      </c>
      <c r="G451" s="4">
        <f t="shared" si="15"/>
        <v>67.084774953232966</v>
      </c>
      <c r="H451" s="1">
        <v>533.39250000000004</v>
      </c>
      <c r="I451" s="1">
        <v>320.565</v>
      </c>
      <c r="J451" s="1">
        <v>166.209</v>
      </c>
      <c r="K451" s="1">
        <v>156.8475</v>
      </c>
      <c r="L451" s="1">
        <v>217.2585</v>
      </c>
      <c r="M451" s="1">
        <v>319.71750000000003</v>
      </c>
      <c r="N451" s="4">
        <f t="shared" si="13"/>
        <v>3.9884360654585747</v>
      </c>
      <c r="O451" s="4">
        <f t="shared" si="18"/>
        <v>43.755349020161795</v>
      </c>
      <c r="P451" s="4">
        <f t="shared" si="17"/>
        <v>32.980519259243579</v>
      </c>
      <c r="Q451" s="4">
        <v>325.64999999999998</v>
      </c>
      <c r="R451" s="4">
        <f t="shared" si="16"/>
        <v>6.6645797940452649</v>
      </c>
      <c r="S451" s="1">
        <v>236.03249999999997</v>
      </c>
      <c r="T451" s="1">
        <v>334.98450000000003</v>
      </c>
      <c r="U451" s="1">
        <v>459.36300000000006</v>
      </c>
      <c r="V451" s="1">
        <v>344.709</v>
      </c>
      <c r="W451" s="1">
        <v>173.4195</v>
      </c>
      <c r="X451" s="1">
        <v>501.48449999999997</v>
      </c>
      <c r="Y451" s="1">
        <v>375.64049999999997</v>
      </c>
      <c r="Z451" s="1">
        <v>147.65325000000001</v>
      </c>
      <c r="AA451" s="3">
        <v>15000</v>
      </c>
      <c r="AB451" s="1">
        <v>3611.9295000000002</v>
      </c>
    </row>
    <row r="452" spans="1:28" x14ac:dyDescent="0.25">
      <c r="A452" s="1">
        <v>451</v>
      </c>
      <c r="B452" s="2">
        <v>59323</v>
      </c>
      <c r="C452" s="1">
        <v>385.88850000000002</v>
      </c>
      <c r="D452" s="4">
        <f t="shared" si="14"/>
        <v>23.099126647195888</v>
      </c>
      <c r="E452" s="1">
        <v>167.625</v>
      </c>
      <c r="F452" s="1">
        <v>248.8245</v>
      </c>
      <c r="G452" s="4">
        <f t="shared" si="15"/>
        <v>66.413927203700638</v>
      </c>
      <c r="H452" s="1">
        <v>533.39850000000001</v>
      </c>
      <c r="I452" s="1">
        <v>320.0505</v>
      </c>
      <c r="J452" s="1">
        <v>165.89999999999998</v>
      </c>
      <c r="K452" s="1">
        <v>156.12450000000001</v>
      </c>
      <c r="L452" s="1">
        <v>217.04999999999998</v>
      </c>
      <c r="M452" s="1">
        <v>319.42499999999995</v>
      </c>
      <c r="N452" s="4">
        <f t="shared" si="13"/>
        <v>3.9485517048039886</v>
      </c>
      <c r="O452" s="4">
        <f t="shared" si="18"/>
        <v>43.317795529960179</v>
      </c>
      <c r="P452" s="4">
        <f t="shared" si="17"/>
        <v>32.65071406665114</v>
      </c>
      <c r="Q452" s="4">
        <v>325.524</v>
      </c>
      <c r="R452" s="4">
        <f t="shared" si="16"/>
        <v>6.5979339961048122</v>
      </c>
      <c r="S452" s="1">
        <v>235.64999999999998</v>
      </c>
      <c r="T452" s="1">
        <v>333.75</v>
      </c>
      <c r="U452" s="1">
        <v>458.22450000000003</v>
      </c>
      <c r="V452" s="1">
        <v>343.3005</v>
      </c>
      <c r="W452" s="1">
        <v>172.92449999999999</v>
      </c>
      <c r="X452" s="1">
        <v>499.69949999999994</v>
      </c>
      <c r="Y452" s="1">
        <v>374.93700000000001</v>
      </c>
      <c r="Z452" s="1">
        <v>146.89994999999999</v>
      </c>
      <c r="AA452" s="3">
        <v>15000</v>
      </c>
      <c r="AB452" s="1">
        <v>3603.3983000000003</v>
      </c>
    </row>
    <row r="453" spans="1:28" x14ac:dyDescent="0.25">
      <c r="A453" s="1">
        <v>452</v>
      </c>
      <c r="B453" s="2">
        <v>59353</v>
      </c>
      <c r="C453" s="1">
        <v>384.78150000000005</v>
      </c>
      <c r="D453" s="4">
        <f t="shared" si="14"/>
        <v>22.868135380723928</v>
      </c>
      <c r="E453" s="1">
        <v>166.7175</v>
      </c>
      <c r="F453" s="1">
        <v>248.12850000000003</v>
      </c>
      <c r="G453" s="4">
        <f t="shared" si="15"/>
        <v>65.749787931663633</v>
      </c>
      <c r="H453" s="1">
        <v>533.43899999999996</v>
      </c>
      <c r="I453" s="1">
        <v>319.572</v>
      </c>
      <c r="J453" s="1">
        <v>165.6045</v>
      </c>
      <c r="K453" s="1">
        <v>155.4075</v>
      </c>
      <c r="L453" s="1">
        <v>216.822</v>
      </c>
      <c r="M453" s="1">
        <v>319.161</v>
      </c>
      <c r="N453" s="4">
        <f t="shared" si="13"/>
        <v>3.9090661877559487</v>
      </c>
      <c r="O453" s="4">
        <f t="shared" si="18"/>
        <v>42.884617574660574</v>
      </c>
      <c r="P453" s="4">
        <f t="shared" si="17"/>
        <v>32.324206925984626</v>
      </c>
      <c r="Q453" s="4">
        <v>325.42499999999995</v>
      </c>
      <c r="R453" s="4">
        <f t="shared" si="16"/>
        <v>6.531954656143764</v>
      </c>
      <c r="S453" s="1">
        <v>235.2585</v>
      </c>
      <c r="T453" s="1">
        <v>332.613</v>
      </c>
      <c r="U453" s="1">
        <v>457.161</v>
      </c>
      <c r="V453" s="1">
        <v>342</v>
      </c>
      <c r="W453" s="1">
        <v>172.452</v>
      </c>
      <c r="X453" s="1">
        <v>498.19350000000003</v>
      </c>
      <c r="Y453" s="1">
        <v>374.322</v>
      </c>
      <c r="Z453" s="1">
        <v>146.20155</v>
      </c>
      <c r="AA453" s="3">
        <v>15000</v>
      </c>
      <c r="AB453" s="1">
        <v>3595.4436999999998</v>
      </c>
    </row>
    <row r="454" spans="1:28" x14ac:dyDescent="0.25">
      <c r="A454" s="1">
        <v>453</v>
      </c>
      <c r="B454" s="2">
        <v>59384</v>
      </c>
      <c r="C454" s="1">
        <v>383.74200000000002</v>
      </c>
      <c r="D454" s="4">
        <f t="shared" si="14"/>
        <v>22.639454026916688</v>
      </c>
      <c r="E454" s="1">
        <v>169.6935</v>
      </c>
      <c r="F454" s="1">
        <v>247.6695</v>
      </c>
      <c r="G454" s="4">
        <f t="shared" si="15"/>
        <v>65.092290052346996</v>
      </c>
      <c r="H454" s="1">
        <v>533.46299999999997</v>
      </c>
      <c r="I454" s="1">
        <v>319.161</v>
      </c>
      <c r="J454" s="1">
        <v>165.339</v>
      </c>
      <c r="K454" s="1">
        <f>K453*0.99</f>
        <v>153.85342499999999</v>
      </c>
      <c r="L454" s="1">
        <v>216.53249999999997</v>
      </c>
      <c r="M454" s="1">
        <v>318.19349999999997</v>
      </c>
      <c r="N454" s="4">
        <f t="shared" si="13"/>
        <v>3.869975525878389</v>
      </c>
      <c r="O454" s="4">
        <f t="shared" si="18"/>
        <v>42.455771398913967</v>
      </c>
      <c r="P454" s="4">
        <f t="shared" si="17"/>
        <v>32.000964856724778</v>
      </c>
      <c r="Q454" s="4">
        <v>325.33050000000003</v>
      </c>
      <c r="R454" s="4">
        <f t="shared" si="16"/>
        <v>6.4666351095823265</v>
      </c>
      <c r="S454" s="1">
        <v>234.94349999999997</v>
      </c>
      <c r="T454" s="1">
        <v>331.548</v>
      </c>
      <c r="U454" s="1">
        <v>460.30649999999997</v>
      </c>
      <c r="V454" s="1">
        <v>389.178</v>
      </c>
      <c r="W454" s="1">
        <v>172.0155</v>
      </c>
      <c r="X454" s="1">
        <v>496.839</v>
      </c>
      <c r="Y454" s="1">
        <v>373.77750000000003</v>
      </c>
      <c r="Z454" s="1">
        <v>145.53629999999998</v>
      </c>
      <c r="AA454" s="3">
        <v>15000</v>
      </c>
      <c r="AB454" s="1">
        <v>3532.1713999999997</v>
      </c>
    </row>
    <row r="455" spans="1:28" x14ac:dyDescent="0.25">
      <c r="A455" s="1">
        <v>454</v>
      </c>
      <c r="B455" s="2">
        <v>59415</v>
      </c>
      <c r="C455" s="1">
        <v>382.74299999999999</v>
      </c>
      <c r="D455" s="4">
        <f t="shared" si="14"/>
        <v>22.413059486647523</v>
      </c>
      <c r="E455" s="1">
        <v>169.23149999999998</v>
      </c>
      <c r="F455" s="1">
        <v>247.15199999999999</v>
      </c>
      <c r="G455" s="4">
        <f t="shared" si="15"/>
        <v>64.441367151823528</v>
      </c>
      <c r="H455" s="1">
        <v>533.51700000000005</v>
      </c>
      <c r="I455" s="1">
        <v>318.64350000000002</v>
      </c>
      <c r="J455" s="1">
        <v>164.946</v>
      </c>
      <c r="K455" s="4">
        <f t="shared" ref="K455:K482" si="19">K454*0.99</f>
        <v>152.31489074999999</v>
      </c>
      <c r="L455" s="1">
        <v>216.48149999999998</v>
      </c>
      <c r="M455" s="1">
        <v>318.58949999999999</v>
      </c>
      <c r="N455" s="4">
        <f t="shared" si="13"/>
        <v>3.8312757706196052</v>
      </c>
      <c r="O455" s="4">
        <f t="shared" si="18"/>
        <v>42.031213684924829</v>
      </c>
      <c r="P455" s="4">
        <f t="shared" si="17"/>
        <v>31.680955208157531</v>
      </c>
      <c r="Q455" s="4">
        <v>325.28249999999997</v>
      </c>
      <c r="R455" s="4">
        <f t="shared" si="16"/>
        <v>6.401968758486503</v>
      </c>
      <c r="S455" s="1">
        <v>234.5085</v>
      </c>
      <c r="T455" s="1">
        <v>330.32100000000003</v>
      </c>
      <c r="U455" s="1">
        <v>460.01849999999996</v>
      </c>
      <c r="V455" s="1">
        <v>391.92899999999997</v>
      </c>
      <c r="W455" s="1">
        <v>171.48149999999998</v>
      </c>
      <c r="X455" s="1">
        <v>495.10650000000004</v>
      </c>
      <c r="Y455" s="1">
        <v>373.03199999999998</v>
      </c>
      <c r="Z455" s="1">
        <v>144.77685</v>
      </c>
      <c r="AA455" s="3">
        <v>15000</v>
      </c>
      <c r="AB455" s="1">
        <v>3518.4558999999999</v>
      </c>
    </row>
    <row r="456" spans="1:28" x14ac:dyDescent="0.25">
      <c r="A456" s="1">
        <v>455</v>
      </c>
      <c r="B456" s="2">
        <v>59445</v>
      </c>
      <c r="C456" s="1">
        <v>381.80399999999997</v>
      </c>
      <c r="D456" s="4">
        <f t="shared" si="14"/>
        <v>22.188928891781046</v>
      </c>
      <c r="E456" s="1">
        <v>168.6045</v>
      </c>
      <c r="F456" s="1">
        <v>246.60449999999997</v>
      </c>
      <c r="G456" s="4">
        <f t="shared" si="15"/>
        <v>63.796953480305291</v>
      </c>
      <c r="H456" s="1">
        <v>533.5335</v>
      </c>
      <c r="I456" s="1">
        <v>318.24149999999997</v>
      </c>
      <c r="J456" s="1">
        <v>164.613</v>
      </c>
      <c r="K456" s="4">
        <f t="shared" si="19"/>
        <v>150.79174184249999</v>
      </c>
      <c r="L456" s="1">
        <v>216.387</v>
      </c>
      <c r="M456" s="1">
        <v>319.30650000000003</v>
      </c>
      <c r="N456" s="4">
        <f t="shared" si="13"/>
        <v>3.7929630129134093</v>
      </c>
      <c r="O456" s="4">
        <f t="shared" si="18"/>
        <v>41.610901548075582</v>
      </c>
      <c r="P456" s="4">
        <f t="shared" si="17"/>
        <v>31.364145656075955</v>
      </c>
      <c r="Q456" s="4">
        <v>325.20600000000002</v>
      </c>
      <c r="R456" s="4">
        <f t="shared" si="16"/>
        <v>6.3379490709016384</v>
      </c>
      <c r="S456" s="1">
        <v>234.21750000000003</v>
      </c>
      <c r="T456" s="1">
        <v>329.298</v>
      </c>
      <c r="U456" s="1">
        <v>459.48449999999997</v>
      </c>
      <c r="V456" s="1">
        <v>390.19350000000003</v>
      </c>
      <c r="W456" s="1">
        <v>171.072</v>
      </c>
      <c r="X456" s="1">
        <v>493.74149999999997</v>
      </c>
      <c r="Y456" s="1">
        <v>372.411</v>
      </c>
      <c r="Z456" s="1">
        <v>144.15719999999999</v>
      </c>
      <c r="AA456" s="3">
        <v>15000</v>
      </c>
      <c r="AB456" s="1">
        <v>3512.5538000000001</v>
      </c>
    </row>
    <row r="457" spans="1:28" x14ac:dyDescent="0.25">
      <c r="A457" s="1">
        <v>456</v>
      </c>
      <c r="B457" s="2">
        <v>59476</v>
      </c>
      <c r="C457" s="1">
        <v>380.81099999999998</v>
      </c>
      <c r="D457" s="4">
        <f t="shared" si="14"/>
        <v>21.967039602863235</v>
      </c>
      <c r="E457" s="1">
        <v>167.8245</v>
      </c>
      <c r="F457" s="1">
        <v>245.89949999999999</v>
      </c>
      <c r="G457" s="4">
        <f t="shared" si="15"/>
        <v>63.158983945502236</v>
      </c>
      <c r="H457" s="1">
        <v>533.61750000000006</v>
      </c>
      <c r="I457" s="1">
        <v>317.65049999999997</v>
      </c>
      <c r="J457" s="1">
        <v>164.25</v>
      </c>
      <c r="K457" s="4">
        <f t="shared" si="19"/>
        <v>149.28382442407499</v>
      </c>
      <c r="L457" s="1">
        <v>216.29999999999998</v>
      </c>
      <c r="M457" s="1">
        <v>320.20050000000003</v>
      </c>
      <c r="N457" s="4">
        <f t="shared" si="13"/>
        <v>3.755033382784275</v>
      </c>
      <c r="O457" s="4">
        <f t="shared" si="18"/>
        <v>41.194792532594825</v>
      </c>
      <c r="P457" s="4">
        <f t="shared" si="17"/>
        <v>31.050504199515196</v>
      </c>
      <c r="Q457" s="4">
        <v>325.161</v>
      </c>
      <c r="R457" s="4">
        <f t="shared" si="16"/>
        <v>6.2745695801926216</v>
      </c>
      <c r="S457" s="1">
        <v>233.8005</v>
      </c>
      <c r="T457" s="1">
        <v>328.15049999999997</v>
      </c>
      <c r="U457" s="1">
        <v>458.84999999999997</v>
      </c>
      <c r="V457" s="1">
        <v>388.24950000000001</v>
      </c>
      <c r="W457" s="1">
        <v>170.59950000000001</v>
      </c>
      <c r="X457" s="1">
        <v>492.04950000000002</v>
      </c>
      <c r="Y457" s="1">
        <v>371.70000000000005</v>
      </c>
      <c r="Z457" s="1">
        <v>143.46254999999999</v>
      </c>
      <c r="AA457" s="3">
        <v>15000</v>
      </c>
      <c r="AB457" s="1">
        <v>3505.6607000000008</v>
      </c>
    </row>
    <row r="458" spans="1:28" x14ac:dyDescent="0.25">
      <c r="A458" s="1">
        <v>457</v>
      </c>
      <c r="B458" s="2">
        <v>59506</v>
      </c>
      <c r="C458" s="1">
        <v>379.72500000000002</v>
      </c>
      <c r="D458" s="4">
        <f t="shared" si="14"/>
        <v>21.747369206834602</v>
      </c>
      <c r="E458" s="1">
        <v>167.178</v>
      </c>
      <c r="F458" s="1">
        <v>245.226</v>
      </c>
      <c r="G458" s="4">
        <f t="shared" si="15"/>
        <v>62.527394106047211</v>
      </c>
      <c r="H458" s="1">
        <v>533.60550000000001</v>
      </c>
      <c r="I458" s="1">
        <v>317.178</v>
      </c>
      <c r="J458" s="1">
        <v>163.935</v>
      </c>
      <c r="K458" s="4">
        <f t="shared" si="19"/>
        <v>147.79098617983425</v>
      </c>
      <c r="L458" s="1">
        <v>216.12149999999997</v>
      </c>
      <c r="M458" s="1">
        <v>320.87850000000003</v>
      </c>
      <c r="N458" s="4">
        <f t="shared" si="13"/>
        <v>3.7174830489564323</v>
      </c>
      <c r="O458" s="4">
        <f t="shared" si="18"/>
        <v>40.782844607268878</v>
      </c>
      <c r="P458" s="4">
        <f t="shared" si="17"/>
        <v>30.739999157520042</v>
      </c>
      <c r="Q458" s="4">
        <v>325.07550000000003</v>
      </c>
      <c r="R458" s="4">
        <f t="shared" si="16"/>
        <v>6.2118238843906957</v>
      </c>
      <c r="S458" s="1">
        <v>233.44349999999997</v>
      </c>
      <c r="T458" s="1">
        <v>327.09749999999997</v>
      </c>
      <c r="U458" s="1">
        <v>458.274</v>
      </c>
      <c r="V458" s="1">
        <v>386.70899999999995</v>
      </c>
      <c r="W458" s="1">
        <v>170.1285</v>
      </c>
      <c r="X458" s="1">
        <v>490.69350000000003</v>
      </c>
      <c r="Y458" s="1">
        <v>371.09250000000003</v>
      </c>
      <c r="Z458" s="1">
        <v>142.80240000000001</v>
      </c>
      <c r="AA458" s="3">
        <v>15000</v>
      </c>
      <c r="AB458" s="1">
        <v>3499.3865999999998</v>
      </c>
    </row>
    <row r="459" spans="1:28" x14ac:dyDescent="0.25">
      <c r="A459" s="1">
        <v>458</v>
      </c>
      <c r="B459" s="2">
        <v>59537</v>
      </c>
      <c r="C459" s="1">
        <v>378.80849999999998</v>
      </c>
      <c r="D459" s="4">
        <f t="shared" si="14"/>
        <v>21.529895514766256</v>
      </c>
      <c r="E459" s="1">
        <v>166.42500000000001</v>
      </c>
      <c r="F459" s="1">
        <v>244.52549999999999</v>
      </c>
      <c r="G459" s="4">
        <f t="shared" si="15"/>
        <v>61.902120164986741</v>
      </c>
      <c r="H459" s="1">
        <v>533.66700000000003</v>
      </c>
      <c r="I459" s="1">
        <v>316.64999999999998</v>
      </c>
      <c r="J459" s="1">
        <v>163.62450000000001</v>
      </c>
      <c r="K459" s="4">
        <f t="shared" si="19"/>
        <v>146.31307631803591</v>
      </c>
      <c r="L459" s="1">
        <v>215.95050000000003</v>
      </c>
      <c r="M459" s="1">
        <v>321.5505</v>
      </c>
      <c r="N459" s="4">
        <f t="shared" si="13"/>
        <v>3.6803082184668678</v>
      </c>
      <c r="O459" s="4">
        <f t="shared" si="18"/>
        <v>40.375016161196186</v>
      </c>
      <c r="P459" s="4">
        <f t="shared" si="17"/>
        <v>30.432599165944843</v>
      </c>
      <c r="Q459" s="4">
        <v>324.99149999999997</v>
      </c>
      <c r="R459" s="4">
        <f t="shared" si="16"/>
        <v>6.1497056455467884</v>
      </c>
      <c r="S459" s="1">
        <v>233.0505</v>
      </c>
      <c r="T459" s="1">
        <v>325.99950000000001</v>
      </c>
      <c r="U459" s="1">
        <v>457.65000000000003</v>
      </c>
      <c r="V459" s="1">
        <v>385.09950000000003</v>
      </c>
      <c r="W459" s="1">
        <v>169.64999999999998</v>
      </c>
      <c r="X459" s="1">
        <v>489.19949999999994</v>
      </c>
      <c r="Y459" s="1">
        <v>370.47450000000003</v>
      </c>
      <c r="Z459" s="1">
        <v>142.08749999999998</v>
      </c>
      <c r="AA459" s="3">
        <v>15000</v>
      </c>
      <c r="AB459" s="1">
        <v>3492.8919999999998</v>
      </c>
    </row>
    <row r="460" spans="1:28" x14ac:dyDescent="0.25">
      <c r="A460" s="1">
        <v>459</v>
      </c>
      <c r="B460" s="2">
        <v>59568</v>
      </c>
      <c r="C460" s="1">
        <v>377.7405</v>
      </c>
      <c r="D460" s="4">
        <f t="shared" si="14"/>
        <v>21.314596559618593</v>
      </c>
      <c r="E460" s="1">
        <v>165.774</v>
      </c>
      <c r="F460" s="1">
        <v>243.87149999999997</v>
      </c>
      <c r="G460" s="4">
        <f t="shared" si="15"/>
        <v>61.283098963336876</v>
      </c>
      <c r="H460" s="1">
        <v>533.70000000000005</v>
      </c>
      <c r="I460" s="1">
        <v>316.113</v>
      </c>
      <c r="J460" s="1">
        <v>163.3545</v>
      </c>
      <c r="K460" s="4">
        <f t="shared" si="19"/>
        <v>144.84994555485554</v>
      </c>
      <c r="L460" s="1">
        <v>215.7585</v>
      </c>
      <c r="M460" s="1">
        <v>321.99149999999997</v>
      </c>
      <c r="N460" s="4">
        <f t="shared" si="13"/>
        <v>3.6435051362821991</v>
      </c>
      <c r="O460" s="4">
        <f t="shared" si="18"/>
        <v>39.971265999584226</v>
      </c>
      <c r="P460" s="4">
        <f t="shared" si="17"/>
        <v>30.128273174285393</v>
      </c>
      <c r="Q460" s="4">
        <v>324.9255</v>
      </c>
      <c r="R460" s="4">
        <f t="shared" si="16"/>
        <v>6.0882085890913205</v>
      </c>
      <c r="S460" s="1">
        <v>232.64550000000003</v>
      </c>
      <c r="T460" s="1">
        <v>324.94349999999997</v>
      </c>
      <c r="U460" s="1">
        <v>456.96749999999997</v>
      </c>
      <c r="V460" s="1">
        <v>383.661</v>
      </c>
      <c r="W460" s="1">
        <v>169.137</v>
      </c>
      <c r="X460" s="1">
        <v>487.79100000000005</v>
      </c>
      <c r="Y460" s="1">
        <v>369.95550000000003</v>
      </c>
      <c r="Z460" s="1">
        <v>141.41129999999998</v>
      </c>
      <c r="AA460" s="3">
        <v>15000</v>
      </c>
      <c r="AB460" s="1">
        <v>3486.4421999999995</v>
      </c>
    </row>
    <row r="461" spans="1:28" x14ac:dyDescent="0.25">
      <c r="A461" s="1">
        <v>460</v>
      </c>
      <c r="B461" s="2">
        <v>59596</v>
      </c>
      <c r="C461" s="1">
        <v>376.84350000000001</v>
      </c>
      <c r="D461" s="4">
        <f t="shared" si="14"/>
        <v>21.101450594022406</v>
      </c>
      <c r="E461" s="1">
        <v>165.1215</v>
      </c>
      <c r="F461" s="1">
        <v>243.2415</v>
      </c>
      <c r="G461" s="4">
        <f t="shared" si="15"/>
        <v>60.67026797370351</v>
      </c>
      <c r="H461" s="1">
        <v>533.74649999999997</v>
      </c>
      <c r="I461" s="1">
        <v>315.60449999999997</v>
      </c>
      <c r="J461" s="1">
        <v>163.113</v>
      </c>
      <c r="K461" s="4">
        <f t="shared" si="19"/>
        <v>143.40144609930698</v>
      </c>
      <c r="L461" s="1">
        <v>215.565</v>
      </c>
      <c r="M461" s="1">
        <v>322.428</v>
      </c>
      <c r="N461" s="4">
        <f t="shared" si="13"/>
        <v>3.6070700849193771</v>
      </c>
      <c r="O461" s="4">
        <f t="shared" si="18"/>
        <v>39.571553339588384</v>
      </c>
      <c r="P461" s="4">
        <f t="shared" si="17"/>
        <v>29.826990442542538</v>
      </c>
      <c r="Q461" s="4">
        <v>324.84749999999997</v>
      </c>
      <c r="R461" s="4">
        <f t="shared" si="16"/>
        <v>6.0273265032004071</v>
      </c>
      <c r="S461" s="1">
        <v>232.28249999999997</v>
      </c>
      <c r="T461" s="1">
        <v>323.90250000000003</v>
      </c>
      <c r="U461" s="1">
        <v>456.43500000000006</v>
      </c>
      <c r="V461" s="1">
        <v>382.25850000000003</v>
      </c>
      <c r="W461" s="1">
        <v>168.6525</v>
      </c>
      <c r="X461" s="1">
        <v>486.48449999999997</v>
      </c>
      <c r="Y461" s="1">
        <v>369.435</v>
      </c>
      <c r="Z461" s="1">
        <v>140.75805</v>
      </c>
      <c r="AA461" s="3">
        <v>15000</v>
      </c>
      <c r="AB461" s="1">
        <v>3480.3986999999993</v>
      </c>
    </row>
    <row r="462" spans="1:28" x14ac:dyDescent="0.25">
      <c r="A462" s="1">
        <v>461</v>
      </c>
      <c r="B462" s="2">
        <v>59627</v>
      </c>
      <c r="C462" s="1">
        <v>375.78149999999999</v>
      </c>
      <c r="D462" s="4">
        <f t="shared" si="14"/>
        <v>20.890436088082183</v>
      </c>
      <c r="E462" s="1">
        <v>164.39999999999998</v>
      </c>
      <c r="F462" s="1">
        <v>242.59950000000001</v>
      </c>
      <c r="G462" s="4">
        <f t="shared" si="15"/>
        <v>60.063565293966477</v>
      </c>
      <c r="H462" s="1">
        <v>533.7885</v>
      </c>
      <c r="I462" s="1">
        <v>315.07500000000005</v>
      </c>
      <c r="J462" s="1">
        <v>162.89999999999998</v>
      </c>
      <c r="K462" s="4">
        <f t="shared" si="19"/>
        <v>141.96743163831391</v>
      </c>
      <c r="L462" s="1">
        <v>215.37450000000001</v>
      </c>
      <c r="M462" s="1">
        <v>322.77449999999999</v>
      </c>
      <c r="N462" s="4">
        <f t="shared" si="13"/>
        <v>3.5709993840701832</v>
      </c>
      <c r="O462" s="4">
        <f t="shared" si="18"/>
        <v>39.175837806192497</v>
      </c>
      <c r="P462" s="4">
        <f t="shared" si="17"/>
        <v>29.528720538117113</v>
      </c>
      <c r="Q462" s="4">
        <v>324.726</v>
      </c>
      <c r="R462" s="4">
        <f t="shared" si="16"/>
        <v>5.9670532381684032</v>
      </c>
      <c r="S462" s="1">
        <v>231.85050000000001</v>
      </c>
      <c r="T462" s="1">
        <v>322.79999999999995</v>
      </c>
      <c r="U462" s="1">
        <v>455.70000000000005</v>
      </c>
      <c r="V462" s="1">
        <v>380.85</v>
      </c>
      <c r="W462" s="1">
        <v>168.14999999999998</v>
      </c>
      <c r="X462" s="1">
        <v>485.20049999999998</v>
      </c>
      <c r="Y462" s="1">
        <v>368.93700000000001</v>
      </c>
      <c r="Z462" s="1">
        <v>140.05005</v>
      </c>
      <c r="AA462" s="3">
        <v>15000</v>
      </c>
      <c r="AB462" s="1">
        <v>3473.9207000000001</v>
      </c>
    </row>
    <row r="463" spans="1:28" x14ac:dyDescent="0.25">
      <c r="A463" s="1">
        <v>462</v>
      </c>
      <c r="B463" s="2">
        <v>59657</v>
      </c>
      <c r="C463" s="1">
        <v>374.85750000000002</v>
      </c>
      <c r="D463" s="4">
        <f t="shared" si="14"/>
        <v>20.68153172720136</v>
      </c>
      <c r="E463" s="1">
        <v>163.7415</v>
      </c>
      <c r="F463" s="1">
        <v>241.98450000000003</v>
      </c>
      <c r="G463" s="4">
        <f t="shared" si="15"/>
        <v>59.462929641026811</v>
      </c>
      <c r="H463" s="1">
        <v>533.79449999999997</v>
      </c>
      <c r="I463" s="1">
        <v>314.565</v>
      </c>
      <c r="J463" s="1">
        <v>162.678</v>
      </c>
      <c r="K463" s="4">
        <f t="shared" si="19"/>
        <v>140.54775732193076</v>
      </c>
      <c r="L463" s="1">
        <v>215.1525</v>
      </c>
      <c r="M463" s="1">
        <v>323.05650000000003</v>
      </c>
      <c r="N463" s="4">
        <f t="shared" si="13"/>
        <v>3.5352893902294813</v>
      </c>
      <c r="O463" s="4">
        <f t="shared" si="18"/>
        <v>38.784079428130575</v>
      </c>
      <c r="P463" s="4">
        <f t="shared" si="17"/>
        <v>29.233433332735942</v>
      </c>
      <c r="Q463" s="4">
        <v>324.64949999999999</v>
      </c>
      <c r="R463" s="4">
        <f t="shared" si="16"/>
        <v>5.907382705786719</v>
      </c>
      <c r="S463" s="1">
        <v>231.5085</v>
      </c>
      <c r="T463" s="1">
        <v>321.822</v>
      </c>
      <c r="U463" s="1">
        <v>455.03250000000003</v>
      </c>
      <c r="V463" s="1">
        <v>379.59749999999997</v>
      </c>
      <c r="W463" s="1">
        <v>167.661</v>
      </c>
      <c r="X463" s="1">
        <v>483.96749999999997</v>
      </c>
      <c r="Y463" s="1">
        <v>368.46750000000003</v>
      </c>
      <c r="Z463" s="1">
        <v>139.41540000000001</v>
      </c>
      <c r="AA463" s="3">
        <v>15000</v>
      </c>
      <c r="AB463" s="1">
        <v>3467.9215999999997</v>
      </c>
    </row>
    <row r="464" spans="1:28" x14ac:dyDescent="0.25">
      <c r="A464" s="1">
        <v>463</v>
      </c>
      <c r="B464" s="2">
        <v>59688</v>
      </c>
      <c r="C464" s="1">
        <v>373.97399999999999</v>
      </c>
      <c r="D464" s="4">
        <f t="shared" si="14"/>
        <v>20.474716409929346</v>
      </c>
      <c r="E464" s="1">
        <v>163.09950000000001</v>
      </c>
      <c r="F464" s="1">
        <v>241.37549999999999</v>
      </c>
      <c r="G464" s="4">
        <f t="shared" si="15"/>
        <v>58.868300344616543</v>
      </c>
      <c r="H464" s="1">
        <v>533.88599999999997</v>
      </c>
      <c r="I464" s="1">
        <v>314.0745</v>
      </c>
      <c r="J464" s="1">
        <v>162.49950000000001</v>
      </c>
      <c r="K464" s="4">
        <f t="shared" si="19"/>
        <v>139.14227974871145</v>
      </c>
      <c r="L464" s="1">
        <v>214.95000000000002</v>
      </c>
      <c r="M464" s="1">
        <v>323.35050000000001</v>
      </c>
      <c r="N464" s="4">
        <f t="shared" si="13"/>
        <v>3.4999364963271864</v>
      </c>
      <c r="O464" s="4">
        <f t="shared" si="18"/>
        <v>38.396238633849272</v>
      </c>
      <c r="P464" s="4">
        <f t="shared" si="17"/>
        <v>28.941098999408581</v>
      </c>
      <c r="Q464" s="4">
        <v>324.58050000000003</v>
      </c>
      <c r="R464" s="4">
        <f t="shared" si="16"/>
        <v>5.8483088787288517</v>
      </c>
      <c r="S464" s="1">
        <v>231.07500000000002</v>
      </c>
      <c r="T464" s="1">
        <v>320.74950000000001</v>
      </c>
      <c r="U464" s="1">
        <v>454.39949999999999</v>
      </c>
      <c r="V464" s="1">
        <v>378.1995</v>
      </c>
      <c r="W464" s="1">
        <v>167.14950000000002</v>
      </c>
      <c r="X464" s="1">
        <v>482.70000000000005</v>
      </c>
      <c r="Y464" s="1">
        <v>367.97550000000001</v>
      </c>
      <c r="Z464" s="1">
        <v>138.73755</v>
      </c>
      <c r="AA464" s="3">
        <v>15000</v>
      </c>
      <c r="AB464" s="1">
        <v>3461.7806999999998</v>
      </c>
    </row>
    <row r="465" spans="1:28" x14ac:dyDescent="0.25">
      <c r="A465" s="1">
        <v>464</v>
      </c>
      <c r="B465" s="2">
        <v>59718</v>
      </c>
      <c r="C465" s="1">
        <v>372.96750000000003</v>
      </c>
      <c r="D465" s="4">
        <f t="shared" si="14"/>
        <v>20.269969245830051</v>
      </c>
      <c r="E465" s="1">
        <v>162.435</v>
      </c>
      <c r="F465" s="1">
        <v>240.774</v>
      </c>
      <c r="G465" s="4">
        <f t="shared" si="15"/>
        <v>58.279617341170379</v>
      </c>
      <c r="H465" s="1">
        <v>533.88900000000001</v>
      </c>
      <c r="I465" s="1">
        <v>313.548</v>
      </c>
      <c r="J465" s="1">
        <v>162.291</v>
      </c>
      <c r="K465" s="4">
        <f t="shared" si="19"/>
        <v>137.75085695122434</v>
      </c>
      <c r="L465" s="1">
        <v>214.791</v>
      </c>
      <c r="M465" s="1">
        <v>323.51549999999997</v>
      </c>
      <c r="N465" s="4">
        <f t="shared" ref="N465:N482" si="20">N464*0.99</f>
        <v>3.4649371313639143</v>
      </c>
      <c r="O465" s="4">
        <f t="shared" si="18"/>
        <v>38.012276247510776</v>
      </c>
      <c r="P465" s="4">
        <f t="shared" si="17"/>
        <v>28.651688009414496</v>
      </c>
      <c r="Q465" s="4">
        <v>324.47550000000001</v>
      </c>
      <c r="R465" s="4">
        <f t="shared" si="16"/>
        <v>5.7898257899415633</v>
      </c>
      <c r="S465" s="1">
        <v>230.709</v>
      </c>
      <c r="T465" s="1">
        <v>319.76549999999997</v>
      </c>
      <c r="U465" s="1">
        <v>453.822</v>
      </c>
      <c r="V465" s="1">
        <v>376.887</v>
      </c>
      <c r="W465" s="1">
        <v>166.6695</v>
      </c>
      <c r="X465" s="1">
        <v>481.452</v>
      </c>
      <c r="Y465" s="1">
        <v>367.488</v>
      </c>
      <c r="Z465" s="1">
        <v>138.12090000000001</v>
      </c>
      <c r="AA465" s="3">
        <v>15000</v>
      </c>
      <c r="AB465" s="1">
        <v>3455.6745999999994</v>
      </c>
    </row>
    <row r="466" spans="1:28" x14ac:dyDescent="0.25">
      <c r="A466" s="1">
        <v>465</v>
      </c>
      <c r="B466" s="2">
        <v>59749</v>
      </c>
      <c r="C466" s="1">
        <v>371.976</v>
      </c>
      <c r="D466" s="4">
        <f t="shared" si="14"/>
        <v>20.067269553371752</v>
      </c>
      <c r="E466" s="1">
        <v>161.8785</v>
      </c>
      <c r="F466" s="1">
        <v>240.21750000000003</v>
      </c>
      <c r="G466" s="4">
        <f t="shared" si="15"/>
        <v>57.696821167758678</v>
      </c>
      <c r="H466" s="1">
        <v>533.93550000000005</v>
      </c>
      <c r="I466" s="1">
        <v>313.065</v>
      </c>
      <c r="J466" s="1">
        <v>162.072</v>
      </c>
      <c r="K466" s="4">
        <f t="shared" si="19"/>
        <v>136.37334838171208</v>
      </c>
      <c r="L466" s="1">
        <v>214.5975</v>
      </c>
      <c r="M466" s="1">
        <v>323.685</v>
      </c>
      <c r="N466" s="4">
        <f t="shared" si="20"/>
        <v>3.430287760050275</v>
      </c>
      <c r="O466" s="4">
        <f t="shared" si="18"/>
        <v>37.632153485035666</v>
      </c>
      <c r="P466" s="4">
        <f t="shared" si="17"/>
        <v>28.365171129320352</v>
      </c>
      <c r="Q466" s="4">
        <v>324.387</v>
      </c>
      <c r="R466" s="4">
        <f t="shared" si="16"/>
        <v>5.7319275320421479</v>
      </c>
      <c r="S466" s="1">
        <v>230.37149999999997</v>
      </c>
      <c r="T466" s="1">
        <v>318.84749999999997</v>
      </c>
      <c r="U466" s="1">
        <v>453.14549999999997</v>
      </c>
      <c r="V466" s="1">
        <v>375.678</v>
      </c>
      <c r="W466" s="1">
        <v>166.209</v>
      </c>
      <c r="X466" s="1">
        <v>480.339</v>
      </c>
      <c r="Y466" s="1">
        <v>367.053</v>
      </c>
      <c r="Z466" s="1">
        <v>137.50409999999999</v>
      </c>
      <c r="AA466" s="3">
        <v>15000</v>
      </c>
      <c r="AB466" s="1">
        <v>3449.8774000000003</v>
      </c>
    </row>
    <row r="467" spans="1:28" x14ac:dyDescent="0.25">
      <c r="A467" s="1">
        <v>466</v>
      </c>
      <c r="B467" s="2">
        <v>59780</v>
      </c>
      <c r="C467" s="1">
        <v>371.23349999999999</v>
      </c>
      <c r="D467" s="4">
        <f t="shared" si="14"/>
        <v>19.866596857838033</v>
      </c>
      <c r="E467" s="1">
        <v>161.14350000000002</v>
      </c>
      <c r="F467" s="1">
        <v>239.59800000000001</v>
      </c>
      <c r="G467" s="4">
        <f t="shared" si="15"/>
        <v>57.11985295608109</v>
      </c>
      <c r="H467" s="1">
        <v>533.96100000000001</v>
      </c>
      <c r="I467" s="1">
        <v>312.375</v>
      </c>
      <c r="J467" s="1">
        <v>161.7585</v>
      </c>
      <c r="K467" s="4">
        <f t="shared" si="19"/>
        <v>135.00961489789495</v>
      </c>
      <c r="L467" s="1">
        <v>214.39350000000002</v>
      </c>
      <c r="M467" s="1">
        <v>323.83949999999999</v>
      </c>
      <c r="N467" s="4">
        <f t="shared" si="20"/>
        <v>3.3959848824497723</v>
      </c>
      <c r="O467" s="4">
        <f t="shared" si="18"/>
        <v>37.255831950185311</v>
      </c>
      <c r="P467" s="4">
        <f t="shared" si="17"/>
        <v>28.081519418027149</v>
      </c>
      <c r="Q467" s="4">
        <v>324.24149999999997</v>
      </c>
      <c r="R467" s="4">
        <f t="shared" si="16"/>
        <v>5.6746082567217266</v>
      </c>
      <c r="S467" s="1">
        <v>229.929</v>
      </c>
      <c r="T467" s="1">
        <v>317.73149999999998</v>
      </c>
      <c r="U467" s="1">
        <v>452.41050000000007</v>
      </c>
      <c r="V467" s="1">
        <v>374.25</v>
      </c>
      <c r="W467" s="1">
        <v>165.696</v>
      </c>
      <c r="X467" s="1">
        <v>478.98150000000004</v>
      </c>
      <c r="Y467" s="1">
        <v>366.48149999999998</v>
      </c>
      <c r="Z467" s="1">
        <v>136.82145</v>
      </c>
      <c r="AA467" s="3">
        <v>15000</v>
      </c>
      <c r="AB467" s="1">
        <v>3443.0333000000001</v>
      </c>
    </row>
    <row r="468" spans="1:28" x14ac:dyDescent="0.25">
      <c r="A468" s="1">
        <v>467</v>
      </c>
      <c r="B468" s="2">
        <v>59810</v>
      </c>
      <c r="C468" s="1">
        <v>370.27499999999998</v>
      </c>
      <c r="D468" s="4">
        <f t="shared" si="14"/>
        <v>19.667930889259651</v>
      </c>
      <c r="E468" s="1">
        <v>160.6215</v>
      </c>
      <c r="F468" s="1">
        <v>239.05650000000003</v>
      </c>
      <c r="G468" s="4">
        <f t="shared" si="15"/>
        <v>56.54865442652028</v>
      </c>
      <c r="H468" s="1">
        <v>534.03</v>
      </c>
      <c r="I468" s="1">
        <v>311.75850000000003</v>
      </c>
      <c r="J468" s="1">
        <v>161.4675</v>
      </c>
      <c r="K468" s="4">
        <f t="shared" si="19"/>
        <v>133.65951874891599</v>
      </c>
      <c r="L468" s="1">
        <v>214.23450000000003</v>
      </c>
      <c r="M468" s="1">
        <v>323.928</v>
      </c>
      <c r="N468" s="4">
        <f t="shared" si="20"/>
        <v>3.3620250336252746</v>
      </c>
      <c r="O468" s="4">
        <f t="shared" si="18"/>
        <v>36.883273630683455</v>
      </c>
      <c r="P468" s="4">
        <f t="shared" si="17"/>
        <v>27.800704223846878</v>
      </c>
      <c r="Q468" s="4">
        <v>323.94600000000003</v>
      </c>
      <c r="R468" s="4">
        <f t="shared" si="16"/>
        <v>5.6178621741545092</v>
      </c>
      <c r="S468" s="1">
        <v>229.5975</v>
      </c>
      <c r="T468" s="1">
        <v>316.863</v>
      </c>
      <c r="U468" s="1">
        <v>451.93500000000006</v>
      </c>
      <c r="V468" s="1">
        <v>373.161</v>
      </c>
      <c r="W468" s="1">
        <v>165.2415</v>
      </c>
      <c r="X468" s="1">
        <v>477.91949999999997</v>
      </c>
      <c r="Y468" s="1">
        <v>366.036</v>
      </c>
      <c r="Z468" s="1">
        <v>136.27019999999999</v>
      </c>
      <c r="AA468" s="3">
        <v>15000</v>
      </c>
      <c r="AB468" s="1">
        <v>3437.4197999999997</v>
      </c>
    </row>
    <row r="469" spans="1:28" x14ac:dyDescent="0.25">
      <c r="A469" s="1">
        <v>468</v>
      </c>
      <c r="B469" s="2">
        <v>59841</v>
      </c>
      <c r="C469" s="1">
        <v>369.43349999999998</v>
      </c>
      <c r="D469" s="4">
        <f t="shared" si="14"/>
        <v>19.471251580367053</v>
      </c>
      <c r="E469" s="1">
        <v>159.9255</v>
      </c>
      <c r="F469" s="1">
        <v>238.42499999999998</v>
      </c>
      <c r="G469" s="4">
        <f t="shared" si="15"/>
        <v>55.983167882255074</v>
      </c>
      <c r="H469" s="1">
        <v>534.08249999999998</v>
      </c>
      <c r="I469" s="1">
        <v>311.12549999999999</v>
      </c>
      <c r="J469" s="1">
        <v>161.14950000000002</v>
      </c>
      <c r="K469" s="4">
        <f t="shared" si="19"/>
        <v>132.32292356142682</v>
      </c>
      <c r="L469" s="1">
        <v>214.04999999999998</v>
      </c>
      <c r="M469" s="1">
        <v>324.07500000000005</v>
      </c>
      <c r="N469" s="4">
        <f t="shared" si="20"/>
        <v>3.328404783289022</v>
      </c>
      <c r="O469" s="4">
        <f t="shared" si="18"/>
        <v>36.514440894376619</v>
      </c>
      <c r="P469" s="4">
        <f t="shared" si="17"/>
        <v>27.522697181608411</v>
      </c>
      <c r="Q469" s="4">
        <v>323.73450000000003</v>
      </c>
      <c r="R469" s="4">
        <f t="shared" si="16"/>
        <v>5.5616835524129637</v>
      </c>
      <c r="S469" s="1">
        <v>229.20000000000002</v>
      </c>
      <c r="T469" s="1">
        <v>315.87450000000001</v>
      </c>
      <c r="U469" s="1">
        <v>451.20000000000005</v>
      </c>
      <c r="V469" s="1">
        <v>371.74950000000001</v>
      </c>
      <c r="W469" s="1">
        <v>164.8005</v>
      </c>
      <c r="X469" s="1">
        <v>476.65049999999997</v>
      </c>
      <c r="Y469" s="1">
        <v>365.48699999999997</v>
      </c>
      <c r="Z469" s="1">
        <v>135.61245</v>
      </c>
      <c r="AA469" s="3">
        <v>15000</v>
      </c>
      <c r="AB469" s="1">
        <v>3430.8443000000002</v>
      </c>
    </row>
    <row r="470" spans="1:28" x14ac:dyDescent="0.25">
      <c r="A470" s="1">
        <v>469</v>
      </c>
      <c r="B470" s="2">
        <v>59871</v>
      </c>
      <c r="C470" s="1">
        <v>368.47949999999997</v>
      </c>
      <c r="D470" s="4">
        <f t="shared" si="14"/>
        <v>19.276539064563384</v>
      </c>
      <c r="E470" s="1">
        <v>159.363</v>
      </c>
      <c r="F470" s="1">
        <v>237.9195</v>
      </c>
      <c r="G470" s="4">
        <f t="shared" si="15"/>
        <v>55.42333620343252</v>
      </c>
      <c r="H470" s="1">
        <v>534.10050000000001</v>
      </c>
      <c r="I470" s="1">
        <v>310.524</v>
      </c>
      <c r="J470" s="1">
        <v>160.887</v>
      </c>
      <c r="K470" s="4">
        <f t="shared" si="19"/>
        <v>130.99969432581256</v>
      </c>
      <c r="L470" s="1">
        <v>213.87149999999997</v>
      </c>
      <c r="M470" s="1">
        <v>324.12149999999997</v>
      </c>
      <c r="N470" s="4">
        <f t="shared" si="20"/>
        <v>3.2951207354561318</v>
      </c>
      <c r="O470" s="4">
        <f t="shared" si="18"/>
        <v>36.149296485432856</v>
      </c>
      <c r="P470" s="4">
        <f t="shared" si="17"/>
        <v>27.247470209792326</v>
      </c>
      <c r="Q470" s="4">
        <v>323.4255</v>
      </c>
      <c r="R470" s="4">
        <f t="shared" si="16"/>
        <v>5.5060667168888342</v>
      </c>
      <c r="S470" s="1">
        <v>228.8475</v>
      </c>
      <c r="T470" s="1">
        <v>314.928</v>
      </c>
      <c r="U470" s="1">
        <v>450.62849999999997</v>
      </c>
      <c r="V470" s="1">
        <v>370.548</v>
      </c>
      <c r="W470" s="1">
        <v>164.3475</v>
      </c>
      <c r="X470" s="1">
        <v>475.5</v>
      </c>
      <c r="Y470" s="1">
        <v>364.97249999999997</v>
      </c>
      <c r="Z470" s="1">
        <v>135.03629999999998</v>
      </c>
      <c r="AA470" s="3">
        <v>15000</v>
      </c>
      <c r="AB470" s="1">
        <v>3424.8512000000001</v>
      </c>
    </row>
    <row r="471" spans="1:28" x14ac:dyDescent="0.25">
      <c r="A471" s="1">
        <v>470</v>
      </c>
      <c r="B471" s="2">
        <v>59902</v>
      </c>
      <c r="C471" s="1">
        <v>367.6755</v>
      </c>
      <c r="D471" s="4">
        <f t="shared" si="14"/>
        <v>19.083773673917751</v>
      </c>
      <c r="E471" s="1">
        <v>158.72549999999998</v>
      </c>
      <c r="F471" s="1">
        <v>237.29999999999998</v>
      </c>
      <c r="G471" s="4">
        <f t="shared" si="15"/>
        <v>54.869102841398195</v>
      </c>
      <c r="H471" s="1">
        <v>534.13049999999998</v>
      </c>
      <c r="I471" s="1">
        <v>309.89999999999998</v>
      </c>
      <c r="J471" s="1">
        <v>160.57499999999999</v>
      </c>
      <c r="K471" s="4">
        <f t="shared" si="19"/>
        <v>129.68969738255444</v>
      </c>
      <c r="L471" s="1">
        <v>213.67499999999998</v>
      </c>
      <c r="M471" s="1">
        <v>324.1755</v>
      </c>
      <c r="N471" s="4">
        <f t="shared" si="20"/>
        <v>3.2621695281015706</v>
      </c>
      <c r="O471" s="4">
        <f t="shared" si="18"/>
        <v>35.787803520578528</v>
      </c>
      <c r="P471" s="4">
        <f t="shared" si="17"/>
        <v>26.974995507694402</v>
      </c>
      <c r="Q471" s="4">
        <v>323.202</v>
      </c>
      <c r="R471" s="4">
        <f t="shared" si="16"/>
        <v>5.451006049719946</v>
      </c>
      <c r="S471" s="1">
        <v>228.42449999999997</v>
      </c>
      <c r="T471" s="1">
        <v>313.97550000000001</v>
      </c>
      <c r="U471" s="1">
        <v>450</v>
      </c>
      <c r="V471" s="1">
        <v>369.29999999999995</v>
      </c>
      <c r="W471" s="1">
        <v>163.84950000000001</v>
      </c>
      <c r="X471" s="1">
        <v>474.19949999999994</v>
      </c>
      <c r="Y471" s="1">
        <v>364.39949999999999</v>
      </c>
      <c r="Z471" s="1">
        <v>134.39999999999998</v>
      </c>
      <c r="AA471" s="3">
        <v>15000</v>
      </c>
      <c r="AB471" s="1">
        <v>3418.4539999999993</v>
      </c>
    </row>
    <row r="472" spans="1:28" x14ac:dyDescent="0.25">
      <c r="A472" s="1">
        <v>471</v>
      </c>
      <c r="B472" s="2">
        <v>59933</v>
      </c>
      <c r="C472" s="1">
        <v>366.77850000000001</v>
      </c>
      <c r="D472" s="4">
        <f t="shared" si="14"/>
        <v>18.892935937178574</v>
      </c>
      <c r="E472" s="1">
        <v>158.1285</v>
      </c>
      <c r="F472" s="1">
        <v>236.73450000000003</v>
      </c>
      <c r="G472" s="4">
        <f t="shared" si="15"/>
        <v>54.320411812984212</v>
      </c>
      <c r="H472" s="1">
        <v>534.17250000000001</v>
      </c>
      <c r="I472" s="1">
        <v>309.26549999999997</v>
      </c>
      <c r="J472" s="1">
        <v>160.2585</v>
      </c>
      <c r="K472" s="4">
        <f t="shared" si="19"/>
        <v>128.3928004087289</v>
      </c>
      <c r="L472" s="1">
        <v>213.5085</v>
      </c>
      <c r="M472" s="1">
        <v>324.24149999999997</v>
      </c>
      <c r="N472" s="4">
        <f t="shared" si="20"/>
        <v>3.2295478328205549</v>
      </c>
      <c r="O472" s="4">
        <f t="shared" si="18"/>
        <v>35.429925485372742</v>
      </c>
      <c r="P472" s="4">
        <f t="shared" si="17"/>
        <v>26.705245552617459</v>
      </c>
      <c r="Q472" s="4">
        <v>322.97550000000001</v>
      </c>
      <c r="R472" s="4">
        <f t="shared" si="16"/>
        <v>5.3964959892227462</v>
      </c>
      <c r="S472" s="1">
        <v>228.072</v>
      </c>
      <c r="T472" s="1">
        <v>313.041</v>
      </c>
      <c r="U472" s="1">
        <v>449.37150000000003</v>
      </c>
      <c r="V472" s="1">
        <v>367.98450000000003</v>
      </c>
      <c r="W472" s="1">
        <v>163.4025</v>
      </c>
      <c r="X472" s="1">
        <v>473.03250000000003</v>
      </c>
      <c r="Y472" s="1">
        <v>363.85950000000003</v>
      </c>
      <c r="Z472" s="1">
        <v>133.81455</v>
      </c>
      <c r="AA472" s="3">
        <v>15000</v>
      </c>
      <c r="AB472" s="1">
        <v>3412.2716999999998</v>
      </c>
    </row>
    <row r="473" spans="1:28" x14ac:dyDescent="0.25">
      <c r="A473" s="1">
        <v>472</v>
      </c>
      <c r="B473" s="2">
        <v>59962</v>
      </c>
      <c r="C473" s="1">
        <v>365.83350000000002</v>
      </c>
      <c r="D473" s="4">
        <f t="shared" si="14"/>
        <v>18.704006577806787</v>
      </c>
      <c r="E473" s="1">
        <v>157.548</v>
      </c>
      <c r="F473" s="1">
        <v>236.178</v>
      </c>
      <c r="G473" s="4">
        <f t="shared" si="15"/>
        <v>53.777207694854368</v>
      </c>
      <c r="H473" s="1">
        <v>534.24299999999994</v>
      </c>
      <c r="I473" s="1">
        <v>308.685</v>
      </c>
      <c r="J473" s="1">
        <v>159.9675</v>
      </c>
      <c r="K473" s="4">
        <f t="shared" si="19"/>
        <v>127.10887240464162</v>
      </c>
      <c r="L473" s="1">
        <v>213.339</v>
      </c>
      <c r="M473" s="1">
        <v>324.291</v>
      </c>
      <c r="N473" s="4">
        <f t="shared" si="20"/>
        <v>3.1972523544923495</v>
      </c>
      <c r="O473" s="4">
        <f t="shared" si="18"/>
        <v>35.075626230519013</v>
      </c>
      <c r="P473" s="4">
        <f t="shared" si="17"/>
        <v>26.438193097091283</v>
      </c>
      <c r="Q473" s="4">
        <v>322.74149999999997</v>
      </c>
      <c r="R473" s="4">
        <f t="shared" si="16"/>
        <v>5.3425310293305186</v>
      </c>
      <c r="S473" s="1">
        <v>227.685</v>
      </c>
      <c r="T473" s="1">
        <v>312.14550000000003</v>
      </c>
      <c r="U473" s="1">
        <v>448.839</v>
      </c>
      <c r="V473" s="1">
        <v>366.822</v>
      </c>
      <c r="W473" s="1">
        <v>162.9675</v>
      </c>
      <c r="X473" s="1">
        <v>471.822</v>
      </c>
      <c r="Y473" s="1">
        <v>363.291</v>
      </c>
      <c r="Z473" s="1">
        <v>133.23390000000001</v>
      </c>
      <c r="AA473" s="3">
        <v>15000</v>
      </c>
      <c r="AB473" s="1">
        <v>3406.2766000000001</v>
      </c>
    </row>
    <row r="474" spans="1:28" x14ac:dyDescent="0.25">
      <c r="A474" s="1">
        <v>473</v>
      </c>
      <c r="B474" s="2">
        <v>59993</v>
      </c>
      <c r="C474" s="1">
        <v>365.0385</v>
      </c>
      <c r="D474" s="4">
        <f t="shared" si="14"/>
        <v>18.51696651202872</v>
      </c>
      <c r="E474" s="1">
        <v>156.9255</v>
      </c>
      <c r="F474" s="1">
        <v>235.60050000000001</v>
      </c>
      <c r="G474" s="4">
        <f t="shared" si="15"/>
        <v>53.239435617905826</v>
      </c>
      <c r="H474" s="1">
        <v>534.27750000000003</v>
      </c>
      <c r="I474" s="1">
        <v>308.0745</v>
      </c>
      <c r="J474" s="1">
        <v>159.67500000000001</v>
      </c>
      <c r="K474" s="4">
        <f t="shared" si="19"/>
        <v>125.83778368059519</v>
      </c>
      <c r="L474" s="1">
        <v>213.14999999999998</v>
      </c>
      <c r="M474" s="1">
        <v>324.34950000000003</v>
      </c>
      <c r="N474" s="4">
        <f t="shared" si="20"/>
        <v>3.1652798309474259</v>
      </c>
      <c r="O474" s="4">
        <f t="shared" si="18"/>
        <v>34.724869968213824</v>
      </c>
      <c r="P474" s="4">
        <f t="shared" si="17"/>
        <v>26.17381116612037</v>
      </c>
      <c r="Q474" s="4">
        <v>322.524</v>
      </c>
      <c r="R474" s="4">
        <f t="shared" si="16"/>
        <v>5.289105719037213</v>
      </c>
      <c r="S474" s="1">
        <v>227.29949999999997</v>
      </c>
      <c r="T474" s="1">
        <v>311.17499999999995</v>
      </c>
      <c r="U474" s="1">
        <v>448.15049999999997</v>
      </c>
      <c r="V474" s="1">
        <v>365.59950000000003</v>
      </c>
      <c r="W474" s="1">
        <v>162.47549999999998</v>
      </c>
      <c r="X474" s="1">
        <v>470.59950000000003</v>
      </c>
      <c r="Y474" s="1">
        <v>362.68799999999999</v>
      </c>
      <c r="Z474" s="1">
        <v>132.61245</v>
      </c>
      <c r="AA474" s="3">
        <v>15000</v>
      </c>
      <c r="AB474" s="1">
        <v>3399.9942999999998</v>
      </c>
    </row>
    <row r="475" spans="1:28" x14ac:dyDescent="0.25">
      <c r="A475" s="1">
        <v>474</v>
      </c>
      <c r="B475" s="2">
        <v>60023</v>
      </c>
      <c r="C475" s="1">
        <v>364.13249999999999</v>
      </c>
      <c r="D475" s="4">
        <f t="shared" si="14"/>
        <v>18.331796846908432</v>
      </c>
      <c r="E475" s="1">
        <v>156.363</v>
      </c>
      <c r="F475" s="1">
        <v>235.01549999999997</v>
      </c>
      <c r="G475" s="4">
        <f t="shared" si="15"/>
        <v>52.707041261726765</v>
      </c>
      <c r="H475" s="1">
        <v>534.31349999999998</v>
      </c>
      <c r="I475" s="1">
        <v>307.5</v>
      </c>
      <c r="J475" s="1">
        <v>159.387</v>
      </c>
      <c r="K475" s="4">
        <f t="shared" si="19"/>
        <v>124.57940584378925</v>
      </c>
      <c r="L475" s="1">
        <v>212.976</v>
      </c>
      <c r="M475" s="1">
        <v>324.363</v>
      </c>
      <c r="N475" s="4">
        <f t="shared" si="20"/>
        <v>3.1336270326379516</v>
      </c>
      <c r="O475" s="4">
        <f t="shared" si="18"/>
        <v>34.377621268531684</v>
      </c>
      <c r="P475" s="4">
        <f t="shared" si="17"/>
        <v>25.912073054459167</v>
      </c>
      <c r="Q475" s="4">
        <v>322.3005</v>
      </c>
      <c r="R475" s="4">
        <f t="shared" si="16"/>
        <v>5.2362146618468408</v>
      </c>
      <c r="S475" s="1">
        <v>226.911</v>
      </c>
      <c r="T475" s="1">
        <v>310.33050000000003</v>
      </c>
      <c r="U475" s="1">
        <v>447.53250000000003</v>
      </c>
      <c r="V475" s="1">
        <v>364.40250000000003</v>
      </c>
      <c r="W475" s="1">
        <v>162.0975</v>
      </c>
      <c r="X475" s="1">
        <v>469.40250000000003</v>
      </c>
      <c r="Y475" s="1">
        <v>362.14049999999997</v>
      </c>
      <c r="Z475" s="1">
        <v>132.07259999999999</v>
      </c>
      <c r="AA475" s="3">
        <v>15000</v>
      </c>
      <c r="AB475" s="1">
        <v>3394.0194000000001</v>
      </c>
    </row>
    <row r="476" spans="1:28" x14ac:dyDescent="0.25">
      <c r="A476" s="1">
        <v>475</v>
      </c>
      <c r="B476" s="2">
        <v>60054</v>
      </c>
      <c r="C476" s="1">
        <v>363.28199999999998</v>
      </c>
      <c r="D476" s="4">
        <f t="shared" si="14"/>
        <v>18.148478878439349</v>
      </c>
      <c r="E476" s="1">
        <f>E475*0.99</f>
        <v>154.79937000000001</v>
      </c>
      <c r="F476" s="1">
        <v>234.52499999999998</v>
      </c>
      <c r="G476" s="4">
        <f t="shared" si="15"/>
        <v>52.179970849109495</v>
      </c>
      <c r="H476" s="1">
        <v>534.375</v>
      </c>
      <c r="I476" s="1">
        <v>307.75049999999999</v>
      </c>
      <c r="J476" s="1">
        <v>159.07499999999999</v>
      </c>
      <c r="K476" s="4">
        <f t="shared" si="19"/>
        <v>123.33361178535135</v>
      </c>
      <c r="L476" s="1">
        <v>212.77499999999998</v>
      </c>
      <c r="M476" s="1">
        <v>324.32550000000003</v>
      </c>
      <c r="N476" s="4">
        <f t="shared" si="20"/>
        <v>3.1022907623115721</v>
      </c>
      <c r="O476" s="4">
        <f t="shared" si="18"/>
        <v>34.033845055846363</v>
      </c>
      <c r="P476" s="4">
        <f t="shared" si="17"/>
        <v>25.652952323914576</v>
      </c>
      <c r="Q476" s="4">
        <v>322.089</v>
      </c>
      <c r="R476" s="4">
        <f t="shared" si="16"/>
        <v>5.1838525152283728</v>
      </c>
      <c r="S476" s="1">
        <v>227.625</v>
      </c>
      <c r="T476" s="1">
        <v>308.95050000000003</v>
      </c>
      <c r="U476" s="1">
        <v>446.95049999999998</v>
      </c>
      <c r="V476" s="1">
        <v>363.1995</v>
      </c>
      <c r="W476" s="1">
        <v>161.59950000000001</v>
      </c>
      <c r="X476" s="1">
        <v>468.25049999999999</v>
      </c>
      <c r="Y476" s="1">
        <v>361.53750000000002</v>
      </c>
      <c r="Z476" s="1">
        <v>132.01245</v>
      </c>
      <c r="AA476" s="3">
        <v>15000</v>
      </c>
      <c r="AB476" s="1">
        <v>3293.0223000000001</v>
      </c>
    </row>
    <row r="477" spans="1:28" x14ac:dyDescent="0.25">
      <c r="A477" s="1">
        <v>476</v>
      </c>
      <c r="B477" s="2">
        <v>60084</v>
      </c>
      <c r="C477" s="1">
        <v>362.43</v>
      </c>
      <c r="D477" s="4">
        <f t="shared" si="14"/>
        <v>17.966994089654953</v>
      </c>
      <c r="E477" s="4">
        <f t="shared" ref="E477:E482" si="21">E476*0.99</f>
        <v>153.2513763</v>
      </c>
      <c r="F477" s="1">
        <v>233.976</v>
      </c>
      <c r="G477" s="4">
        <f t="shared" si="15"/>
        <v>51.6581711406184</v>
      </c>
      <c r="H477" s="1">
        <v>534.40800000000002</v>
      </c>
      <c r="I477" s="1">
        <v>308.08050000000003</v>
      </c>
      <c r="J477" s="1">
        <v>158.661</v>
      </c>
      <c r="K477" s="4">
        <f t="shared" si="19"/>
        <v>122.10027566749784</v>
      </c>
      <c r="L477" s="1">
        <v>212.78249999999997</v>
      </c>
      <c r="M477" s="1">
        <v>324.459</v>
      </c>
      <c r="N477" s="4">
        <f t="shared" si="20"/>
        <v>3.0712678546884562</v>
      </c>
      <c r="O477" s="4">
        <f t="shared" si="18"/>
        <v>33.693506605287901</v>
      </c>
      <c r="P477" s="4">
        <f t="shared" si="17"/>
        <v>25.396422800675431</v>
      </c>
      <c r="Q477" s="4">
        <v>322.875</v>
      </c>
      <c r="R477" s="4">
        <f t="shared" si="16"/>
        <v>5.1320139900760893</v>
      </c>
      <c r="S477" s="1">
        <v>228.315</v>
      </c>
      <c r="T477" s="1">
        <v>307.64550000000003</v>
      </c>
      <c r="U477" s="1">
        <v>446.322</v>
      </c>
      <c r="V477" s="1">
        <v>361.98450000000003</v>
      </c>
      <c r="W477" s="1">
        <v>161.1525</v>
      </c>
      <c r="X477" s="1">
        <v>466.98449999999997</v>
      </c>
      <c r="Y477" s="1">
        <v>360.93150000000003</v>
      </c>
      <c r="Z477" s="1">
        <v>131.86695</v>
      </c>
      <c r="AA477" s="3">
        <v>15000</v>
      </c>
      <c r="AB477" s="1">
        <v>3282.5052999999998</v>
      </c>
    </row>
    <row r="478" spans="1:28" x14ac:dyDescent="0.25">
      <c r="A478" s="1">
        <v>477</v>
      </c>
      <c r="B478" s="2">
        <v>60115</v>
      </c>
      <c r="C478" s="1">
        <v>361.6275</v>
      </c>
      <c r="D478" s="4">
        <f t="shared" si="14"/>
        <v>17.787324148758405</v>
      </c>
      <c r="E478" s="4">
        <f t="shared" si="21"/>
        <v>151.71886253700001</v>
      </c>
      <c r="F478" s="1">
        <v>233.46750000000003</v>
      </c>
      <c r="G478" s="4">
        <f t="shared" si="15"/>
        <v>51.141589429212218</v>
      </c>
      <c r="H478" s="1">
        <v>534.4559999999999</v>
      </c>
      <c r="I478" s="1">
        <v>308.202</v>
      </c>
      <c r="J478" s="1">
        <v>158.202</v>
      </c>
      <c r="K478" s="4">
        <f t="shared" si="19"/>
        <v>120.87927291082286</v>
      </c>
      <c r="L478" s="1">
        <v>212.80650000000003</v>
      </c>
      <c r="M478" s="1">
        <v>324.702</v>
      </c>
      <c r="N478" s="4">
        <f t="shared" si="20"/>
        <v>3.0405551761415714</v>
      </c>
      <c r="O478" s="4">
        <f t="shared" si="18"/>
        <v>33.35657153923502</v>
      </c>
      <c r="P478" s="4">
        <f t="shared" si="17"/>
        <v>25.142458572668676</v>
      </c>
      <c r="Q478" s="4">
        <v>323.75850000000003</v>
      </c>
      <c r="R478" s="4">
        <f t="shared" si="16"/>
        <v>5.0806938501753285</v>
      </c>
      <c r="S478" s="1">
        <v>228.363</v>
      </c>
      <c r="T478" s="1">
        <v>306.55650000000003</v>
      </c>
      <c r="U478" s="1">
        <v>445.74149999999997</v>
      </c>
      <c r="V478" s="1">
        <v>360.91949999999997</v>
      </c>
      <c r="W478" s="1">
        <v>160.7655</v>
      </c>
      <c r="X478" s="1">
        <v>465.87150000000003</v>
      </c>
      <c r="Y478" s="1">
        <v>360.315</v>
      </c>
      <c r="Z478" s="1">
        <v>131.47980000000001</v>
      </c>
      <c r="AA478" s="3">
        <v>15000</v>
      </c>
      <c r="AB478" s="1">
        <v>3278.6562000000004</v>
      </c>
    </row>
    <row r="479" spans="1:28" x14ac:dyDescent="0.25">
      <c r="A479" s="1">
        <v>478</v>
      </c>
      <c r="B479" s="2">
        <v>60146</v>
      </c>
      <c r="C479" s="1">
        <v>360.70499999999998</v>
      </c>
      <c r="D479" s="4">
        <f t="shared" ref="D479:D482" si="22">D478*0.99</f>
        <v>17.609450907270819</v>
      </c>
      <c r="E479" s="4">
        <f t="shared" si="21"/>
        <v>150.20167391163</v>
      </c>
      <c r="F479" s="1">
        <v>232.86150000000004</v>
      </c>
      <c r="G479" s="4">
        <f t="shared" si="15"/>
        <v>50.630173534920097</v>
      </c>
      <c r="H479" s="1">
        <v>534.51599999999996</v>
      </c>
      <c r="I479" s="1">
        <v>308.04300000000001</v>
      </c>
      <c r="J479" s="1">
        <v>157.81049999999999</v>
      </c>
      <c r="K479" s="4">
        <f t="shared" si="19"/>
        <v>119.67048018171464</v>
      </c>
      <c r="L479" s="1">
        <v>212.81849999999997</v>
      </c>
      <c r="M479" s="1">
        <v>325.03499999999997</v>
      </c>
      <c r="N479" s="4">
        <f t="shared" si="20"/>
        <v>3.0101496243801558</v>
      </c>
      <c r="O479" s="4">
        <f t="shared" si="18"/>
        <v>33.023005823842666</v>
      </c>
      <c r="P479" s="4">
        <f t="shared" si="17"/>
        <v>24.891033986941988</v>
      </c>
      <c r="Q479" s="4">
        <v>324.50850000000003</v>
      </c>
      <c r="R479" s="4">
        <f t="shared" si="16"/>
        <v>5.0298869116735752</v>
      </c>
      <c r="S479" s="1">
        <v>228</v>
      </c>
      <c r="T479" s="1">
        <v>305.66399999999999</v>
      </c>
      <c r="U479" s="1">
        <v>444.98249999999996</v>
      </c>
      <c r="V479" s="1">
        <v>359.79300000000001</v>
      </c>
      <c r="W479" s="1">
        <v>160.24200000000002</v>
      </c>
      <c r="X479" s="1">
        <v>464.48249999999996</v>
      </c>
      <c r="Y479" s="1">
        <v>359.65049999999997</v>
      </c>
      <c r="Z479" s="1">
        <v>130.9008</v>
      </c>
      <c r="AA479" s="3">
        <v>15000</v>
      </c>
      <c r="AB479" s="1">
        <v>3273.7442000000001</v>
      </c>
    </row>
    <row r="480" spans="1:28" x14ac:dyDescent="0.25">
      <c r="A480" s="1">
        <v>479</v>
      </c>
      <c r="B480" s="2">
        <v>60176</v>
      </c>
      <c r="C480" s="1">
        <v>359.92649999999998</v>
      </c>
      <c r="D480" s="4">
        <f t="shared" si="22"/>
        <v>17.433356398198111</v>
      </c>
      <c r="E480" s="4">
        <f t="shared" si="21"/>
        <v>148.6996571725137</v>
      </c>
      <c r="F480" s="1">
        <v>232.3305</v>
      </c>
      <c r="G480" s="4">
        <f t="shared" ref="G480:G482" si="23">G479*0.99</f>
        <v>50.123871799570892</v>
      </c>
      <c r="H480" s="1">
        <v>534.52649999999994</v>
      </c>
      <c r="I480" s="1">
        <v>307.66949999999997</v>
      </c>
      <c r="J480" s="1">
        <v>157.548</v>
      </c>
      <c r="K480" s="4">
        <f t="shared" si="19"/>
        <v>118.47377537989749</v>
      </c>
      <c r="L480" s="1">
        <v>212.73450000000003</v>
      </c>
      <c r="M480" s="1">
        <v>325.23450000000003</v>
      </c>
      <c r="N480" s="4">
        <f t="shared" si="20"/>
        <v>2.980048128136354</v>
      </c>
      <c r="O480" s="4">
        <f t="shared" si="18"/>
        <v>32.692775765604239</v>
      </c>
      <c r="P480" s="4">
        <f t="shared" si="17"/>
        <v>24.64212364707257</v>
      </c>
      <c r="Q480" s="4">
        <v>325.11150000000004</v>
      </c>
      <c r="R480" s="4">
        <f t="shared" si="16"/>
        <v>4.9795880425568395</v>
      </c>
      <c r="S480" s="1">
        <v>227.39550000000003</v>
      </c>
      <c r="T480" s="1">
        <v>305.03249999999997</v>
      </c>
      <c r="U480" s="1">
        <v>444.43500000000006</v>
      </c>
      <c r="V480" s="1">
        <v>358.69349999999997</v>
      </c>
      <c r="W480" s="1">
        <v>159.8475</v>
      </c>
      <c r="X480" s="1">
        <v>463.452</v>
      </c>
      <c r="Y480" s="1">
        <v>359.10449999999997</v>
      </c>
      <c r="Z480" s="1">
        <v>130.29435000000001</v>
      </c>
      <c r="AA480" s="3">
        <v>15000</v>
      </c>
      <c r="AB480" s="1">
        <v>3269.0048999999999</v>
      </c>
    </row>
    <row r="481" spans="1:28" x14ac:dyDescent="0.25">
      <c r="A481" s="1">
        <v>480</v>
      </c>
      <c r="B481" s="2">
        <v>60207</v>
      </c>
      <c r="C481" s="1">
        <v>277.48950000000002</v>
      </c>
      <c r="D481" s="4">
        <f t="shared" si="22"/>
        <v>17.259022834216129</v>
      </c>
      <c r="E481" s="4">
        <f t="shared" si="21"/>
        <v>147.21266060078855</v>
      </c>
      <c r="F481" s="1">
        <v>231.75</v>
      </c>
      <c r="G481" s="4">
        <f t="shared" si="23"/>
        <v>49.622633081575181</v>
      </c>
      <c r="H481" s="1">
        <v>534.56999999999994</v>
      </c>
      <c r="I481" s="1">
        <v>307.09950000000003</v>
      </c>
      <c r="J481" s="1">
        <v>157.3245</v>
      </c>
      <c r="K481" s="4">
        <f t="shared" si="19"/>
        <v>117.28903762609852</v>
      </c>
      <c r="L481" s="1">
        <v>212.625</v>
      </c>
      <c r="M481" s="1">
        <v>325.39949999999999</v>
      </c>
      <c r="N481" s="4">
        <f t="shared" si="20"/>
        <v>2.9502476468549905</v>
      </c>
      <c r="O481" s="4">
        <f t="shared" si="18"/>
        <v>32.365848007948195</v>
      </c>
      <c r="P481" s="4">
        <f t="shared" si="17"/>
        <v>24.395702410601842</v>
      </c>
      <c r="Q481" s="4">
        <v>325.28249999999997</v>
      </c>
      <c r="R481" s="4">
        <f t="shared" si="16"/>
        <v>4.929792162131271</v>
      </c>
      <c r="S481" s="1">
        <v>226.62450000000001</v>
      </c>
      <c r="T481" s="1">
        <v>304.37549999999999</v>
      </c>
      <c r="U481" s="1">
        <v>443.74950000000001</v>
      </c>
      <c r="V481" s="1">
        <v>357.6</v>
      </c>
      <c r="W481" s="1">
        <v>159.375</v>
      </c>
      <c r="X481" s="1">
        <v>462.29999999999995</v>
      </c>
      <c r="Y481" s="1">
        <v>358.53750000000002</v>
      </c>
      <c r="Z481" s="1">
        <v>129.57495</v>
      </c>
      <c r="AA481" s="3">
        <v>15000</v>
      </c>
      <c r="AB481" s="1">
        <v>3209.1302999999998</v>
      </c>
    </row>
    <row r="482" spans="1:28" x14ac:dyDescent="0.25">
      <c r="A482" s="1">
        <v>481</v>
      </c>
      <c r="B482" s="2">
        <v>60237</v>
      </c>
      <c r="C482" s="1">
        <v>296.41800000000001</v>
      </c>
      <c r="D482" s="4">
        <f t="shared" si="22"/>
        <v>17.086432605873966</v>
      </c>
      <c r="E482" s="4">
        <f t="shared" si="21"/>
        <v>145.74053399478066</v>
      </c>
      <c r="F482" s="1">
        <v>231.2415</v>
      </c>
      <c r="G482" s="4">
        <f t="shared" si="23"/>
        <v>49.126406750759429</v>
      </c>
      <c r="H482" s="1">
        <v>534.59699999999998</v>
      </c>
      <c r="I482" s="1">
        <v>306.459</v>
      </c>
      <c r="J482" s="1">
        <v>157.161</v>
      </c>
      <c r="K482" s="4">
        <f t="shared" si="19"/>
        <v>116.11614724983754</v>
      </c>
      <c r="L482" s="1">
        <v>212.44349999999997</v>
      </c>
      <c r="M482" s="1">
        <v>325.524</v>
      </c>
      <c r="N482" s="4">
        <f t="shared" si="20"/>
        <v>2.9207451703864407</v>
      </c>
      <c r="O482" s="4">
        <f t="shared" si="18"/>
        <v>32.042189527868715</v>
      </c>
      <c r="P482" s="4">
        <f t="shared" si="17"/>
        <v>24.151745386495822</v>
      </c>
      <c r="Q482" s="4">
        <v>325.3005</v>
      </c>
      <c r="R482" s="4">
        <f t="shared" si="16"/>
        <v>4.8804942405099583</v>
      </c>
      <c r="S482" s="1">
        <v>225.94349999999997</v>
      </c>
      <c r="T482" s="1">
        <v>303.75</v>
      </c>
      <c r="U482" s="1">
        <v>443.12849999999997</v>
      </c>
      <c r="V482" s="1">
        <v>356.613</v>
      </c>
      <c r="W482" s="1">
        <v>158.9025</v>
      </c>
      <c r="X482" s="1">
        <v>461.178</v>
      </c>
      <c r="Y482" s="1">
        <v>358.053</v>
      </c>
      <c r="Z482" s="1">
        <v>128.89109999999999</v>
      </c>
      <c r="AA482" s="3">
        <v>15000</v>
      </c>
      <c r="AB482" s="1">
        <v>3216.9124000000006</v>
      </c>
    </row>
    <row r="483" spans="1:28" x14ac:dyDescent="0.25">
      <c r="A483" s="1"/>
      <c r="B483" s="2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4"/>
      <c r="R483" s="1"/>
      <c r="S483" s="1"/>
      <c r="T483" s="1"/>
      <c r="U483" s="1"/>
      <c r="V483" s="1"/>
      <c r="W483" s="1"/>
      <c r="X483" s="1"/>
      <c r="Y483" s="1"/>
      <c r="Z483" s="1"/>
      <c r="AA483" s="3"/>
      <c r="AB483" s="1"/>
    </row>
    <row r="484" spans="1:28" x14ac:dyDescent="0.25">
      <c r="A484" s="1"/>
      <c r="B484" s="2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3"/>
      <c r="AB484" s="1"/>
    </row>
    <row r="485" spans="1:28" x14ac:dyDescent="0.25">
      <c r="A485" s="1"/>
      <c r="B485" s="2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3"/>
      <c r="AB485" s="1"/>
    </row>
    <row r="486" spans="1:28" x14ac:dyDescent="0.25">
      <c r="A486" s="1"/>
      <c r="B486" s="2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3"/>
      <c r="AB486" s="1"/>
    </row>
    <row r="487" spans="1:28" x14ac:dyDescent="0.25">
      <c r="A487" s="1"/>
      <c r="B487" s="2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3"/>
      <c r="AB487" s="1"/>
    </row>
    <row r="488" spans="1:28" x14ac:dyDescent="0.25">
      <c r="A488" s="1"/>
      <c r="B488" s="2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3"/>
      <c r="AB488" s="1"/>
    </row>
    <row r="489" spans="1:28" x14ac:dyDescent="0.25">
      <c r="A489" s="1"/>
      <c r="B489" s="2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3"/>
      <c r="AB489" s="1"/>
    </row>
    <row r="490" spans="1:28" x14ac:dyDescent="0.25">
      <c r="A490" s="1"/>
      <c r="B490" s="2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3"/>
      <c r="AB490" s="1"/>
    </row>
    <row r="491" spans="1:28" x14ac:dyDescent="0.25">
      <c r="A491" s="1"/>
      <c r="B491" s="2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3"/>
      <c r="AB491" s="1"/>
    </row>
    <row r="492" spans="1:28" x14ac:dyDescent="0.25">
      <c r="A492" s="1"/>
      <c r="B492" s="2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3"/>
      <c r="AB492" s="1"/>
    </row>
    <row r="493" spans="1:28" x14ac:dyDescent="0.25">
      <c r="A493" s="1"/>
      <c r="B493" s="2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3"/>
      <c r="AB493" s="1"/>
    </row>
    <row r="494" spans="1:28" x14ac:dyDescent="0.25">
      <c r="A494" s="1"/>
      <c r="B494" s="2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3"/>
      <c r="AB494" s="1"/>
    </row>
    <row r="495" spans="1:28" x14ac:dyDescent="0.25">
      <c r="A495" s="1"/>
      <c r="B495" s="2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3"/>
      <c r="AB495" s="1"/>
    </row>
    <row r="496" spans="1:28" x14ac:dyDescent="0.25">
      <c r="A496" s="1"/>
      <c r="B496" s="2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3"/>
      <c r="AB496" s="1"/>
    </row>
    <row r="497" spans="1:28" x14ac:dyDescent="0.25">
      <c r="A497" s="1"/>
      <c r="B497" s="2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3"/>
      <c r="AB497" s="1"/>
    </row>
    <row r="498" spans="1:28" x14ac:dyDescent="0.25">
      <c r="A498" s="1"/>
      <c r="B498" s="2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3"/>
      <c r="AB498" s="1"/>
    </row>
    <row r="499" spans="1:28" x14ac:dyDescent="0.25">
      <c r="A499" s="1"/>
      <c r="B499" s="2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3"/>
      <c r="AB499" s="1"/>
    </row>
    <row r="500" spans="1:28" x14ac:dyDescent="0.25">
      <c r="A500" s="1"/>
      <c r="B500" s="2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3"/>
      <c r="AB500" s="1"/>
    </row>
    <row r="501" spans="1:28" x14ac:dyDescent="0.25">
      <c r="A501" s="1"/>
      <c r="B501" s="2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3"/>
      <c r="AB501" s="1"/>
    </row>
    <row r="502" spans="1:28" x14ac:dyDescent="0.25">
      <c r="A502" s="1"/>
      <c r="B502" s="2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3"/>
      <c r="AB502" s="1"/>
    </row>
    <row r="503" spans="1:28" x14ac:dyDescent="0.25">
      <c r="A503" s="1"/>
      <c r="B503" s="2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3"/>
      <c r="AB503" s="1"/>
    </row>
    <row r="504" spans="1:28" x14ac:dyDescent="0.25">
      <c r="A504" s="1"/>
      <c r="B504" s="2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3"/>
      <c r="AB504" s="1"/>
    </row>
    <row r="505" spans="1:28" x14ac:dyDescent="0.25">
      <c r="A505" s="1"/>
      <c r="B505" s="2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3"/>
      <c r="AB505" s="1"/>
    </row>
    <row r="506" spans="1:28" x14ac:dyDescent="0.25">
      <c r="A506" s="1"/>
      <c r="B506" s="2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3"/>
      <c r="AB506" s="1"/>
    </row>
    <row r="507" spans="1:28" x14ac:dyDescent="0.25">
      <c r="A507" s="1"/>
      <c r="B507" s="2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3"/>
      <c r="AB507" s="1"/>
    </row>
    <row r="508" spans="1:28" x14ac:dyDescent="0.25">
      <c r="A508" s="1"/>
      <c r="B508" s="2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3"/>
      <c r="AB508" s="1"/>
    </row>
    <row r="509" spans="1:28" x14ac:dyDescent="0.25">
      <c r="A509" s="1"/>
      <c r="B509" s="2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3"/>
      <c r="AB509" s="1"/>
    </row>
    <row r="510" spans="1:28" x14ac:dyDescent="0.25">
      <c r="A510" s="1"/>
      <c r="B510" s="2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3"/>
      <c r="AB510" s="1"/>
    </row>
    <row r="511" spans="1:28" x14ac:dyDescent="0.25">
      <c r="A511" s="1"/>
      <c r="B511" s="2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3"/>
      <c r="AB511" s="1"/>
    </row>
    <row r="512" spans="1:28" x14ac:dyDescent="0.25">
      <c r="A512" s="1"/>
      <c r="B512" s="2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3"/>
      <c r="AB512" s="1"/>
    </row>
    <row r="513" spans="1:28" x14ac:dyDescent="0.25">
      <c r="A513" s="1"/>
      <c r="B513" s="2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3"/>
      <c r="AB513" s="1"/>
    </row>
    <row r="514" spans="1:28" x14ac:dyDescent="0.25">
      <c r="A514" s="1"/>
      <c r="B514" s="2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3"/>
      <c r="AB514" s="1"/>
    </row>
    <row r="515" spans="1:28" x14ac:dyDescent="0.25">
      <c r="A515" s="1"/>
      <c r="B515" s="2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3"/>
      <c r="AB515" s="1"/>
    </row>
    <row r="516" spans="1:28" x14ac:dyDescent="0.25">
      <c r="A516" s="1"/>
      <c r="B516" s="2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3"/>
      <c r="AB516" s="1"/>
    </row>
    <row r="517" spans="1:28" x14ac:dyDescent="0.25">
      <c r="A517" s="1"/>
      <c r="B517" s="2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3"/>
      <c r="AB517" s="1"/>
    </row>
    <row r="518" spans="1:28" x14ac:dyDescent="0.25">
      <c r="A518" s="1"/>
      <c r="B518" s="2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3"/>
      <c r="AB518" s="1"/>
    </row>
    <row r="519" spans="1:28" x14ac:dyDescent="0.25">
      <c r="A519" s="1"/>
      <c r="B519" s="2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3"/>
      <c r="AB519" s="1"/>
    </row>
    <row r="520" spans="1:28" x14ac:dyDescent="0.25">
      <c r="A520" s="1"/>
      <c r="B520" s="2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3"/>
      <c r="AB520" s="1"/>
    </row>
    <row r="521" spans="1:28" x14ac:dyDescent="0.25">
      <c r="A521" s="1"/>
      <c r="B521" s="2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3"/>
      <c r="AB521" s="1"/>
    </row>
    <row r="522" spans="1:28" x14ac:dyDescent="0.25">
      <c r="A522" s="1"/>
      <c r="B522" s="2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3"/>
      <c r="AB522" s="1"/>
    </row>
    <row r="523" spans="1:28" x14ac:dyDescent="0.25">
      <c r="A523" s="1"/>
      <c r="B523" s="2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3"/>
      <c r="AB523" s="1"/>
    </row>
    <row r="524" spans="1:28" x14ac:dyDescent="0.25">
      <c r="A524" s="1"/>
      <c r="B524" s="2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3"/>
      <c r="AB524" s="1"/>
    </row>
    <row r="525" spans="1:28" x14ac:dyDescent="0.25">
      <c r="A525" s="1"/>
      <c r="B525" s="2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3"/>
      <c r="AB525" s="1"/>
    </row>
    <row r="526" spans="1:28" x14ac:dyDescent="0.25">
      <c r="A526" s="1"/>
      <c r="B526" s="2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3"/>
      <c r="AB526" s="1"/>
    </row>
    <row r="527" spans="1:28" x14ac:dyDescent="0.25">
      <c r="A527" s="1"/>
      <c r="B527" s="2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3"/>
      <c r="AB527" s="1"/>
    </row>
    <row r="528" spans="1:28" x14ac:dyDescent="0.25">
      <c r="A528" s="1"/>
      <c r="B528" s="2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3"/>
      <c r="AB528" s="1"/>
    </row>
    <row r="529" spans="1:28" x14ac:dyDescent="0.25">
      <c r="A529" s="1"/>
      <c r="B529" s="2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3"/>
      <c r="AB529" s="1"/>
    </row>
    <row r="530" spans="1:28" x14ac:dyDescent="0.25">
      <c r="A530" s="1"/>
      <c r="B530" s="2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3"/>
      <c r="AB530" s="1"/>
    </row>
    <row r="531" spans="1:28" x14ac:dyDescent="0.25">
      <c r="A531" s="1"/>
      <c r="B531" s="2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3"/>
      <c r="AB531" s="1"/>
    </row>
    <row r="532" spans="1:28" x14ac:dyDescent="0.25">
      <c r="A532" s="1"/>
      <c r="B532" s="2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3"/>
      <c r="AB532" s="1"/>
    </row>
    <row r="533" spans="1:28" x14ac:dyDescent="0.25">
      <c r="A533" s="1"/>
      <c r="B533" s="2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3"/>
      <c r="AB533" s="1"/>
    </row>
    <row r="534" spans="1:28" x14ac:dyDescent="0.25">
      <c r="A534" s="1"/>
      <c r="B534" s="2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3"/>
      <c r="AB534" s="1"/>
    </row>
    <row r="535" spans="1:28" x14ac:dyDescent="0.25">
      <c r="A535" s="1"/>
      <c r="B535" s="2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3"/>
      <c r="AB535" s="1"/>
    </row>
    <row r="536" spans="1:28" x14ac:dyDescent="0.25">
      <c r="A536" s="1"/>
      <c r="B536" s="2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3"/>
      <c r="AB536" s="1"/>
    </row>
    <row r="537" spans="1:28" x14ac:dyDescent="0.25">
      <c r="A537" s="1"/>
      <c r="B537" s="2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3"/>
      <c r="AB537" s="1"/>
    </row>
    <row r="538" spans="1:28" x14ac:dyDescent="0.25">
      <c r="A538" s="1"/>
      <c r="B538" s="2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3"/>
      <c r="AB538" s="1"/>
    </row>
    <row r="539" spans="1:28" x14ac:dyDescent="0.25">
      <c r="A539" s="1"/>
      <c r="B539" s="2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3"/>
      <c r="AB539" s="1"/>
    </row>
    <row r="540" spans="1:28" x14ac:dyDescent="0.25">
      <c r="A540" s="1"/>
      <c r="B540" s="2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3"/>
      <c r="AB540" s="1"/>
    </row>
    <row r="541" spans="1:28" x14ac:dyDescent="0.25">
      <c r="A541" s="1"/>
      <c r="B541" s="2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3"/>
      <c r="AB541" s="1"/>
    </row>
    <row r="542" spans="1:28" x14ac:dyDescent="0.25">
      <c r="A542" s="1"/>
      <c r="B542" s="2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3"/>
      <c r="AB542" s="1"/>
    </row>
    <row r="543" spans="1:28" x14ac:dyDescent="0.25">
      <c r="A543" s="1"/>
      <c r="B543" s="2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3"/>
      <c r="AB543" s="1"/>
    </row>
    <row r="544" spans="1:28" x14ac:dyDescent="0.25">
      <c r="A544" s="1"/>
      <c r="B544" s="2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3"/>
      <c r="AB544" s="1"/>
    </row>
    <row r="545" spans="1:28" x14ac:dyDescent="0.25">
      <c r="A545" s="1"/>
      <c r="B545" s="2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3"/>
      <c r="AB545" s="1"/>
    </row>
    <row r="546" spans="1:28" x14ac:dyDescent="0.25">
      <c r="A546" s="1"/>
      <c r="B546" s="2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3"/>
      <c r="AB546" s="1"/>
    </row>
    <row r="547" spans="1:28" x14ac:dyDescent="0.25">
      <c r="A547" s="1"/>
      <c r="B547" s="2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3"/>
      <c r="AB547" s="1"/>
    </row>
    <row r="548" spans="1:28" x14ac:dyDescent="0.25">
      <c r="A548" s="1"/>
      <c r="B548" s="2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3"/>
      <c r="AB548" s="1"/>
    </row>
    <row r="549" spans="1:28" x14ac:dyDescent="0.25">
      <c r="A549" s="1"/>
      <c r="B549" s="2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3"/>
      <c r="AB549" s="1"/>
    </row>
    <row r="550" spans="1:28" x14ac:dyDescent="0.25">
      <c r="A550" s="1"/>
      <c r="B550" s="2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3"/>
      <c r="AB550" s="1"/>
    </row>
    <row r="551" spans="1:28" x14ac:dyDescent="0.25">
      <c r="A551" s="1"/>
      <c r="B551" s="2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3"/>
      <c r="AB551" s="1"/>
    </row>
    <row r="552" spans="1:28" x14ac:dyDescent="0.25">
      <c r="A552" s="1"/>
      <c r="B552" s="2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3"/>
      <c r="AB552" s="1"/>
    </row>
    <row r="553" spans="1:28" x14ac:dyDescent="0.25">
      <c r="A553" s="1"/>
      <c r="B553" s="2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3"/>
      <c r="AB553" s="1"/>
    </row>
    <row r="554" spans="1:28" x14ac:dyDescent="0.25">
      <c r="A554" s="1"/>
      <c r="B554" s="2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3"/>
      <c r="AB554" s="1"/>
    </row>
    <row r="555" spans="1:28" x14ac:dyDescent="0.25">
      <c r="A555" s="1"/>
      <c r="B555" s="2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3"/>
      <c r="AB555" s="1"/>
    </row>
    <row r="556" spans="1:28" x14ac:dyDescent="0.25">
      <c r="A556" s="1"/>
      <c r="B556" s="2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3"/>
      <c r="AB556" s="1"/>
    </row>
    <row r="557" spans="1:28" x14ac:dyDescent="0.25">
      <c r="A557" s="1"/>
      <c r="B557" s="2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3"/>
      <c r="AB557" s="1"/>
    </row>
    <row r="558" spans="1:28" x14ac:dyDescent="0.25">
      <c r="A558" s="1"/>
      <c r="B558" s="2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3"/>
      <c r="AB558" s="1"/>
    </row>
    <row r="559" spans="1:28" x14ac:dyDescent="0.25">
      <c r="A559" s="1"/>
      <c r="B559" s="2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3"/>
      <c r="AB559" s="1"/>
    </row>
    <row r="560" spans="1:28" x14ac:dyDescent="0.25">
      <c r="A560" s="1"/>
      <c r="B560" s="2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3"/>
      <c r="AB560" s="1"/>
    </row>
    <row r="561" spans="1:28" x14ac:dyDescent="0.25">
      <c r="A561" s="1"/>
      <c r="B561" s="2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3"/>
      <c r="AB561" s="1"/>
    </row>
    <row r="562" spans="1:28" x14ac:dyDescent="0.25">
      <c r="A562" s="1"/>
      <c r="B562" s="2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3"/>
      <c r="AB562" s="1"/>
    </row>
    <row r="563" spans="1:28" x14ac:dyDescent="0.25">
      <c r="A563" s="1"/>
      <c r="B563" s="2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3"/>
      <c r="AB563" s="1"/>
    </row>
    <row r="564" spans="1:28" x14ac:dyDescent="0.25">
      <c r="A564" s="1"/>
      <c r="B564" s="2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3"/>
      <c r="AB564" s="1"/>
    </row>
    <row r="565" spans="1:28" x14ac:dyDescent="0.25">
      <c r="A565" s="1"/>
      <c r="B565" s="2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3"/>
      <c r="AB565" s="1"/>
    </row>
    <row r="566" spans="1:28" x14ac:dyDescent="0.25">
      <c r="A566" s="1"/>
      <c r="B566" s="2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3"/>
      <c r="AB566" s="1"/>
    </row>
    <row r="567" spans="1:28" x14ac:dyDescent="0.25">
      <c r="A567" s="1"/>
      <c r="B567" s="2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3"/>
      <c r="AB567" s="1"/>
    </row>
    <row r="568" spans="1:28" x14ac:dyDescent="0.25">
      <c r="A568" s="1"/>
      <c r="B568" s="2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3"/>
      <c r="AB568" s="1"/>
    </row>
    <row r="569" spans="1:28" x14ac:dyDescent="0.25">
      <c r="A569" s="1"/>
      <c r="B569" s="2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3"/>
      <c r="AB569" s="1"/>
    </row>
    <row r="570" spans="1:28" x14ac:dyDescent="0.25">
      <c r="A570" s="1"/>
      <c r="B570" s="2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3"/>
      <c r="AB570" s="1"/>
    </row>
    <row r="571" spans="1:28" x14ac:dyDescent="0.25">
      <c r="A571" s="1"/>
      <c r="B571" s="2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3"/>
      <c r="AB571" s="1"/>
    </row>
    <row r="572" spans="1:28" x14ac:dyDescent="0.25">
      <c r="A572" s="1"/>
      <c r="B572" s="2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3"/>
      <c r="AB572" s="1"/>
    </row>
    <row r="573" spans="1:28" x14ac:dyDescent="0.25">
      <c r="A573" s="1"/>
      <c r="B573" s="2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3"/>
      <c r="AB573" s="1"/>
    </row>
    <row r="574" spans="1:28" x14ac:dyDescent="0.25">
      <c r="A574" s="1"/>
      <c r="B574" s="2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3"/>
      <c r="AB574" s="1"/>
    </row>
    <row r="575" spans="1:28" x14ac:dyDescent="0.25">
      <c r="A575" s="1"/>
      <c r="B575" s="2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3"/>
      <c r="AB575" s="1"/>
    </row>
    <row r="576" spans="1:28" x14ac:dyDescent="0.25">
      <c r="A576" s="1"/>
      <c r="B576" s="2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3"/>
      <c r="AB576" s="1"/>
    </row>
    <row r="577" spans="1:28" x14ac:dyDescent="0.25">
      <c r="A577" s="1"/>
      <c r="B577" s="2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3"/>
      <c r="AB577" s="1"/>
    </row>
    <row r="578" spans="1:28" x14ac:dyDescent="0.25">
      <c r="A578" s="1"/>
      <c r="B578" s="2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3"/>
      <c r="AB578" s="1"/>
    </row>
    <row r="579" spans="1:28" x14ac:dyDescent="0.25">
      <c r="A579" s="1"/>
      <c r="B579" s="2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3"/>
      <c r="AB579" s="1"/>
    </row>
    <row r="580" spans="1:28" x14ac:dyDescent="0.25">
      <c r="A580" s="1"/>
      <c r="B580" s="2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3"/>
      <c r="AB580" s="1"/>
    </row>
    <row r="581" spans="1:28" x14ac:dyDescent="0.25">
      <c r="A581" s="1"/>
      <c r="B581" s="2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3"/>
      <c r="AB581" s="1"/>
    </row>
    <row r="582" spans="1:28" x14ac:dyDescent="0.25">
      <c r="A582" s="1"/>
      <c r="B582" s="2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3"/>
      <c r="AB582" s="1"/>
    </row>
    <row r="583" spans="1:28" x14ac:dyDescent="0.25">
      <c r="A583" s="1"/>
      <c r="B583" s="2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3"/>
      <c r="AB583" s="1"/>
    </row>
    <row r="584" spans="1:28" x14ac:dyDescent="0.25">
      <c r="A584" s="1"/>
      <c r="B584" s="2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3"/>
      <c r="AB584" s="1"/>
    </row>
    <row r="585" spans="1:28" x14ac:dyDescent="0.25">
      <c r="A585" s="1"/>
      <c r="B585" s="2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3"/>
      <c r="AB585" s="1"/>
    </row>
    <row r="586" spans="1:28" x14ac:dyDescent="0.25">
      <c r="A586" s="1"/>
      <c r="B586" s="2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3"/>
      <c r="AB586" s="1"/>
    </row>
    <row r="587" spans="1:28" x14ac:dyDescent="0.25">
      <c r="A587" s="1"/>
      <c r="B587" s="2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3"/>
      <c r="AB587" s="1"/>
    </row>
    <row r="588" spans="1:28" x14ac:dyDescent="0.25">
      <c r="A588" s="1"/>
      <c r="B588" s="2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3"/>
      <c r="AB588" s="1"/>
    </row>
    <row r="589" spans="1:28" x14ac:dyDescent="0.25">
      <c r="A589" s="1"/>
      <c r="B589" s="2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3"/>
      <c r="AB589" s="1"/>
    </row>
    <row r="590" spans="1:28" x14ac:dyDescent="0.25">
      <c r="A590" s="1"/>
      <c r="B590" s="2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3"/>
      <c r="AB590" s="1"/>
    </row>
    <row r="591" spans="1:28" x14ac:dyDescent="0.25">
      <c r="A591" s="1"/>
      <c r="B591" s="2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3"/>
      <c r="AB591" s="1"/>
    </row>
    <row r="592" spans="1:28" x14ac:dyDescent="0.25">
      <c r="A592" s="1"/>
      <c r="B592" s="2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3"/>
      <c r="AB592" s="1"/>
    </row>
    <row r="593" spans="1:28" x14ac:dyDescent="0.25">
      <c r="A593" s="1"/>
      <c r="B593" s="2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3"/>
      <c r="AB593" s="1"/>
    </row>
    <row r="594" spans="1:28" x14ac:dyDescent="0.25">
      <c r="A594" s="1"/>
      <c r="B594" s="2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3"/>
      <c r="AB594" s="1"/>
    </row>
    <row r="595" spans="1:28" x14ac:dyDescent="0.25">
      <c r="A595" s="1"/>
      <c r="B595" s="2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3"/>
      <c r="AB595" s="1"/>
    </row>
    <row r="596" spans="1:28" x14ac:dyDescent="0.25">
      <c r="A596" s="1"/>
      <c r="B596" s="2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3"/>
      <c r="AB596" s="1"/>
    </row>
    <row r="597" spans="1:28" x14ac:dyDescent="0.25">
      <c r="A597" s="1"/>
      <c r="B597" s="2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3"/>
      <c r="AB597" s="1"/>
    </row>
    <row r="598" spans="1:28" x14ac:dyDescent="0.25">
      <c r="A598" s="1"/>
      <c r="B598" s="2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3"/>
      <c r="AB598" s="1"/>
    </row>
    <row r="599" spans="1:28" x14ac:dyDescent="0.25">
      <c r="A599" s="1"/>
      <c r="B599" s="2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3"/>
      <c r="AB599" s="1"/>
    </row>
    <row r="600" spans="1:28" x14ac:dyDescent="0.25">
      <c r="A600" s="1"/>
      <c r="B600" s="2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3"/>
      <c r="AB600" s="1"/>
    </row>
    <row r="601" spans="1:28" x14ac:dyDescent="0.25">
      <c r="A601" s="1"/>
      <c r="B601" s="2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3"/>
      <c r="AB601" s="1"/>
    </row>
    <row r="602" spans="1:28" x14ac:dyDescent="0.25">
      <c r="A602" s="1"/>
      <c r="B602" s="2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3"/>
      <c r="AB602" s="1"/>
    </row>
    <row r="603" spans="1:28" x14ac:dyDescent="0.25">
      <c r="A603" s="1"/>
      <c r="B603" s="2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3"/>
      <c r="AB603" s="1"/>
    </row>
    <row r="604" spans="1:28" x14ac:dyDescent="0.25">
      <c r="A604" s="1"/>
      <c r="B604" s="2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3"/>
      <c r="AB604" s="1"/>
    </row>
    <row r="605" spans="1:28" x14ac:dyDescent="0.25">
      <c r="A605" s="1"/>
      <c r="B605" s="2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3"/>
      <c r="AB605" s="1"/>
    </row>
    <row r="606" spans="1:28" x14ac:dyDescent="0.25">
      <c r="A606" s="1"/>
      <c r="B606" s="2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3"/>
      <c r="AB606" s="1"/>
    </row>
    <row r="607" spans="1:28" x14ac:dyDescent="0.25">
      <c r="A607" s="1"/>
      <c r="B607" s="2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3"/>
      <c r="AB607" s="1"/>
    </row>
    <row r="608" spans="1:28" x14ac:dyDescent="0.25">
      <c r="A608" s="1"/>
      <c r="B608" s="2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3"/>
      <c r="AB608" s="1"/>
    </row>
    <row r="609" spans="1:28" x14ac:dyDescent="0.25">
      <c r="A609" s="1"/>
      <c r="B609" s="2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3"/>
      <c r="AB609" s="1"/>
    </row>
    <row r="610" spans="1:28" x14ac:dyDescent="0.25">
      <c r="A610" s="1"/>
      <c r="B610" s="2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3"/>
      <c r="AB610" s="1"/>
    </row>
    <row r="611" spans="1:28" x14ac:dyDescent="0.25">
      <c r="A611" s="1"/>
      <c r="B611" s="2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3"/>
      <c r="AB611" s="1"/>
    </row>
    <row r="612" spans="1:28" x14ac:dyDescent="0.25">
      <c r="A612" s="1"/>
      <c r="B612" s="2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3"/>
      <c r="AB612" s="1"/>
    </row>
    <row r="613" spans="1:28" x14ac:dyDescent="0.25">
      <c r="A613" s="1"/>
      <c r="B613" s="2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3"/>
      <c r="AB613" s="1"/>
    </row>
    <row r="614" spans="1:28" x14ac:dyDescent="0.25">
      <c r="A614" s="1"/>
      <c r="B614" s="2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3"/>
      <c r="AB614" s="1"/>
    </row>
    <row r="615" spans="1:28" x14ac:dyDescent="0.25">
      <c r="A615" s="1"/>
      <c r="B615" s="2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3"/>
      <c r="AB615" s="1"/>
    </row>
    <row r="616" spans="1:28" x14ac:dyDescent="0.25">
      <c r="A616" s="1"/>
      <c r="B616" s="2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3"/>
      <c r="AB616" s="1"/>
    </row>
    <row r="617" spans="1:28" x14ac:dyDescent="0.25">
      <c r="A617" s="1"/>
      <c r="B617" s="2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3"/>
      <c r="AB617" s="1"/>
    </row>
    <row r="618" spans="1:28" x14ac:dyDescent="0.25">
      <c r="A618" s="1"/>
      <c r="B618" s="2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3"/>
      <c r="AB618" s="1"/>
    </row>
    <row r="619" spans="1:28" x14ac:dyDescent="0.25">
      <c r="A619" s="1"/>
      <c r="B619" s="2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3"/>
      <c r="AB619" s="1"/>
    </row>
    <row r="620" spans="1:28" x14ac:dyDescent="0.25">
      <c r="A620" s="1"/>
      <c r="B620" s="2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3"/>
      <c r="AB620" s="1"/>
    </row>
    <row r="621" spans="1:28" x14ac:dyDescent="0.25">
      <c r="A621" s="1"/>
      <c r="B621" s="2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3"/>
      <c r="AB621" s="1"/>
    </row>
    <row r="622" spans="1:28" x14ac:dyDescent="0.25">
      <c r="A622" s="1"/>
      <c r="B622" s="2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3"/>
      <c r="AB622" s="1"/>
    </row>
    <row r="623" spans="1:28" x14ac:dyDescent="0.25">
      <c r="A623" s="1"/>
      <c r="B623" s="2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3"/>
      <c r="AB623" s="1"/>
    </row>
    <row r="624" spans="1:28" x14ac:dyDescent="0.25">
      <c r="A624" s="1"/>
      <c r="B624" s="2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3"/>
      <c r="AB624" s="1"/>
    </row>
    <row r="625" spans="1:28" x14ac:dyDescent="0.25">
      <c r="A625" s="1"/>
      <c r="B625" s="2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3"/>
      <c r="AB625" s="1"/>
    </row>
    <row r="626" spans="1:28" x14ac:dyDescent="0.25">
      <c r="A626" s="1"/>
      <c r="B626" s="2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3"/>
      <c r="AB626" s="1"/>
    </row>
    <row r="627" spans="1:28" x14ac:dyDescent="0.25">
      <c r="A627" s="1"/>
      <c r="B627" s="2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3"/>
      <c r="AB627" s="1"/>
    </row>
    <row r="628" spans="1:28" x14ac:dyDescent="0.25">
      <c r="A628" s="1"/>
      <c r="B628" s="2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3"/>
      <c r="AB628" s="1"/>
    </row>
    <row r="629" spans="1:28" x14ac:dyDescent="0.25">
      <c r="A629" s="1"/>
      <c r="B629" s="2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3"/>
      <c r="AB629" s="1"/>
    </row>
    <row r="630" spans="1:28" x14ac:dyDescent="0.25">
      <c r="A630" s="1"/>
      <c r="B630" s="2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3"/>
      <c r="AB630" s="1"/>
    </row>
    <row r="631" spans="1:28" x14ac:dyDescent="0.25">
      <c r="A631" s="1"/>
      <c r="B631" s="2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3"/>
      <c r="AB631" s="1"/>
    </row>
    <row r="632" spans="1:28" x14ac:dyDescent="0.25">
      <c r="A632" s="1"/>
      <c r="B632" s="2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3"/>
      <c r="AB632" s="1"/>
    </row>
    <row r="633" spans="1:28" x14ac:dyDescent="0.25">
      <c r="A633" s="1"/>
      <c r="B633" s="2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3"/>
      <c r="AB633" s="1"/>
    </row>
    <row r="634" spans="1:28" x14ac:dyDescent="0.25">
      <c r="A634" s="1"/>
      <c r="B634" s="2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3"/>
      <c r="AB634" s="1"/>
    </row>
    <row r="635" spans="1:28" x14ac:dyDescent="0.25">
      <c r="A635" s="1"/>
      <c r="B635" s="2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3"/>
      <c r="AB635" s="1"/>
    </row>
    <row r="636" spans="1:28" x14ac:dyDescent="0.25">
      <c r="A636" s="1"/>
      <c r="B636" s="2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3"/>
      <c r="AB636" s="1"/>
    </row>
    <row r="637" spans="1:28" x14ac:dyDescent="0.25">
      <c r="A637" s="1"/>
      <c r="B637" s="2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3"/>
      <c r="AB637" s="1"/>
    </row>
    <row r="638" spans="1:28" x14ac:dyDescent="0.25">
      <c r="A638" s="1"/>
      <c r="B638" s="2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3"/>
      <c r="AB638" s="1"/>
    </row>
    <row r="639" spans="1:28" x14ac:dyDescent="0.25">
      <c r="A639" s="1"/>
      <c r="B639" s="2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3"/>
      <c r="AB639" s="1"/>
    </row>
    <row r="640" spans="1:28" x14ac:dyDescent="0.25">
      <c r="A640" s="1"/>
      <c r="B640" s="2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3"/>
      <c r="AB640" s="1"/>
    </row>
    <row r="641" spans="1:28" x14ac:dyDescent="0.25">
      <c r="A641" s="1"/>
      <c r="B641" s="2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3"/>
      <c r="AB641" s="1"/>
    </row>
    <row r="642" spans="1:28" x14ac:dyDescent="0.25">
      <c r="A642" s="1"/>
      <c r="B642" s="2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3"/>
      <c r="AB642" s="1"/>
    </row>
    <row r="643" spans="1:28" x14ac:dyDescent="0.25">
      <c r="A643" s="1"/>
      <c r="B643" s="2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3"/>
      <c r="AB643" s="1"/>
    </row>
    <row r="644" spans="1:28" x14ac:dyDescent="0.25">
      <c r="A644" s="1"/>
      <c r="B644" s="2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3"/>
      <c r="AB644" s="1"/>
    </row>
    <row r="645" spans="1:28" x14ac:dyDescent="0.25">
      <c r="A645" s="1"/>
      <c r="B645" s="2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3"/>
      <c r="AB645" s="1"/>
    </row>
    <row r="646" spans="1:28" x14ac:dyDescent="0.25">
      <c r="A646" s="1"/>
      <c r="B646" s="2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3"/>
      <c r="AB646" s="1"/>
    </row>
    <row r="647" spans="1:28" x14ac:dyDescent="0.25">
      <c r="A647" s="1"/>
      <c r="B647" s="2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3"/>
      <c r="AB647" s="1"/>
    </row>
    <row r="648" spans="1:28" x14ac:dyDescent="0.25">
      <c r="A648" s="1"/>
      <c r="B648" s="2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3"/>
      <c r="AB648" s="1"/>
    </row>
    <row r="649" spans="1:28" x14ac:dyDescent="0.25">
      <c r="A649" s="1"/>
      <c r="B649" s="2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3"/>
      <c r="AB649" s="1"/>
    </row>
    <row r="650" spans="1:28" x14ac:dyDescent="0.25">
      <c r="A650" s="1"/>
      <c r="B650" s="2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3"/>
      <c r="AB650" s="1"/>
    </row>
    <row r="651" spans="1:28" x14ac:dyDescent="0.25">
      <c r="A651" s="1"/>
      <c r="B651" s="2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3"/>
      <c r="AB651" s="1"/>
    </row>
    <row r="652" spans="1:28" x14ac:dyDescent="0.25">
      <c r="A652" s="1"/>
      <c r="B652" s="2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3"/>
      <c r="AB652" s="1"/>
    </row>
    <row r="653" spans="1:28" x14ac:dyDescent="0.25">
      <c r="A653" s="1"/>
      <c r="B653" s="2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3"/>
      <c r="AB653" s="1"/>
    </row>
    <row r="654" spans="1:28" x14ac:dyDescent="0.25">
      <c r="A654" s="1"/>
      <c r="B654" s="2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3"/>
      <c r="AB654" s="1"/>
    </row>
    <row r="655" spans="1:28" x14ac:dyDescent="0.25">
      <c r="A655" s="1"/>
      <c r="B655" s="2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3"/>
      <c r="AB655" s="1"/>
    </row>
    <row r="656" spans="1:28" x14ac:dyDescent="0.25">
      <c r="A656" s="1"/>
      <c r="B656" s="2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3"/>
      <c r="AB656" s="1"/>
    </row>
    <row r="657" spans="1:28" x14ac:dyDescent="0.25">
      <c r="A657" s="1"/>
      <c r="B657" s="2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3"/>
      <c r="AB657" s="1"/>
    </row>
    <row r="658" spans="1:28" x14ac:dyDescent="0.25">
      <c r="A658" s="1"/>
      <c r="B658" s="2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3"/>
      <c r="AB658" s="1"/>
    </row>
    <row r="659" spans="1:28" x14ac:dyDescent="0.25">
      <c r="A659" s="1"/>
      <c r="B659" s="2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3"/>
      <c r="AB659" s="1"/>
    </row>
    <row r="660" spans="1:28" x14ac:dyDescent="0.25">
      <c r="A660" s="1"/>
      <c r="B660" s="2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3"/>
      <c r="AB660" s="1"/>
    </row>
    <row r="661" spans="1:28" x14ac:dyDescent="0.25">
      <c r="A661" s="1"/>
      <c r="B661" s="2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3"/>
      <c r="AB661" s="1"/>
    </row>
    <row r="662" spans="1:28" x14ac:dyDescent="0.25">
      <c r="A662" s="1"/>
      <c r="B662" s="2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3"/>
      <c r="AB662" s="1"/>
    </row>
    <row r="663" spans="1:28" x14ac:dyDescent="0.25">
      <c r="A663" s="1"/>
      <c r="B663" s="2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3"/>
      <c r="AB663" s="1"/>
    </row>
    <row r="664" spans="1:28" x14ac:dyDescent="0.25">
      <c r="A664" s="1"/>
      <c r="B664" s="2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3"/>
      <c r="AB664" s="1"/>
    </row>
    <row r="665" spans="1:28" x14ac:dyDescent="0.25">
      <c r="A665" s="1"/>
      <c r="B665" s="2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3"/>
      <c r="AB665" s="1"/>
    </row>
    <row r="666" spans="1:28" x14ac:dyDescent="0.25">
      <c r="A666" s="1"/>
      <c r="B666" s="2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3"/>
      <c r="AB666" s="1"/>
    </row>
    <row r="667" spans="1:28" x14ac:dyDescent="0.25">
      <c r="A667" s="1"/>
      <c r="B667" s="2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3"/>
      <c r="AB667" s="1"/>
    </row>
    <row r="668" spans="1:28" x14ac:dyDescent="0.25">
      <c r="A668" s="1"/>
      <c r="B668" s="2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3"/>
      <c r="AB668" s="1"/>
    </row>
    <row r="669" spans="1:28" x14ac:dyDescent="0.25">
      <c r="A669" s="1"/>
      <c r="B669" s="2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3"/>
      <c r="AB669" s="1"/>
    </row>
    <row r="670" spans="1:28" x14ac:dyDescent="0.25">
      <c r="A670" s="1"/>
      <c r="B670" s="2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3"/>
      <c r="AB670" s="1"/>
    </row>
    <row r="671" spans="1:28" x14ac:dyDescent="0.25">
      <c r="A671" s="1"/>
      <c r="B671" s="2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3"/>
      <c r="AB671" s="1"/>
    </row>
    <row r="672" spans="1:28" x14ac:dyDescent="0.25">
      <c r="A672" s="1"/>
      <c r="B672" s="2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3"/>
      <c r="AB672" s="1"/>
    </row>
    <row r="673" spans="1:28" x14ac:dyDescent="0.25">
      <c r="A673" s="1"/>
      <c r="B673" s="2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3"/>
      <c r="AB673" s="1"/>
    </row>
    <row r="674" spans="1:28" x14ac:dyDescent="0.25">
      <c r="A674" s="1"/>
      <c r="B674" s="2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3"/>
      <c r="AB674" s="1"/>
    </row>
    <row r="675" spans="1:28" x14ac:dyDescent="0.25">
      <c r="A675" s="1"/>
      <c r="B675" s="2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3"/>
      <c r="AB675" s="1"/>
    </row>
    <row r="676" spans="1:28" x14ac:dyDescent="0.25">
      <c r="A676" s="1"/>
      <c r="B676" s="2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3"/>
      <c r="AB676" s="1"/>
    </row>
    <row r="677" spans="1:28" x14ac:dyDescent="0.25">
      <c r="A677" s="1"/>
      <c r="B677" s="2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3"/>
      <c r="AB677" s="1"/>
    </row>
    <row r="678" spans="1:28" x14ac:dyDescent="0.25">
      <c r="A678" s="1"/>
      <c r="B678" s="2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3"/>
      <c r="AB678" s="1"/>
    </row>
    <row r="679" spans="1:28" x14ac:dyDescent="0.25">
      <c r="A679" s="1"/>
      <c r="B679" s="2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3"/>
      <c r="AB679" s="1"/>
    </row>
    <row r="680" spans="1:28" x14ac:dyDescent="0.25">
      <c r="A680" s="1"/>
      <c r="B680" s="2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3"/>
      <c r="AB680" s="1"/>
    </row>
    <row r="681" spans="1:28" x14ac:dyDescent="0.25">
      <c r="A681" s="1"/>
      <c r="B681" s="2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3"/>
      <c r="AB681" s="1"/>
    </row>
    <row r="682" spans="1:28" x14ac:dyDescent="0.25">
      <c r="A682" s="1"/>
      <c r="B682" s="2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3"/>
      <c r="AB682" s="1"/>
    </row>
    <row r="683" spans="1:28" x14ac:dyDescent="0.25">
      <c r="A683" s="1"/>
      <c r="B683" s="2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3"/>
      <c r="AB683" s="1"/>
    </row>
    <row r="684" spans="1:28" x14ac:dyDescent="0.25">
      <c r="A684" s="1"/>
      <c r="B684" s="2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3"/>
      <c r="AB684" s="1"/>
    </row>
    <row r="685" spans="1:28" x14ac:dyDescent="0.25">
      <c r="A685" s="1"/>
      <c r="B685" s="2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3"/>
      <c r="AB685" s="1"/>
    </row>
    <row r="686" spans="1:28" x14ac:dyDescent="0.25">
      <c r="A686" s="1"/>
      <c r="B686" s="2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3"/>
      <c r="AB686" s="1"/>
    </row>
    <row r="687" spans="1:28" x14ac:dyDescent="0.25">
      <c r="A687" s="1"/>
      <c r="B687" s="2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3"/>
      <c r="AB687" s="1"/>
    </row>
    <row r="688" spans="1:28" x14ac:dyDescent="0.25">
      <c r="A688" s="1"/>
      <c r="B688" s="2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3"/>
      <c r="AB688" s="1"/>
    </row>
    <row r="689" spans="1:28" x14ac:dyDescent="0.25">
      <c r="A689" s="1"/>
      <c r="B689" s="2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3"/>
      <c r="AB689" s="1"/>
    </row>
    <row r="690" spans="1:28" x14ac:dyDescent="0.25">
      <c r="A690" s="1"/>
      <c r="B690" s="2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3"/>
      <c r="AB690" s="1"/>
    </row>
    <row r="691" spans="1:28" x14ac:dyDescent="0.25">
      <c r="A691" s="1"/>
      <c r="B691" s="2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3"/>
      <c r="AB691" s="1"/>
    </row>
    <row r="692" spans="1:28" x14ac:dyDescent="0.25">
      <c r="A692" s="1"/>
      <c r="B692" s="2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3"/>
      <c r="AB692" s="1"/>
    </row>
    <row r="693" spans="1:28" x14ac:dyDescent="0.25">
      <c r="A693" s="1"/>
      <c r="B693" s="2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3"/>
      <c r="AB693" s="1"/>
    </row>
    <row r="694" spans="1:28" x14ac:dyDescent="0.25">
      <c r="A694" s="1"/>
      <c r="B694" s="2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3"/>
      <c r="AB694" s="1"/>
    </row>
    <row r="695" spans="1:28" x14ac:dyDescent="0.25">
      <c r="A695" s="1"/>
      <c r="B695" s="2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3"/>
      <c r="AB695" s="1"/>
    </row>
    <row r="696" spans="1:28" x14ac:dyDescent="0.25">
      <c r="A696" s="1"/>
      <c r="B696" s="2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3"/>
      <c r="AB696" s="1"/>
    </row>
    <row r="697" spans="1:28" x14ac:dyDescent="0.25">
      <c r="A697" s="1"/>
      <c r="B697" s="2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3"/>
      <c r="AB697" s="1"/>
    </row>
    <row r="698" spans="1:28" x14ac:dyDescent="0.25">
      <c r="A698" s="1"/>
      <c r="B698" s="2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3"/>
      <c r="AB698" s="1"/>
    </row>
    <row r="699" spans="1:28" x14ac:dyDescent="0.25">
      <c r="A699" s="1"/>
      <c r="B699" s="2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3"/>
      <c r="AB699" s="1"/>
    </row>
    <row r="700" spans="1:28" x14ac:dyDescent="0.25">
      <c r="A700" s="1"/>
      <c r="B700" s="2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3"/>
      <c r="AB700" s="1"/>
    </row>
    <row r="701" spans="1:28" x14ac:dyDescent="0.25">
      <c r="A701" s="1"/>
      <c r="B701" s="2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3"/>
      <c r="AB701" s="1"/>
    </row>
    <row r="702" spans="1:28" x14ac:dyDescent="0.25">
      <c r="A702" s="1"/>
      <c r="B702" s="2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3"/>
      <c r="AB702" s="1"/>
    </row>
    <row r="703" spans="1:28" x14ac:dyDescent="0.25">
      <c r="A703" s="1"/>
      <c r="B703" s="2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3"/>
      <c r="AB703" s="1"/>
    </row>
    <row r="704" spans="1:28" x14ac:dyDescent="0.25">
      <c r="A704" s="1"/>
      <c r="B704" s="2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3"/>
      <c r="AB704" s="1"/>
    </row>
    <row r="705" spans="1:28" x14ac:dyDescent="0.25">
      <c r="A705" s="1"/>
      <c r="B705" s="2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3"/>
      <c r="AB705" s="1"/>
    </row>
    <row r="706" spans="1:28" x14ac:dyDescent="0.25">
      <c r="A706" s="1"/>
      <c r="B706" s="2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3"/>
      <c r="AB706" s="1"/>
    </row>
    <row r="707" spans="1:28" x14ac:dyDescent="0.25">
      <c r="A707" s="1"/>
      <c r="B707" s="2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3"/>
      <c r="AB707" s="1"/>
    </row>
    <row r="708" spans="1:28" x14ac:dyDescent="0.25">
      <c r="A708" s="1"/>
      <c r="B708" s="2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3"/>
      <c r="AB708" s="1"/>
    </row>
    <row r="709" spans="1:28" x14ac:dyDescent="0.25">
      <c r="A709" s="1"/>
      <c r="B709" s="2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3"/>
      <c r="AB709" s="1"/>
    </row>
    <row r="710" spans="1:28" x14ac:dyDescent="0.25">
      <c r="A710" s="1"/>
      <c r="B710" s="2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3"/>
      <c r="AB710" s="1"/>
    </row>
    <row r="711" spans="1:28" x14ac:dyDescent="0.25">
      <c r="A711" s="1"/>
      <c r="B711" s="2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3"/>
      <c r="AB711" s="1"/>
    </row>
    <row r="712" spans="1:28" x14ac:dyDescent="0.25">
      <c r="A712" s="1"/>
      <c r="B712" s="2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3"/>
      <c r="AB712" s="1"/>
    </row>
    <row r="713" spans="1:28" x14ac:dyDescent="0.25">
      <c r="A713" s="1"/>
      <c r="B713" s="2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3"/>
      <c r="AB713" s="1"/>
    </row>
    <row r="714" spans="1:28" x14ac:dyDescent="0.25">
      <c r="A714" s="1"/>
      <c r="B714" s="2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3"/>
      <c r="AB714" s="1"/>
    </row>
    <row r="715" spans="1:28" x14ac:dyDescent="0.25">
      <c r="A715" s="1"/>
      <c r="B715" s="2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3"/>
      <c r="AB715" s="1"/>
    </row>
    <row r="716" spans="1:28" x14ac:dyDescent="0.25">
      <c r="A716" s="1"/>
      <c r="B716" s="2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3"/>
      <c r="AB716" s="1"/>
    </row>
    <row r="717" spans="1:28" x14ac:dyDescent="0.25">
      <c r="A717" s="1"/>
      <c r="B717" s="2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3"/>
      <c r="AB717" s="1"/>
    </row>
    <row r="718" spans="1:28" x14ac:dyDescent="0.25">
      <c r="A718" s="1"/>
      <c r="B718" s="2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3"/>
      <c r="AB718" s="1"/>
    </row>
    <row r="719" spans="1:28" x14ac:dyDescent="0.25">
      <c r="A719" s="1"/>
      <c r="B719" s="2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3"/>
      <c r="AB719" s="1"/>
    </row>
    <row r="720" spans="1:28" x14ac:dyDescent="0.25">
      <c r="A720" s="1"/>
      <c r="B720" s="2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3"/>
      <c r="AB720" s="1"/>
    </row>
    <row r="721" spans="1:28" x14ac:dyDescent="0.25">
      <c r="A721" s="1"/>
      <c r="B721" s="2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3"/>
      <c r="AB721" s="1"/>
    </row>
    <row r="722" spans="1:28" x14ac:dyDescent="0.25">
      <c r="A722" s="1"/>
      <c r="B722" s="2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3"/>
      <c r="AB722" s="1"/>
    </row>
    <row r="723" spans="1:28" x14ac:dyDescent="0.25">
      <c r="A723" s="1"/>
      <c r="B723" s="2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3"/>
      <c r="AB723" s="1"/>
    </row>
    <row r="724" spans="1:28" x14ac:dyDescent="0.25">
      <c r="A724" s="1"/>
      <c r="B724" s="2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3"/>
      <c r="AB724" s="1"/>
    </row>
    <row r="725" spans="1:28" x14ac:dyDescent="0.25">
      <c r="A725" s="1"/>
      <c r="B725" s="2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3"/>
      <c r="AB725" s="1"/>
    </row>
    <row r="726" spans="1:28" x14ac:dyDescent="0.25">
      <c r="A726" s="1"/>
      <c r="B726" s="2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3"/>
      <c r="AB726" s="1"/>
    </row>
    <row r="727" spans="1:28" x14ac:dyDescent="0.25">
      <c r="A727" s="1"/>
      <c r="B727" s="2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3"/>
      <c r="AB727" s="1"/>
    </row>
    <row r="728" spans="1:28" x14ac:dyDescent="0.25">
      <c r="A728" s="1"/>
      <c r="B728" s="2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3"/>
      <c r="AB728" s="1"/>
    </row>
    <row r="729" spans="1:28" x14ac:dyDescent="0.25">
      <c r="A729" s="1"/>
      <c r="B729" s="2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3"/>
      <c r="AB729" s="1"/>
    </row>
    <row r="730" spans="1:28" x14ac:dyDescent="0.25">
      <c r="A730" s="1"/>
      <c r="B730" s="2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3"/>
      <c r="AB730" s="1"/>
    </row>
  </sheetData>
  <phoneticPr fontId="18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7C4D0-DDE2-4A41-8FF9-2BCAF4005BDC}">
  <dimension ref="A1:G98"/>
  <sheetViews>
    <sheetView showGridLines="0" workbookViewId="0"/>
  </sheetViews>
  <sheetFormatPr defaultRowHeight="15" x14ac:dyDescent="0.25"/>
  <cols>
    <col min="1" max="1" width="2.28515625" customWidth="1"/>
    <col min="2" max="2" width="24.85546875" bestFit="1" customWidth="1"/>
    <col min="3" max="3" width="70.85546875" bestFit="1" customWidth="1"/>
    <col min="4" max="4" width="14.42578125" bestFit="1" customWidth="1"/>
    <col min="5" max="5" width="13.28515625" bestFit="1" customWidth="1"/>
    <col min="6" max="6" width="14.85546875" bestFit="1" customWidth="1"/>
    <col min="7" max="7" width="17.5703125" bestFit="1" customWidth="1"/>
  </cols>
  <sheetData>
    <row r="1" spans="1:5" x14ac:dyDescent="0.25">
      <c r="A1" s="10" t="s">
        <v>59</v>
      </c>
    </row>
    <row r="2" spans="1:5" x14ac:dyDescent="0.25">
      <c r="A2" s="10" t="s">
        <v>104</v>
      </c>
    </row>
    <row r="3" spans="1:5" x14ac:dyDescent="0.25">
      <c r="A3" s="10" t="s">
        <v>183</v>
      </c>
    </row>
    <row r="4" spans="1:5" x14ac:dyDescent="0.25">
      <c r="A4" s="10" t="s">
        <v>60</v>
      </c>
    </row>
    <row r="5" spans="1:5" x14ac:dyDescent="0.25">
      <c r="A5" s="10" t="s">
        <v>61</v>
      </c>
    </row>
    <row r="6" spans="1:5" x14ac:dyDescent="0.25">
      <c r="A6" s="10"/>
      <c r="B6" t="s">
        <v>62</v>
      </c>
    </row>
    <row r="7" spans="1:5" x14ac:dyDescent="0.25">
      <c r="A7" s="10"/>
      <c r="B7" t="s">
        <v>184</v>
      </c>
    </row>
    <row r="8" spans="1:5" x14ac:dyDescent="0.25">
      <c r="A8" s="10"/>
      <c r="B8" t="s">
        <v>185</v>
      </c>
    </row>
    <row r="9" spans="1:5" x14ac:dyDescent="0.25">
      <c r="A9" s="10" t="s">
        <v>63</v>
      </c>
    </row>
    <row r="10" spans="1:5" x14ac:dyDescent="0.25">
      <c r="B10" t="s">
        <v>64</v>
      </c>
    </row>
    <row r="11" spans="1:5" x14ac:dyDescent="0.25">
      <c r="B11" t="s">
        <v>186</v>
      </c>
    </row>
    <row r="12" spans="1:5" x14ac:dyDescent="0.25">
      <c r="B12" t="s">
        <v>65</v>
      </c>
    </row>
    <row r="14" spans="1:5" ht="15.75" thickBot="1" x14ac:dyDescent="0.3">
      <c r="A14" t="s">
        <v>66</v>
      </c>
    </row>
    <row r="15" spans="1:5" ht="15.75" thickBot="1" x14ac:dyDescent="0.3">
      <c r="B15" s="34" t="s">
        <v>67</v>
      </c>
      <c r="C15" s="34" t="s">
        <v>68</v>
      </c>
      <c r="D15" s="34" t="s">
        <v>69</v>
      </c>
      <c r="E15" s="34" t="s">
        <v>70</v>
      </c>
    </row>
    <row r="16" spans="1:5" ht="15.75" thickBot="1" x14ac:dyDescent="0.3">
      <c r="B16" s="11" t="s">
        <v>187</v>
      </c>
      <c r="C16" s="11" t="s">
        <v>56</v>
      </c>
      <c r="D16" s="13">
        <v>1255903.2598082239</v>
      </c>
      <c r="E16" s="13">
        <v>1523418.5136058778</v>
      </c>
    </row>
    <row r="19" spans="1:6" ht="15.75" thickBot="1" x14ac:dyDescent="0.3">
      <c r="A19" t="s">
        <v>71</v>
      </c>
    </row>
    <row r="20" spans="1:6" ht="15.75" thickBot="1" x14ac:dyDescent="0.3">
      <c r="B20" s="34" t="s">
        <v>67</v>
      </c>
      <c r="C20" s="34" t="s">
        <v>68</v>
      </c>
      <c r="D20" s="34" t="s">
        <v>69</v>
      </c>
      <c r="E20" s="34" t="s">
        <v>70</v>
      </c>
      <c r="F20" s="34" t="s">
        <v>72</v>
      </c>
    </row>
    <row r="21" spans="1:6" x14ac:dyDescent="0.25">
      <c r="B21" s="12" t="s">
        <v>105</v>
      </c>
      <c r="C21" s="12" t="s">
        <v>55</v>
      </c>
      <c r="D21" s="14">
        <v>0</v>
      </c>
      <c r="E21" s="14">
        <v>-31</v>
      </c>
      <c r="F21" s="12" t="s">
        <v>72</v>
      </c>
    </row>
    <row r="22" spans="1:6" x14ac:dyDescent="0.25">
      <c r="B22" s="12" t="s">
        <v>106</v>
      </c>
      <c r="C22" s="12" t="s">
        <v>55</v>
      </c>
      <c r="D22" s="14">
        <v>0</v>
      </c>
      <c r="E22" s="14">
        <v>49</v>
      </c>
      <c r="F22" s="12" t="s">
        <v>72</v>
      </c>
    </row>
    <row r="23" spans="1:6" x14ac:dyDescent="0.25">
      <c r="B23" s="12" t="s">
        <v>107</v>
      </c>
      <c r="C23" s="12" t="s">
        <v>55</v>
      </c>
      <c r="D23" s="14">
        <v>0</v>
      </c>
      <c r="E23" s="14">
        <v>-34</v>
      </c>
      <c r="F23" s="12" t="s">
        <v>72</v>
      </c>
    </row>
    <row r="24" spans="1:6" x14ac:dyDescent="0.25">
      <c r="B24" s="12" t="s">
        <v>108</v>
      </c>
      <c r="C24" s="12" t="s">
        <v>55</v>
      </c>
      <c r="D24" s="14">
        <v>0</v>
      </c>
      <c r="E24" s="14">
        <v>-29</v>
      </c>
      <c r="F24" s="12" t="s">
        <v>72</v>
      </c>
    </row>
    <row r="25" spans="1:6" x14ac:dyDescent="0.25">
      <c r="B25" s="12" t="s">
        <v>109</v>
      </c>
      <c r="C25" s="12" t="s">
        <v>55</v>
      </c>
      <c r="D25" s="14">
        <v>0</v>
      </c>
      <c r="E25" s="14">
        <v>2</v>
      </c>
      <c r="F25" s="12" t="s">
        <v>72</v>
      </c>
    </row>
    <row r="26" spans="1:6" x14ac:dyDescent="0.25">
      <c r="B26" s="12" t="s">
        <v>110</v>
      </c>
      <c r="C26" s="12" t="s">
        <v>55</v>
      </c>
      <c r="D26" s="14">
        <v>0</v>
      </c>
      <c r="E26" s="14">
        <v>62</v>
      </c>
      <c r="F26" s="12" t="s">
        <v>72</v>
      </c>
    </row>
    <row r="27" spans="1:6" x14ac:dyDescent="0.25">
      <c r="B27" s="12" t="s">
        <v>111</v>
      </c>
      <c r="C27" s="12" t="s">
        <v>55</v>
      </c>
      <c r="D27" s="14">
        <v>0</v>
      </c>
      <c r="E27" s="14">
        <v>80</v>
      </c>
      <c r="F27" s="12" t="s">
        <v>72</v>
      </c>
    </row>
    <row r="28" spans="1:6" x14ac:dyDescent="0.25">
      <c r="B28" s="12" t="s">
        <v>112</v>
      </c>
      <c r="C28" s="12" t="s">
        <v>55</v>
      </c>
      <c r="D28" s="14">
        <v>0</v>
      </c>
      <c r="E28" s="14">
        <v>34</v>
      </c>
      <c r="F28" s="12" t="s">
        <v>72</v>
      </c>
    </row>
    <row r="29" spans="1:6" x14ac:dyDescent="0.25">
      <c r="B29" s="12" t="s">
        <v>113</v>
      </c>
      <c r="C29" s="12" t="s">
        <v>55</v>
      </c>
      <c r="D29" s="14">
        <v>0</v>
      </c>
      <c r="E29" s="14">
        <v>-40</v>
      </c>
      <c r="F29" s="12" t="s">
        <v>72</v>
      </c>
    </row>
    <row r="30" spans="1:6" x14ac:dyDescent="0.25">
      <c r="B30" s="12" t="s">
        <v>114</v>
      </c>
      <c r="C30" s="12" t="s">
        <v>55</v>
      </c>
      <c r="D30" s="14">
        <v>0</v>
      </c>
      <c r="E30" s="14">
        <v>-21</v>
      </c>
      <c r="F30" s="12" t="s">
        <v>72</v>
      </c>
    </row>
    <row r="31" spans="1:6" x14ac:dyDescent="0.25">
      <c r="B31" s="12" t="s">
        <v>115</v>
      </c>
      <c r="C31" s="12" t="s">
        <v>55</v>
      </c>
      <c r="D31" s="14">
        <v>0</v>
      </c>
      <c r="E31" s="14">
        <v>-41</v>
      </c>
      <c r="F31" s="12" t="s">
        <v>72</v>
      </c>
    </row>
    <row r="32" spans="1:6" x14ac:dyDescent="0.25">
      <c r="B32" s="12" t="s">
        <v>116</v>
      </c>
      <c r="C32" s="12" t="s">
        <v>55</v>
      </c>
      <c r="D32" s="14">
        <v>0</v>
      </c>
      <c r="E32" s="14">
        <v>-5</v>
      </c>
      <c r="F32" s="12" t="s">
        <v>72</v>
      </c>
    </row>
    <row r="33" spans="1:7" x14ac:dyDescent="0.25">
      <c r="B33" s="12" t="s">
        <v>117</v>
      </c>
      <c r="C33" s="12" t="s">
        <v>55</v>
      </c>
      <c r="D33" s="14">
        <v>0</v>
      </c>
      <c r="E33" s="14">
        <v>62</v>
      </c>
      <c r="F33" s="12" t="s">
        <v>72</v>
      </c>
    </row>
    <row r="34" spans="1:7" x14ac:dyDescent="0.25">
      <c r="B34" s="12" t="s">
        <v>118</v>
      </c>
      <c r="C34" s="12" t="s">
        <v>55</v>
      </c>
      <c r="D34" s="14">
        <v>0</v>
      </c>
      <c r="E34" s="14">
        <v>-42</v>
      </c>
      <c r="F34" s="12" t="s">
        <v>72</v>
      </c>
    </row>
    <row r="35" spans="1:7" x14ac:dyDescent="0.25">
      <c r="B35" s="12" t="s">
        <v>119</v>
      </c>
      <c r="C35" s="12" t="s">
        <v>55</v>
      </c>
      <c r="D35" s="14">
        <v>0</v>
      </c>
      <c r="E35" s="14">
        <v>-36</v>
      </c>
      <c r="F35" s="12" t="s">
        <v>72</v>
      </c>
    </row>
    <row r="36" spans="1:7" x14ac:dyDescent="0.25">
      <c r="B36" s="12" t="s">
        <v>120</v>
      </c>
      <c r="C36" s="12" t="s">
        <v>55</v>
      </c>
      <c r="D36" s="14">
        <v>0</v>
      </c>
      <c r="E36" s="14">
        <v>1</v>
      </c>
      <c r="F36" s="12" t="s">
        <v>72</v>
      </c>
    </row>
    <row r="37" spans="1:7" x14ac:dyDescent="0.25">
      <c r="B37" s="12" t="s">
        <v>121</v>
      </c>
      <c r="C37" s="12" t="s">
        <v>55</v>
      </c>
      <c r="D37" s="14">
        <v>0</v>
      </c>
      <c r="E37" s="14">
        <v>49</v>
      </c>
      <c r="F37" s="12" t="s">
        <v>72</v>
      </c>
    </row>
    <row r="38" spans="1:7" x14ac:dyDescent="0.25">
      <c r="B38" s="12" t="s">
        <v>122</v>
      </c>
      <c r="C38" s="12" t="s">
        <v>55</v>
      </c>
      <c r="D38" s="14">
        <v>0</v>
      </c>
      <c r="E38" s="14">
        <v>-46</v>
      </c>
      <c r="F38" s="12" t="s">
        <v>72</v>
      </c>
    </row>
    <row r="39" spans="1:7" x14ac:dyDescent="0.25">
      <c r="B39" s="12" t="s">
        <v>123</v>
      </c>
      <c r="C39" s="12" t="s">
        <v>55</v>
      </c>
      <c r="D39" s="14">
        <v>0</v>
      </c>
      <c r="E39" s="14">
        <v>-47</v>
      </c>
      <c r="F39" s="12" t="s">
        <v>72</v>
      </c>
    </row>
    <row r="40" spans="1:7" x14ac:dyDescent="0.25">
      <c r="B40" s="12" t="s">
        <v>124</v>
      </c>
      <c r="C40" s="12" t="s">
        <v>55</v>
      </c>
      <c r="D40" s="14">
        <v>0</v>
      </c>
      <c r="E40" s="14">
        <v>-29</v>
      </c>
      <c r="F40" s="12" t="s">
        <v>72</v>
      </c>
    </row>
    <row r="41" spans="1:7" x14ac:dyDescent="0.25">
      <c r="B41" s="12" t="s">
        <v>125</v>
      </c>
      <c r="C41" s="12" t="s">
        <v>55</v>
      </c>
      <c r="D41" s="14">
        <v>0</v>
      </c>
      <c r="E41" s="14">
        <v>-27</v>
      </c>
      <c r="F41" s="12" t="s">
        <v>72</v>
      </c>
    </row>
    <row r="42" spans="1:7" x14ac:dyDescent="0.25">
      <c r="B42" s="12" t="s">
        <v>126</v>
      </c>
      <c r="C42" s="12" t="s">
        <v>55</v>
      </c>
      <c r="D42" s="14">
        <v>0</v>
      </c>
      <c r="E42" s="14">
        <v>-54</v>
      </c>
      <c r="F42" s="12" t="s">
        <v>72</v>
      </c>
    </row>
    <row r="43" spans="1:7" x14ac:dyDescent="0.25">
      <c r="B43" s="12" t="s">
        <v>127</v>
      </c>
      <c r="C43" s="12" t="s">
        <v>55</v>
      </c>
      <c r="D43" s="14">
        <v>0</v>
      </c>
      <c r="E43" s="14">
        <v>-74</v>
      </c>
      <c r="F43" s="12" t="s">
        <v>72</v>
      </c>
    </row>
    <row r="44" spans="1:7" ht="15.75" thickBot="1" x14ac:dyDescent="0.3">
      <c r="B44" s="11" t="s">
        <v>128</v>
      </c>
      <c r="C44" s="11" t="s">
        <v>55</v>
      </c>
      <c r="D44" s="15">
        <v>0</v>
      </c>
      <c r="E44" s="15">
        <v>-4</v>
      </c>
      <c r="F44" s="11" t="s">
        <v>72</v>
      </c>
    </row>
    <row r="47" spans="1:7" ht="15.75" thickBot="1" x14ac:dyDescent="0.3">
      <c r="A47" t="s">
        <v>73</v>
      </c>
    </row>
    <row r="48" spans="1:7" ht="15.75" thickBot="1" x14ac:dyDescent="0.3">
      <c r="B48" s="34" t="s">
        <v>67</v>
      </c>
      <c r="C48" s="34" t="s">
        <v>68</v>
      </c>
      <c r="D48" s="34" t="s">
        <v>74</v>
      </c>
      <c r="E48" s="34" t="s">
        <v>75</v>
      </c>
      <c r="F48" s="34" t="s">
        <v>76</v>
      </c>
      <c r="G48" s="34" t="s">
        <v>77</v>
      </c>
    </row>
    <row r="49" spans="2:7" x14ac:dyDescent="0.25">
      <c r="B49" s="12" t="s">
        <v>129</v>
      </c>
      <c r="C49" s="12" t="s">
        <v>78</v>
      </c>
      <c r="D49" s="16">
        <v>0</v>
      </c>
      <c r="E49" s="12" t="s">
        <v>130</v>
      </c>
      <c r="F49" s="12" t="s">
        <v>79</v>
      </c>
      <c r="G49" s="16">
        <v>0</v>
      </c>
    </row>
    <row r="50" spans="2:7" x14ac:dyDescent="0.25">
      <c r="B50" s="12" t="s">
        <v>105</v>
      </c>
      <c r="C50" s="12" t="s">
        <v>55</v>
      </c>
      <c r="D50" s="14">
        <v>-31</v>
      </c>
      <c r="E50" s="12" t="s">
        <v>131</v>
      </c>
      <c r="F50" s="12" t="s">
        <v>80</v>
      </c>
      <c r="G50" s="12">
        <v>200</v>
      </c>
    </row>
    <row r="51" spans="2:7" x14ac:dyDescent="0.25">
      <c r="B51" s="12" t="s">
        <v>106</v>
      </c>
      <c r="C51" s="12" t="s">
        <v>55</v>
      </c>
      <c r="D51" s="14">
        <v>49</v>
      </c>
      <c r="E51" s="12" t="s">
        <v>132</v>
      </c>
      <c r="F51" s="12" t="s">
        <v>80</v>
      </c>
      <c r="G51" s="12">
        <v>118</v>
      </c>
    </row>
    <row r="52" spans="2:7" x14ac:dyDescent="0.25">
      <c r="B52" s="12" t="s">
        <v>107</v>
      </c>
      <c r="C52" s="12" t="s">
        <v>55</v>
      </c>
      <c r="D52" s="14">
        <v>-34</v>
      </c>
      <c r="E52" s="12" t="s">
        <v>133</v>
      </c>
      <c r="F52" s="12" t="s">
        <v>80</v>
      </c>
      <c r="G52" s="12">
        <v>200</v>
      </c>
    </row>
    <row r="53" spans="2:7" x14ac:dyDescent="0.25">
      <c r="B53" s="12" t="s">
        <v>108</v>
      </c>
      <c r="C53" s="12" t="s">
        <v>55</v>
      </c>
      <c r="D53" s="14">
        <v>-29</v>
      </c>
      <c r="E53" s="12" t="s">
        <v>134</v>
      </c>
      <c r="F53" s="12" t="s">
        <v>80</v>
      </c>
      <c r="G53" s="12">
        <v>194</v>
      </c>
    </row>
    <row r="54" spans="2:7" x14ac:dyDescent="0.25">
      <c r="B54" s="12" t="s">
        <v>109</v>
      </c>
      <c r="C54" s="12" t="s">
        <v>55</v>
      </c>
      <c r="D54" s="14">
        <v>2</v>
      </c>
      <c r="E54" s="12" t="s">
        <v>135</v>
      </c>
      <c r="F54" s="12" t="s">
        <v>80</v>
      </c>
      <c r="G54" s="12">
        <v>163</v>
      </c>
    </row>
    <row r="55" spans="2:7" x14ac:dyDescent="0.25">
      <c r="B55" s="12" t="s">
        <v>110</v>
      </c>
      <c r="C55" s="12" t="s">
        <v>55</v>
      </c>
      <c r="D55" s="14">
        <v>62</v>
      </c>
      <c r="E55" s="12" t="s">
        <v>136</v>
      </c>
      <c r="F55" s="12" t="s">
        <v>80</v>
      </c>
      <c r="G55" s="12">
        <v>100</v>
      </c>
    </row>
    <row r="56" spans="2:7" x14ac:dyDescent="0.25">
      <c r="B56" s="12" t="s">
        <v>111</v>
      </c>
      <c r="C56" s="12" t="s">
        <v>55</v>
      </c>
      <c r="D56" s="14">
        <v>80</v>
      </c>
      <c r="E56" s="12" t="s">
        <v>137</v>
      </c>
      <c r="F56" s="12" t="s">
        <v>80</v>
      </c>
      <c r="G56" s="12">
        <v>81</v>
      </c>
    </row>
    <row r="57" spans="2:7" x14ac:dyDescent="0.25">
      <c r="B57" s="12" t="s">
        <v>112</v>
      </c>
      <c r="C57" s="12" t="s">
        <v>55</v>
      </c>
      <c r="D57" s="14">
        <v>34</v>
      </c>
      <c r="E57" s="12" t="s">
        <v>138</v>
      </c>
      <c r="F57" s="12" t="s">
        <v>80</v>
      </c>
      <c r="G57" s="12">
        <v>126</v>
      </c>
    </row>
    <row r="58" spans="2:7" x14ac:dyDescent="0.25">
      <c r="B58" s="12" t="s">
        <v>113</v>
      </c>
      <c r="C58" s="12" t="s">
        <v>55</v>
      </c>
      <c r="D58" s="14">
        <v>-40</v>
      </c>
      <c r="E58" s="12" t="s">
        <v>139</v>
      </c>
      <c r="F58" s="12" t="s">
        <v>80</v>
      </c>
      <c r="G58" s="12">
        <v>200</v>
      </c>
    </row>
    <row r="59" spans="2:7" x14ac:dyDescent="0.25">
      <c r="B59" s="12" t="s">
        <v>114</v>
      </c>
      <c r="C59" s="12" t="s">
        <v>55</v>
      </c>
      <c r="D59" s="14">
        <v>-21</v>
      </c>
      <c r="E59" s="12" t="s">
        <v>140</v>
      </c>
      <c r="F59" s="12" t="s">
        <v>80</v>
      </c>
      <c r="G59" s="12">
        <v>181</v>
      </c>
    </row>
    <row r="60" spans="2:7" x14ac:dyDescent="0.25">
      <c r="B60" s="12" t="s">
        <v>115</v>
      </c>
      <c r="C60" s="12" t="s">
        <v>55</v>
      </c>
      <c r="D60" s="14">
        <v>-41</v>
      </c>
      <c r="E60" s="12" t="s">
        <v>141</v>
      </c>
      <c r="F60" s="12" t="s">
        <v>80</v>
      </c>
      <c r="G60" s="12">
        <v>200</v>
      </c>
    </row>
    <row r="61" spans="2:7" x14ac:dyDescent="0.25">
      <c r="B61" s="12" t="s">
        <v>116</v>
      </c>
      <c r="C61" s="12" t="s">
        <v>55</v>
      </c>
      <c r="D61" s="14">
        <v>-5</v>
      </c>
      <c r="E61" s="12" t="s">
        <v>142</v>
      </c>
      <c r="F61" s="12" t="s">
        <v>80</v>
      </c>
      <c r="G61" s="12">
        <v>161</v>
      </c>
    </row>
    <row r="62" spans="2:7" x14ac:dyDescent="0.25">
      <c r="B62" s="12" t="s">
        <v>117</v>
      </c>
      <c r="C62" s="12" t="s">
        <v>55</v>
      </c>
      <c r="D62" s="14">
        <v>62</v>
      </c>
      <c r="E62" s="12" t="s">
        <v>143</v>
      </c>
      <c r="F62" s="12" t="s">
        <v>80</v>
      </c>
      <c r="G62" s="12">
        <v>94</v>
      </c>
    </row>
    <row r="63" spans="2:7" x14ac:dyDescent="0.25">
      <c r="B63" s="12" t="s">
        <v>118</v>
      </c>
      <c r="C63" s="12" t="s">
        <v>55</v>
      </c>
      <c r="D63" s="14">
        <v>-42</v>
      </c>
      <c r="E63" s="12" t="s">
        <v>144</v>
      </c>
      <c r="F63" s="12" t="s">
        <v>80</v>
      </c>
      <c r="G63" s="12">
        <v>198</v>
      </c>
    </row>
    <row r="64" spans="2:7" x14ac:dyDescent="0.25">
      <c r="B64" s="12" t="s">
        <v>119</v>
      </c>
      <c r="C64" s="12" t="s">
        <v>55</v>
      </c>
      <c r="D64" s="14">
        <v>-36</v>
      </c>
      <c r="E64" s="12" t="s">
        <v>145</v>
      </c>
      <c r="F64" s="12" t="s">
        <v>80</v>
      </c>
      <c r="G64" s="12">
        <v>191</v>
      </c>
    </row>
    <row r="65" spans="2:7" x14ac:dyDescent="0.25">
      <c r="B65" s="12" t="s">
        <v>120</v>
      </c>
      <c r="C65" s="12" t="s">
        <v>55</v>
      </c>
      <c r="D65" s="14">
        <v>1</v>
      </c>
      <c r="E65" s="12" t="s">
        <v>146</v>
      </c>
      <c r="F65" s="12" t="s">
        <v>80</v>
      </c>
      <c r="G65" s="12">
        <v>153</v>
      </c>
    </row>
    <row r="66" spans="2:7" x14ac:dyDescent="0.25">
      <c r="B66" s="12" t="s">
        <v>121</v>
      </c>
      <c r="C66" s="12" t="s">
        <v>55</v>
      </c>
      <c r="D66" s="14">
        <v>49</v>
      </c>
      <c r="E66" s="12" t="s">
        <v>147</v>
      </c>
      <c r="F66" s="12" t="s">
        <v>80</v>
      </c>
      <c r="G66" s="12">
        <v>105</v>
      </c>
    </row>
    <row r="67" spans="2:7" x14ac:dyDescent="0.25">
      <c r="B67" s="12" t="s">
        <v>122</v>
      </c>
      <c r="C67" s="12" t="s">
        <v>55</v>
      </c>
      <c r="D67" s="14">
        <v>-46</v>
      </c>
      <c r="E67" s="12" t="s">
        <v>148</v>
      </c>
      <c r="F67" s="12" t="s">
        <v>80</v>
      </c>
      <c r="G67" s="12">
        <v>200</v>
      </c>
    </row>
    <row r="68" spans="2:7" x14ac:dyDescent="0.25">
      <c r="B68" s="12" t="s">
        <v>123</v>
      </c>
      <c r="C68" s="12" t="s">
        <v>55</v>
      </c>
      <c r="D68" s="14">
        <v>-47</v>
      </c>
      <c r="E68" s="12" t="s">
        <v>149</v>
      </c>
      <c r="F68" s="12" t="s">
        <v>80</v>
      </c>
      <c r="G68" s="12">
        <v>199</v>
      </c>
    </row>
    <row r="69" spans="2:7" x14ac:dyDescent="0.25">
      <c r="B69" s="12" t="s">
        <v>124</v>
      </c>
      <c r="C69" s="12" t="s">
        <v>55</v>
      </c>
      <c r="D69" s="14">
        <v>-29</v>
      </c>
      <c r="E69" s="12" t="s">
        <v>150</v>
      </c>
      <c r="F69" s="12" t="s">
        <v>80</v>
      </c>
      <c r="G69" s="12">
        <v>176</v>
      </c>
    </row>
    <row r="70" spans="2:7" x14ac:dyDescent="0.25">
      <c r="B70" s="12" t="s">
        <v>125</v>
      </c>
      <c r="C70" s="12" t="s">
        <v>55</v>
      </c>
      <c r="D70" s="14">
        <v>-27</v>
      </c>
      <c r="E70" s="12" t="s">
        <v>151</v>
      </c>
      <c r="F70" s="12" t="s">
        <v>80</v>
      </c>
      <c r="G70" s="12">
        <v>173</v>
      </c>
    </row>
    <row r="71" spans="2:7" x14ac:dyDescent="0.25">
      <c r="B71" s="12" t="s">
        <v>126</v>
      </c>
      <c r="C71" s="12" t="s">
        <v>55</v>
      </c>
      <c r="D71" s="14">
        <v>-54</v>
      </c>
      <c r="E71" s="12" t="s">
        <v>152</v>
      </c>
      <c r="F71" s="12" t="s">
        <v>80</v>
      </c>
      <c r="G71" s="12">
        <v>200</v>
      </c>
    </row>
    <row r="72" spans="2:7" x14ac:dyDescent="0.25">
      <c r="B72" s="12" t="s">
        <v>127</v>
      </c>
      <c r="C72" s="12" t="s">
        <v>55</v>
      </c>
      <c r="D72" s="14">
        <v>-74</v>
      </c>
      <c r="E72" s="12" t="s">
        <v>153</v>
      </c>
      <c r="F72" s="12" t="s">
        <v>80</v>
      </c>
      <c r="G72" s="12">
        <v>198</v>
      </c>
    </row>
    <row r="73" spans="2:7" x14ac:dyDescent="0.25">
      <c r="B73" s="12" t="s">
        <v>128</v>
      </c>
      <c r="C73" s="12" t="s">
        <v>55</v>
      </c>
      <c r="D73" s="14">
        <v>-4</v>
      </c>
      <c r="E73" s="12" t="s">
        <v>154</v>
      </c>
      <c r="F73" s="12" t="s">
        <v>80</v>
      </c>
      <c r="G73" s="12">
        <v>128</v>
      </c>
    </row>
    <row r="74" spans="2:7" x14ac:dyDescent="0.25">
      <c r="B74" s="12" t="s">
        <v>105</v>
      </c>
      <c r="C74" s="12" t="s">
        <v>55</v>
      </c>
      <c r="D74" s="14">
        <v>-31</v>
      </c>
      <c r="E74" s="12" t="s">
        <v>155</v>
      </c>
      <c r="F74" s="12" t="s">
        <v>79</v>
      </c>
      <c r="G74" s="14">
        <v>0</v>
      </c>
    </row>
    <row r="75" spans="2:7" x14ac:dyDescent="0.25">
      <c r="B75" s="12" t="s">
        <v>106</v>
      </c>
      <c r="C75" s="12" t="s">
        <v>55</v>
      </c>
      <c r="D75" s="14">
        <v>49</v>
      </c>
      <c r="E75" s="12" t="s">
        <v>156</v>
      </c>
      <c r="F75" s="12" t="s">
        <v>80</v>
      </c>
      <c r="G75" s="14">
        <v>82</v>
      </c>
    </row>
    <row r="76" spans="2:7" x14ac:dyDescent="0.25">
      <c r="B76" s="12" t="s">
        <v>107</v>
      </c>
      <c r="C76" s="12" t="s">
        <v>55</v>
      </c>
      <c r="D76" s="14">
        <v>-34</v>
      </c>
      <c r="E76" s="12" t="s">
        <v>157</v>
      </c>
      <c r="F76" s="12" t="s">
        <v>79</v>
      </c>
      <c r="G76" s="14">
        <v>0</v>
      </c>
    </row>
    <row r="77" spans="2:7" x14ac:dyDescent="0.25">
      <c r="B77" s="12" t="s">
        <v>108</v>
      </c>
      <c r="C77" s="12" t="s">
        <v>55</v>
      </c>
      <c r="D77" s="14">
        <v>-29</v>
      </c>
      <c r="E77" s="12" t="s">
        <v>158</v>
      </c>
      <c r="F77" s="12" t="s">
        <v>80</v>
      </c>
      <c r="G77" s="14">
        <v>6</v>
      </c>
    </row>
    <row r="78" spans="2:7" x14ac:dyDescent="0.25">
      <c r="B78" s="12" t="s">
        <v>109</v>
      </c>
      <c r="C78" s="12" t="s">
        <v>55</v>
      </c>
      <c r="D78" s="14">
        <v>2</v>
      </c>
      <c r="E78" s="12" t="s">
        <v>159</v>
      </c>
      <c r="F78" s="12" t="s">
        <v>80</v>
      </c>
      <c r="G78" s="14">
        <v>37</v>
      </c>
    </row>
    <row r="79" spans="2:7" x14ac:dyDescent="0.25">
      <c r="B79" s="12" t="s">
        <v>110</v>
      </c>
      <c r="C79" s="12" t="s">
        <v>55</v>
      </c>
      <c r="D79" s="14">
        <v>62</v>
      </c>
      <c r="E79" s="12" t="s">
        <v>160</v>
      </c>
      <c r="F79" s="12" t="s">
        <v>80</v>
      </c>
      <c r="G79" s="14">
        <v>100</v>
      </c>
    </row>
    <row r="80" spans="2:7" x14ac:dyDescent="0.25">
      <c r="B80" s="12" t="s">
        <v>111</v>
      </c>
      <c r="C80" s="12" t="s">
        <v>55</v>
      </c>
      <c r="D80" s="14">
        <v>80</v>
      </c>
      <c r="E80" s="12" t="s">
        <v>161</v>
      </c>
      <c r="F80" s="12" t="s">
        <v>80</v>
      </c>
      <c r="G80" s="14">
        <v>119</v>
      </c>
    </row>
    <row r="81" spans="2:7" x14ac:dyDescent="0.25">
      <c r="B81" s="12" t="s">
        <v>112</v>
      </c>
      <c r="C81" s="12" t="s">
        <v>55</v>
      </c>
      <c r="D81" s="14">
        <v>34</v>
      </c>
      <c r="E81" s="12" t="s">
        <v>162</v>
      </c>
      <c r="F81" s="12" t="s">
        <v>80</v>
      </c>
      <c r="G81" s="14">
        <v>74</v>
      </c>
    </row>
    <row r="82" spans="2:7" x14ac:dyDescent="0.25">
      <c r="B82" s="12" t="s">
        <v>113</v>
      </c>
      <c r="C82" s="12" t="s">
        <v>55</v>
      </c>
      <c r="D82" s="14">
        <v>-40</v>
      </c>
      <c r="E82" s="12" t="s">
        <v>163</v>
      </c>
      <c r="F82" s="12" t="s">
        <v>79</v>
      </c>
      <c r="G82" s="14">
        <v>0</v>
      </c>
    </row>
    <row r="83" spans="2:7" x14ac:dyDescent="0.25">
      <c r="B83" s="12" t="s">
        <v>114</v>
      </c>
      <c r="C83" s="12" t="s">
        <v>55</v>
      </c>
      <c r="D83" s="14">
        <v>-21</v>
      </c>
      <c r="E83" s="12" t="s">
        <v>164</v>
      </c>
      <c r="F83" s="12" t="s">
        <v>80</v>
      </c>
      <c r="G83" s="14">
        <v>19</v>
      </c>
    </row>
    <row r="84" spans="2:7" x14ac:dyDescent="0.25">
      <c r="B84" s="12" t="s">
        <v>115</v>
      </c>
      <c r="C84" s="12" t="s">
        <v>55</v>
      </c>
      <c r="D84" s="14">
        <v>-41</v>
      </c>
      <c r="E84" s="12" t="s">
        <v>165</v>
      </c>
      <c r="F84" s="12" t="s">
        <v>79</v>
      </c>
      <c r="G84" s="14">
        <v>0</v>
      </c>
    </row>
    <row r="85" spans="2:7" x14ac:dyDescent="0.25">
      <c r="B85" s="12" t="s">
        <v>116</v>
      </c>
      <c r="C85" s="12" t="s">
        <v>55</v>
      </c>
      <c r="D85" s="14">
        <v>-5</v>
      </c>
      <c r="E85" s="12" t="s">
        <v>166</v>
      </c>
      <c r="F85" s="12" t="s">
        <v>80</v>
      </c>
      <c r="G85" s="14">
        <v>39</v>
      </c>
    </row>
    <row r="86" spans="2:7" x14ac:dyDescent="0.25">
      <c r="B86" s="12" t="s">
        <v>117</v>
      </c>
      <c r="C86" s="12" t="s">
        <v>55</v>
      </c>
      <c r="D86" s="14">
        <v>62</v>
      </c>
      <c r="E86" s="12" t="s">
        <v>167</v>
      </c>
      <c r="F86" s="12" t="s">
        <v>80</v>
      </c>
      <c r="G86" s="14">
        <v>106</v>
      </c>
    </row>
    <row r="87" spans="2:7" x14ac:dyDescent="0.25">
      <c r="B87" s="12" t="s">
        <v>118</v>
      </c>
      <c r="C87" s="12" t="s">
        <v>55</v>
      </c>
      <c r="D87" s="14">
        <v>-42</v>
      </c>
      <c r="E87" s="12" t="s">
        <v>168</v>
      </c>
      <c r="F87" s="12" t="s">
        <v>80</v>
      </c>
      <c r="G87" s="14">
        <v>2</v>
      </c>
    </row>
    <row r="88" spans="2:7" x14ac:dyDescent="0.25">
      <c r="B88" s="12" t="s">
        <v>119</v>
      </c>
      <c r="C88" s="12" t="s">
        <v>55</v>
      </c>
      <c r="D88" s="14">
        <v>-36</v>
      </c>
      <c r="E88" s="12" t="s">
        <v>169</v>
      </c>
      <c r="F88" s="12" t="s">
        <v>80</v>
      </c>
      <c r="G88" s="14">
        <v>9</v>
      </c>
    </row>
    <row r="89" spans="2:7" x14ac:dyDescent="0.25">
      <c r="B89" s="12" t="s">
        <v>120</v>
      </c>
      <c r="C89" s="12" t="s">
        <v>55</v>
      </c>
      <c r="D89" s="14">
        <v>1</v>
      </c>
      <c r="E89" s="12" t="s">
        <v>170</v>
      </c>
      <c r="F89" s="12" t="s">
        <v>80</v>
      </c>
      <c r="G89" s="14">
        <v>47</v>
      </c>
    </row>
    <row r="90" spans="2:7" x14ac:dyDescent="0.25">
      <c r="B90" s="12" t="s">
        <v>121</v>
      </c>
      <c r="C90" s="12" t="s">
        <v>55</v>
      </c>
      <c r="D90" s="14">
        <v>49</v>
      </c>
      <c r="E90" s="12" t="s">
        <v>171</v>
      </c>
      <c r="F90" s="12" t="s">
        <v>80</v>
      </c>
      <c r="G90" s="14">
        <v>95</v>
      </c>
    </row>
    <row r="91" spans="2:7" x14ac:dyDescent="0.25">
      <c r="B91" s="12" t="s">
        <v>122</v>
      </c>
      <c r="C91" s="12" t="s">
        <v>55</v>
      </c>
      <c r="D91" s="14">
        <v>-46</v>
      </c>
      <c r="E91" s="12" t="s">
        <v>172</v>
      </c>
      <c r="F91" s="12" t="s">
        <v>79</v>
      </c>
      <c r="G91" s="14">
        <v>0</v>
      </c>
    </row>
    <row r="92" spans="2:7" x14ac:dyDescent="0.25">
      <c r="B92" s="12" t="s">
        <v>123</v>
      </c>
      <c r="C92" s="12" t="s">
        <v>55</v>
      </c>
      <c r="D92" s="14">
        <v>-47</v>
      </c>
      <c r="E92" s="12" t="s">
        <v>173</v>
      </c>
      <c r="F92" s="12" t="s">
        <v>80</v>
      </c>
      <c r="G92" s="14">
        <v>1</v>
      </c>
    </row>
    <row r="93" spans="2:7" x14ac:dyDescent="0.25">
      <c r="B93" s="12" t="s">
        <v>124</v>
      </c>
      <c r="C93" s="12" t="s">
        <v>55</v>
      </c>
      <c r="D93" s="14">
        <v>-29</v>
      </c>
      <c r="E93" s="12" t="s">
        <v>174</v>
      </c>
      <c r="F93" s="12" t="s">
        <v>80</v>
      </c>
      <c r="G93" s="14">
        <v>24</v>
      </c>
    </row>
    <row r="94" spans="2:7" x14ac:dyDescent="0.25">
      <c r="B94" s="12" t="s">
        <v>125</v>
      </c>
      <c r="C94" s="12" t="s">
        <v>55</v>
      </c>
      <c r="D94" s="14">
        <v>-27</v>
      </c>
      <c r="E94" s="12" t="s">
        <v>175</v>
      </c>
      <c r="F94" s="12" t="s">
        <v>80</v>
      </c>
      <c r="G94" s="14">
        <v>27</v>
      </c>
    </row>
    <row r="95" spans="2:7" x14ac:dyDescent="0.25">
      <c r="B95" s="12" t="s">
        <v>126</v>
      </c>
      <c r="C95" s="12" t="s">
        <v>55</v>
      </c>
      <c r="D95" s="14">
        <v>-54</v>
      </c>
      <c r="E95" s="12" t="s">
        <v>176</v>
      </c>
      <c r="F95" s="12" t="s">
        <v>79</v>
      </c>
      <c r="G95" s="14">
        <v>0</v>
      </c>
    </row>
    <row r="96" spans="2:7" x14ac:dyDescent="0.25">
      <c r="B96" s="12" t="s">
        <v>127</v>
      </c>
      <c r="C96" s="12" t="s">
        <v>55</v>
      </c>
      <c r="D96" s="14">
        <v>-74</v>
      </c>
      <c r="E96" s="12" t="s">
        <v>177</v>
      </c>
      <c r="F96" s="12" t="s">
        <v>80</v>
      </c>
      <c r="G96" s="14">
        <v>2</v>
      </c>
    </row>
    <row r="97" spans="2:7" x14ac:dyDescent="0.25">
      <c r="B97" s="12" t="s">
        <v>128</v>
      </c>
      <c r="C97" s="12" t="s">
        <v>55</v>
      </c>
      <c r="D97" s="14">
        <v>-4</v>
      </c>
      <c r="E97" s="12" t="s">
        <v>178</v>
      </c>
      <c r="F97" s="12" t="s">
        <v>80</v>
      </c>
      <c r="G97" s="14">
        <v>72</v>
      </c>
    </row>
    <row r="98" spans="2:7" ht="15.75" thickBot="1" x14ac:dyDescent="0.3">
      <c r="B98" s="11" t="s">
        <v>179</v>
      </c>
      <c r="C98" s="11"/>
      <c r="D98" s="11"/>
      <c r="E98" s="11"/>
      <c r="F98" s="11"/>
      <c r="G98" s="11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398A9-13C1-434A-B3BC-4BB37CF44D21}">
  <dimension ref="A1:H37"/>
  <sheetViews>
    <sheetView showGridLines="0" workbookViewId="0"/>
  </sheetViews>
  <sheetFormatPr defaultRowHeight="15" x14ac:dyDescent="0.25"/>
  <cols>
    <col min="1" max="1" width="2.28515625" customWidth="1"/>
    <col min="2" max="2" width="6.5703125" bestFit="1" customWidth="1"/>
    <col min="3" max="3" width="70.85546875" bestFit="1" customWidth="1"/>
    <col min="4" max="4" width="7.5703125" bestFit="1" customWidth="1"/>
    <col min="5" max="5" width="7.7109375" bestFit="1" customWidth="1"/>
    <col min="6" max="6" width="12" bestFit="1" customWidth="1"/>
    <col min="7" max="7" width="8.28515625" bestFit="1" customWidth="1"/>
    <col min="8" max="8" width="8" bestFit="1" customWidth="1"/>
  </cols>
  <sheetData>
    <row r="1" spans="1:8" x14ac:dyDescent="0.25">
      <c r="A1" s="10" t="s">
        <v>81</v>
      </c>
    </row>
    <row r="2" spans="1:8" x14ac:dyDescent="0.25">
      <c r="A2" s="10" t="s">
        <v>104</v>
      </c>
    </row>
    <row r="3" spans="1:8" x14ac:dyDescent="0.25">
      <c r="A3" s="10" t="s">
        <v>188</v>
      </c>
    </row>
    <row r="6" spans="1:8" ht="15.75" thickBot="1" x14ac:dyDescent="0.3">
      <c r="A6" t="s">
        <v>71</v>
      </c>
    </row>
    <row r="7" spans="1:8" x14ac:dyDescent="0.25">
      <c r="B7" s="35"/>
      <c r="C7" s="35"/>
      <c r="D7" s="35" t="s">
        <v>82</v>
      </c>
      <c r="E7" s="35" t="s">
        <v>84</v>
      </c>
      <c r="F7" s="35" t="s">
        <v>85</v>
      </c>
      <c r="G7" s="35" t="s">
        <v>87</v>
      </c>
      <c r="H7" s="35" t="s">
        <v>88</v>
      </c>
    </row>
    <row r="8" spans="1:8" ht="15.75" thickBot="1" x14ac:dyDescent="0.3">
      <c r="B8" s="36" t="s">
        <v>67</v>
      </c>
      <c r="C8" s="36" t="s">
        <v>68</v>
      </c>
      <c r="D8" s="36" t="s">
        <v>83</v>
      </c>
      <c r="E8" s="36" t="s">
        <v>83</v>
      </c>
      <c r="F8" s="36" t="s">
        <v>86</v>
      </c>
      <c r="G8" s="36" t="s">
        <v>83</v>
      </c>
      <c r="H8" s="36" t="s">
        <v>83</v>
      </c>
    </row>
    <row r="9" spans="1:8" x14ac:dyDescent="0.25">
      <c r="B9" s="12" t="s">
        <v>105</v>
      </c>
      <c r="C9" s="12" t="s">
        <v>55</v>
      </c>
      <c r="D9" s="14">
        <v>-31</v>
      </c>
      <c r="E9" s="14">
        <v>-16.425000000000001</v>
      </c>
      <c r="F9" s="12">
        <v>39.040339098464258</v>
      </c>
      <c r="G9" s="12">
        <v>165</v>
      </c>
      <c r="H9" s="12">
        <v>-31</v>
      </c>
    </row>
    <row r="10" spans="1:8" x14ac:dyDescent="0.25">
      <c r="B10" s="12" t="s">
        <v>106</v>
      </c>
      <c r="C10" s="12" t="s">
        <v>55</v>
      </c>
      <c r="D10" s="14">
        <v>49</v>
      </c>
      <c r="E10" s="14">
        <v>54.55</v>
      </c>
      <c r="F10" s="12">
        <v>13.675638081021189</v>
      </c>
      <c r="G10" s="12">
        <v>113</v>
      </c>
      <c r="H10" s="12">
        <v>22</v>
      </c>
    </row>
    <row r="11" spans="1:8" x14ac:dyDescent="0.25">
      <c r="B11" s="12" t="s">
        <v>107</v>
      </c>
      <c r="C11" s="12" t="s">
        <v>55</v>
      </c>
      <c r="D11" s="14">
        <v>-34</v>
      </c>
      <c r="E11" s="14">
        <v>-27.4</v>
      </c>
      <c r="F11" s="12">
        <v>9.9917915028235775</v>
      </c>
      <c r="G11" s="12">
        <v>2</v>
      </c>
      <c r="H11" s="12">
        <v>-34</v>
      </c>
    </row>
    <row r="12" spans="1:8" x14ac:dyDescent="0.25">
      <c r="B12" s="12" t="s">
        <v>108</v>
      </c>
      <c r="C12" s="12" t="s">
        <v>55</v>
      </c>
      <c r="D12" s="14">
        <v>-29</v>
      </c>
      <c r="E12" s="14">
        <v>-27.625</v>
      </c>
      <c r="F12" s="12">
        <v>2.0087947655886627</v>
      </c>
      <c r="G12" s="12">
        <v>-21</v>
      </c>
      <c r="H12" s="12">
        <v>-30</v>
      </c>
    </row>
    <row r="13" spans="1:8" x14ac:dyDescent="0.25">
      <c r="B13" s="12" t="s">
        <v>109</v>
      </c>
      <c r="C13" s="12" t="s">
        <v>55</v>
      </c>
      <c r="D13" s="14">
        <v>2</v>
      </c>
      <c r="E13" s="14">
        <v>12.35</v>
      </c>
      <c r="F13" s="12">
        <v>20.62056479119067</v>
      </c>
      <c r="G13" s="12">
        <v>103</v>
      </c>
      <c r="H13" s="12">
        <v>-3</v>
      </c>
    </row>
    <row r="14" spans="1:8" x14ac:dyDescent="0.25">
      <c r="B14" s="12" t="s">
        <v>110</v>
      </c>
      <c r="C14" s="12" t="s">
        <v>55</v>
      </c>
      <c r="D14" s="14">
        <v>62</v>
      </c>
      <c r="E14" s="14">
        <v>67.424999999999997</v>
      </c>
      <c r="F14" s="12">
        <v>7.9610832274161147</v>
      </c>
      <c r="G14" s="12">
        <v>85</v>
      </c>
      <c r="H14" s="12">
        <v>56</v>
      </c>
    </row>
    <row r="15" spans="1:8" x14ac:dyDescent="0.25">
      <c r="B15" s="12" t="s">
        <v>111</v>
      </c>
      <c r="C15" s="12" t="s">
        <v>55</v>
      </c>
      <c r="D15" s="14">
        <v>80</v>
      </c>
      <c r="E15" s="14">
        <v>90.174999999999997</v>
      </c>
      <c r="F15" s="12">
        <v>16.34074269410273</v>
      </c>
      <c r="G15" s="12">
        <v>129</v>
      </c>
      <c r="H15" s="12">
        <v>76</v>
      </c>
    </row>
    <row r="16" spans="1:8" x14ac:dyDescent="0.25">
      <c r="B16" s="12" t="s">
        <v>112</v>
      </c>
      <c r="C16" s="12" t="s">
        <v>55</v>
      </c>
      <c r="D16" s="14">
        <v>34</v>
      </c>
      <c r="E16" s="14">
        <v>23.55</v>
      </c>
      <c r="F16" s="12">
        <v>24.672158085894807</v>
      </c>
      <c r="G16" s="12">
        <v>160</v>
      </c>
      <c r="H16" s="12">
        <v>-1</v>
      </c>
    </row>
    <row r="17" spans="2:8" x14ac:dyDescent="0.25">
      <c r="B17" s="12" t="s">
        <v>113</v>
      </c>
      <c r="C17" s="12" t="s">
        <v>55</v>
      </c>
      <c r="D17" s="14">
        <v>-40</v>
      </c>
      <c r="E17" s="14">
        <v>-30.9</v>
      </c>
      <c r="F17" s="12">
        <v>31.854476801663097</v>
      </c>
      <c r="G17" s="12">
        <v>160</v>
      </c>
      <c r="H17" s="12">
        <v>-40</v>
      </c>
    </row>
    <row r="18" spans="2:8" x14ac:dyDescent="0.25">
      <c r="B18" s="12" t="s">
        <v>114</v>
      </c>
      <c r="C18" s="12" t="s">
        <v>55</v>
      </c>
      <c r="D18" s="14">
        <v>-21</v>
      </c>
      <c r="E18" s="14">
        <v>-10.4</v>
      </c>
      <c r="F18" s="12">
        <v>30.476388506682621</v>
      </c>
      <c r="G18" s="12">
        <v>160</v>
      </c>
      <c r="H18" s="12">
        <v>-21</v>
      </c>
    </row>
    <row r="19" spans="2:8" x14ac:dyDescent="0.25">
      <c r="B19" s="12" t="s">
        <v>115</v>
      </c>
      <c r="C19" s="12" t="s">
        <v>55</v>
      </c>
      <c r="D19" s="14">
        <v>-41</v>
      </c>
      <c r="E19" s="14">
        <v>-35.725000000000001</v>
      </c>
      <c r="F19" s="12">
        <v>8.4580033407903379</v>
      </c>
      <c r="G19" s="12">
        <v>-3</v>
      </c>
      <c r="H19" s="12">
        <v>-41</v>
      </c>
    </row>
    <row r="20" spans="2:8" x14ac:dyDescent="0.25">
      <c r="B20" s="12" t="s">
        <v>116</v>
      </c>
      <c r="C20" s="12" t="s">
        <v>55</v>
      </c>
      <c r="D20" s="14">
        <v>-5</v>
      </c>
      <c r="E20" s="14">
        <v>10.8</v>
      </c>
      <c r="F20" s="12">
        <v>19.530646529138608</v>
      </c>
      <c r="G20" s="12">
        <v>82</v>
      </c>
      <c r="H20" s="12">
        <v>-5</v>
      </c>
    </row>
    <row r="21" spans="2:8" x14ac:dyDescent="0.25">
      <c r="B21" s="12" t="s">
        <v>117</v>
      </c>
      <c r="C21" s="12" t="s">
        <v>55</v>
      </c>
      <c r="D21" s="14">
        <v>62</v>
      </c>
      <c r="E21" s="14">
        <v>64.974999999999994</v>
      </c>
      <c r="F21" s="12">
        <v>7.3222089283045992</v>
      </c>
      <c r="G21" s="12">
        <v>85</v>
      </c>
      <c r="H21" s="12">
        <v>47</v>
      </c>
    </row>
    <row r="22" spans="2:8" x14ac:dyDescent="0.25">
      <c r="B22" s="12" t="s">
        <v>118</v>
      </c>
      <c r="C22" s="12" t="s">
        <v>55</v>
      </c>
      <c r="D22" s="14">
        <v>-42</v>
      </c>
      <c r="E22" s="14">
        <v>-21.95</v>
      </c>
      <c r="F22" s="12">
        <v>29.691533801526308</v>
      </c>
      <c r="G22" s="12">
        <v>49</v>
      </c>
      <c r="H22" s="12">
        <v>-44</v>
      </c>
    </row>
    <row r="23" spans="2:8" x14ac:dyDescent="0.25">
      <c r="B23" s="12" t="s">
        <v>119</v>
      </c>
      <c r="C23" s="12" t="s">
        <v>55</v>
      </c>
      <c r="D23" s="14">
        <v>-36</v>
      </c>
      <c r="E23" s="14">
        <v>-35.450000000000003</v>
      </c>
      <c r="F23" s="12">
        <v>3.3508514034801862</v>
      </c>
      <c r="G23" s="12">
        <v>-30</v>
      </c>
      <c r="H23" s="12">
        <v>-45</v>
      </c>
    </row>
    <row r="24" spans="2:8" x14ac:dyDescent="0.25">
      <c r="B24" s="12" t="s">
        <v>120</v>
      </c>
      <c r="C24" s="12" t="s">
        <v>55</v>
      </c>
      <c r="D24" s="14">
        <v>1</v>
      </c>
      <c r="E24" s="14">
        <v>4.9249999999999998</v>
      </c>
      <c r="F24" s="12">
        <v>4.7197756356930833</v>
      </c>
      <c r="G24" s="12">
        <v>28</v>
      </c>
      <c r="H24" s="12">
        <v>-2</v>
      </c>
    </row>
    <row r="25" spans="2:8" x14ac:dyDescent="0.25">
      <c r="B25" s="12" t="s">
        <v>121</v>
      </c>
      <c r="C25" s="12" t="s">
        <v>55</v>
      </c>
      <c r="D25" s="14">
        <v>49</v>
      </c>
      <c r="E25" s="14">
        <v>52.774999999999999</v>
      </c>
      <c r="F25" s="12">
        <v>11.242062727052112</v>
      </c>
      <c r="G25" s="12">
        <v>92</v>
      </c>
      <c r="H25" s="12">
        <v>20</v>
      </c>
    </row>
    <row r="26" spans="2:8" x14ac:dyDescent="0.25">
      <c r="B26" s="12" t="s">
        <v>122</v>
      </c>
      <c r="C26" s="12" t="s">
        <v>55</v>
      </c>
      <c r="D26" s="14">
        <v>-46</v>
      </c>
      <c r="E26" s="14">
        <v>28.675000000000001</v>
      </c>
      <c r="F26" s="12">
        <v>77.408800765141919</v>
      </c>
      <c r="G26" s="12">
        <v>154</v>
      </c>
      <c r="H26" s="12">
        <v>-46</v>
      </c>
    </row>
    <row r="27" spans="2:8" x14ac:dyDescent="0.25">
      <c r="B27" s="12" t="s">
        <v>123</v>
      </c>
      <c r="C27" s="12" t="s">
        <v>55</v>
      </c>
      <c r="D27" s="14">
        <v>-47</v>
      </c>
      <c r="E27" s="14">
        <v>-27.6</v>
      </c>
      <c r="F27" s="12">
        <v>24.236865330022383</v>
      </c>
      <c r="G27" s="12">
        <v>33</v>
      </c>
      <c r="H27" s="12">
        <v>-47</v>
      </c>
    </row>
    <row r="28" spans="2:8" x14ac:dyDescent="0.25">
      <c r="B28" s="12" t="s">
        <v>124</v>
      </c>
      <c r="C28" s="12" t="s">
        <v>55</v>
      </c>
      <c r="D28" s="14">
        <v>-29</v>
      </c>
      <c r="E28" s="14">
        <v>-14.625</v>
      </c>
      <c r="F28" s="12">
        <v>22.008957966456084</v>
      </c>
      <c r="G28" s="12">
        <v>43</v>
      </c>
      <c r="H28" s="12">
        <v>-29</v>
      </c>
    </row>
    <row r="29" spans="2:8" x14ac:dyDescent="0.25">
      <c r="B29" s="12" t="s">
        <v>125</v>
      </c>
      <c r="C29" s="12" t="s">
        <v>55</v>
      </c>
      <c r="D29" s="14">
        <v>-27</v>
      </c>
      <c r="E29" s="14">
        <v>-23.375</v>
      </c>
      <c r="F29" s="12">
        <v>6.3232882552493495</v>
      </c>
      <c r="G29" s="12">
        <v>10</v>
      </c>
      <c r="H29" s="12">
        <v>-27</v>
      </c>
    </row>
    <row r="30" spans="2:8" x14ac:dyDescent="0.25">
      <c r="B30" s="12" t="s">
        <v>126</v>
      </c>
      <c r="C30" s="12" t="s">
        <v>55</v>
      </c>
      <c r="D30" s="14">
        <v>-54</v>
      </c>
      <c r="E30" s="14">
        <v>13.525</v>
      </c>
      <c r="F30" s="12">
        <v>77.258469787112347</v>
      </c>
      <c r="G30" s="12">
        <v>146</v>
      </c>
      <c r="H30" s="12">
        <v>-54</v>
      </c>
    </row>
    <row r="31" spans="2:8" x14ac:dyDescent="0.25">
      <c r="B31" s="12" t="s">
        <v>127</v>
      </c>
      <c r="C31" s="12" t="s">
        <v>55</v>
      </c>
      <c r="D31" s="14">
        <v>-74</v>
      </c>
      <c r="E31" s="14">
        <v>-66.2</v>
      </c>
      <c r="F31" s="12">
        <v>14.376262486367002</v>
      </c>
      <c r="G31" s="12">
        <v>-30</v>
      </c>
      <c r="H31" s="12">
        <v>-76</v>
      </c>
    </row>
    <row r="32" spans="2:8" ht="15.75" thickBot="1" x14ac:dyDescent="0.3">
      <c r="B32" s="11" t="s">
        <v>128</v>
      </c>
      <c r="C32" s="11" t="s">
        <v>55</v>
      </c>
      <c r="D32" s="15">
        <v>-4</v>
      </c>
      <c r="E32" s="15">
        <v>-3.65</v>
      </c>
      <c r="F32" s="11">
        <v>0.76961528850958538</v>
      </c>
      <c r="G32" s="11">
        <v>0</v>
      </c>
      <c r="H32" s="11">
        <v>-5</v>
      </c>
    </row>
    <row r="34" spans="1:8" ht="15.75" thickBot="1" x14ac:dyDescent="0.3">
      <c r="A34" t="s">
        <v>73</v>
      </c>
    </row>
    <row r="35" spans="1:8" x14ac:dyDescent="0.25">
      <c r="B35" s="35"/>
      <c r="C35" s="35"/>
      <c r="D35" s="35" t="s">
        <v>82</v>
      </c>
      <c r="E35" s="35" t="s">
        <v>84</v>
      </c>
      <c r="F35" s="35" t="s">
        <v>85</v>
      </c>
      <c r="G35" s="35" t="s">
        <v>87</v>
      </c>
      <c r="H35" s="35" t="s">
        <v>88</v>
      </c>
    </row>
    <row r="36" spans="1:8" ht="15.75" thickBot="1" x14ac:dyDescent="0.3">
      <c r="B36" s="36" t="s">
        <v>67</v>
      </c>
      <c r="C36" s="36" t="s">
        <v>68</v>
      </c>
      <c r="D36" s="36" t="s">
        <v>83</v>
      </c>
      <c r="E36" s="36" t="s">
        <v>83</v>
      </c>
      <c r="F36" s="36" t="s">
        <v>86</v>
      </c>
      <c r="G36" s="36" t="s">
        <v>83</v>
      </c>
      <c r="H36" s="36" t="s">
        <v>83</v>
      </c>
    </row>
    <row r="37" spans="1:8" ht="15.75" thickBot="1" x14ac:dyDescent="0.3">
      <c r="B37" s="11" t="s">
        <v>129</v>
      </c>
      <c r="C37" s="11" t="s">
        <v>78</v>
      </c>
      <c r="D37" s="13">
        <v>0</v>
      </c>
      <c r="E37" s="13">
        <v>0</v>
      </c>
      <c r="F37" s="11">
        <v>0</v>
      </c>
      <c r="G37" s="11">
        <v>0</v>
      </c>
      <c r="H37" s="11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FB87D-3310-422B-847A-A7264D4AB30F}">
  <sheetPr codeName="Planilha11"/>
  <dimension ref="A1:BE733"/>
  <sheetViews>
    <sheetView tabSelected="1" zoomScaleNormal="100" workbookViewId="0">
      <pane xSplit="2" ySplit="5" topLeftCell="W6" activePane="bottomRight" state="frozen"/>
      <selection pane="topRight" activeCell="C1" sqref="C1"/>
      <selection pane="bottomLeft" activeCell="A4" sqref="A4"/>
      <selection pane="bottomRight" activeCell="BB23" sqref="BB23"/>
    </sheetView>
  </sheetViews>
  <sheetFormatPr defaultColWidth="9.140625" defaultRowHeight="15" x14ac:dyDescent="0.25"/>
  <cols>
    <col min="1" max="1" width="9.140625" style="4"/>
    <col min="2" max="2" width="14.42578125" style="4" customWidth="1"/>
    <col min="3" max="27" width="9.140625" style="4"/>
    <col min="28" max="28" width="10.140625" style="4" customWidth="1"/>
    <col min="29" max="29" width="9.140625" style="6"/>
    <col min="30" max="30" width="13.28515625" style="19" bestFit="1" customWidth="1"/>
    <col min="31" max="31" width="20.5703125" style="4" customWidth="1"/>
    <col min="32" max="32" width="14.5703125" style="4" customWidth="1"/>
    <col min="33" max="16384" width="9.140625" style="4"/>
  </cols>
  <sheetData>
    <row r="1" spans="1:57" x14ac:dyDescent="0.25">
      <c r="C1" s="4" cm="1">
        <f t="array" aca="1" ref="C1" ca="1">MATCH(1,INDEX(--(C6:C734&gt;0),0),0)</f>
        <v>1</v>
      </c>
      <c r="D1" s="4">
        <f t="shared" ref="D1:Y1" ca="1" si="0">MATCH(1,INDEX(--(D6:D734&gt;0),0),0)</f>
        <v>83</v>
      </c>
      <c r="E1" s="4">
        <f t="shared" ca="1" si="0"/>
        <v>1</v>
      </c>
      <c r="F1" s="4">
        <f t="shared" ca="1" si="0"/>
        <v>7</v>
      </c>
      <c r="G1" s="4">
        <f t="shared" ca="1" si="0"/>
        <v>38</v>
      </c>
      <c r="H1" s="4">
        <f t="shared" ca="1" si="0"/>
        <v>101</v>
      </c>
      <c r="I1" s="4">
        <f t="shared" ca="1" si="0"/>
        <v>120</v>
      </c>
      <c r="J1" s="4">
        <f t="shared" ca="1" si="0"/>
        <v>75</v>
      </c>
      <c r="K1" s="4">
        <f t="shared" ca="1" si="0"/>
        <v>1</v>
      </c>
      <c r="L1" s="4">
        <f t="shared" ca="1" si="0"/>
        <v>20</v>
      </c>
      <c r="M1" s="4">
        <f t="shared" ca="1" si="0"/>
        <v>1</v>
      </c>
      <c r="N1" s="4">
        <f t="shared" ca="1" si="0"/>
        <v>40</v>
      </c>
      <c r="O1" s="4">
        <f t="shared" ca="1" si="0"/>
        <v>107</v>
      </c>
      <c r="P1" s="4">
        <f t="shared" ca="1" si="0"/>
        <v>3</v>
      </c>
      <c r="Q1" s="4">
        <f t="shared" ca="1" si="0"/>
        <v>10</v>
      </c>
      <c r="R1" s="4">
        <f t="shared" ca="1" si="0"/>
        <v>48</v>
      </c>
      <c r="S1" s="4">
        <f t="shared" ca="1" si="0"/>
        <v>96</v>
      </c>
      <c r="T1" s="4">
        <f t="shared" ca="1" si="0"/>
        <v>1</v>
      </c>
      <c r="U1" s="4">
        <f t="shared" ca="1" si="0"/>
        <v>2</v>
      </c>
      <c r="V1" s="4">
        <f t="shared" ca="1" si="0"/>
        <v>25</v>
      </c>
      <c r="W1" s="4">
        <f t="shared" ca="1" si="0"/>
        <v>28</v>
      </c>
      <c r="X1" s="4">
        <f t="shared" ca="1" si="0"/>
        <v>1</v>
      </c>
      <c r="Y1" s="4">
        <f t="shared" ca="1" si="0"/>
        <v>3</v>
      </c>
      <c r="Z1" s="4" cm="1">
        <f t="array" aca="1" ref="Z1" ca="1">MATCH(1,INDEX(--(Z6:Z734&gt;0),0),0)</f>
        <v>73</v>
      </c>
      <c r="AB1" s="4">
        <v>1.5</v>
      </c>
    </row>
    <row r="2" spans="1:57" ht="15.75" thickBot="1" x14ac:dyDescent="0.3">
      <c r="B2" s="26" t="s">
        <v>99</v>
      </c>
      <c r="C2" s="26">
        <v>-31</v>
      </c>
      <c r="D2" s="26">
        <v>-33</v>
      </c>
      <c r="E2" s="26">
        <v>-34</v>
      </c>
      <c r="F2" s="26">
        <v>-35</v>
      </c>
      <c r="G2" s="26">
        <v>-35</v>
      </c>
      <c r="H2" s="26">
        <v>-38</v>
      </c>
      <c r="I2" s="26">
        <v>-39</v>
      </c>
      <c r="J2" s="26">
        <v>-40</v>
      </c>
      <c r="K2" s="26">
        <v>-40</v>
      </c>
      <c r="L2" s="26">
        <v>-40</v>
      </c>
      <c r="M2" s="26">
        <v>-41</v>
      </c>
      <c r="N2" s="26">
        <v>-44</v>
      </c>
      <c r="O2" s="26">
        <v>-44</v>
      </c>
      <c r="P2" s="26">
        <v>-44</v>
      </c>
      <c r="Q2" s="26">
        <v>-45</v>
      </c>
      <c r="R2" s="26">
        <v>-46</v>
      </c>
      <c r="S2" s="26">
        <v>-46</v>
      </c>
      <c r="T2" s="26">
        <v>-46</v>
      </c>
      <c r="U2" s="26">
        <v>-48</v>
      </c>
      <c r="V2" s="26">
        <v>-53</v>
      </c>
      <c r="W2" s="26">
        <v>-54</v>
      </c>
      <c r="X2" s="26">
        <v>-54</v>
      </c>
      <c r="Y2" s="26">
        <v>-76</v>
      </c>
      <c r="Z2" s="26">
        <v>-76</v>
      </c>
      <c r="AC2" s="25" t="s">
        <v>102</v>
      </c>
      <c r="AD2" s="24">
        <f>10/1200</f>
        <v>8.3333333333333332E-3</v>
      </c>
      <c r="AE2" s="32" t="s">
        <v>57</v>
      </c>
    </row>
    <row r="3" spans="1:57" ht="15.75" thickBot="1" x14ac:dyDescent="0.3">
      <c r="A3" s="4" t="s">
        <v>103</v>
      </c>
      <c r="B3" s="27" t="s">
        <v>55</v>
      </c>
      <c r="C3" s="28">
        <v>-31</v>
      </c>
      <c r="D3" s="28">
        <v>49</v>
      </c>
      <c r="E3" s="28">
        <v>-34</v>
      </c>
      <c r="F3" s="28">
        <v>-29</v>
      </c>
      <c r="G3" s="28">
        <v>2</v>
      </c>
      <c r="H3" s="28">
        <v>62</v>
      </c>
      <c r="I3" s="28">
        <v>80</v>
      </c>
      <c r="J3" s="28">
        <v>34</v>
      </c>
      <c r="K3" s="28">
        <v>-40</v>
      </c>
      <c r="L3" s="28">
        <v>-21</v>
      </c>
      <c r="M3" s="28">
        <v>-41</v>
      </c>
      <c r="N3" s="28">
        <v>-5</v>
      </c>
      <c r="O3" s="28">
        <v>62</v>
      </c>
      <c r="P3" s="28">
        <v>-42</v>
      </c>
      <c r="Q3" s="28">
        <v>-36</v>
      </c>
      <c r="R3" s="28">
        <v>1</v>
      </c>
      <c r="S3" s="28">
        <v>49</v>
      </c>
      <c r="T3" s="28">
        <v>-46</v>
      </c>
      <c r="U3" s="28">
        <v>-47</v>
      </c>
      <c r="V3" s="28">
        <v>-29</v>
      </c>
      <c r="W3" s="28">
        <v>-27</v>
      </c>
      <c r="X3" s="28">
        <v>-54</v>
      </c>
      <c r="Y3" s="28">
        <v>-74</v>
      </c>
      <c r="Z3" s="28">
        <v>-4</v>
      </c>
      <c r="AB3" s="4" t="s">
        <v>54</v>
      </c>
      <c r="AC3" s="7">
        <f ca="1">MIN(AC6:AC485)</f>
        <v>7.7219999999997526</v>
      </c>
      <c r="AE3" s="33">
        <f ca="1">SUMIF(AC6:AC485,"&lt;0",AC6:AC485)</f>
        <v>0</v>
      </c>
    </row>
    <row r="4" spans="1:57" ht="15.75" thickBot="1" x14ac:dyDescent="0.3">
      <c r="B4" s="29" t="s">
        <v>100</v>
      </c>
      <c r="C4" s="30">
        <f>200-ABS(C2)</f>
        <v>169</v>
      </c>
      <c r="D4" s="30">
        <f t="shared" ref="D4:Z4" si="1">200-ABS(D2)</f>
        <v>167</v>
      </c>
      <c r="E4" s="30">
        <f t="shared" si="1"/>
        <v>166</v>
      </c>
      <c r="F4" s="30">
        <f t="shared" si="1"/>
        <v>165</v>
      </c>
      <c r="G4" s="30">
        <f t="shared" si="1"/>
        <v>165</v>
      </c>
      <c r="H4" s="30">
        <f t="shared" si="1"/>
        <v>162</v>
      </c>
      <c r="I4" s="30">
        <f t="shared" si="1"/>
        <v>161</v>
      </c>
      <c r="J4" s="30">
        <f t="shared" si="1"/>
        <v>160</v>
      </c>
      <c r="K4" s="30">
        <f t="shared" si="1"/>
        <v>160</v>
      </c>
      <c r="L4" s="30">
        <f t="shared" si="1"/>
        <v>160</v>
      </c>
      <c r="M4" s="30">
        <f t="shared" si="1"/>
        <v>159</v>
      </c>
      <c r="N4" s="30">
        <f t="shared" si="1"/>
        <v>156</v>
      </c>
      <c r="O4" s="30">
        <f t="shared" si="1"/>
        <v>156</v>
      </c>
      <c r="P4" s="30">
        <f t="shared" si="1"/>
        <v>156</v>
      </c>
      <c r="Q4" s="30">
        <f t="shared" si="1"/>
        <v>155</v>
      </c>
      <c r="R4" s="30">
        <f t="shared" si="1"/>
        <v>154</v>
      </c>
      <c r="S4" s="30">
        <f t="shared" si="1"/>
        <v>154</v>
      </c>
      <c r="T4" s="30">
        <f t="shared" si="1"/>
        <v>154</v>
      </c>
      <c r="U4" s="30">
        <f t="shared" si="1"/>
        <v>152</v>
      </c>
      <c r="V4" s="30">
        <f t="shared" si="1"/>
        <v>147</v>
      </c>
      <c r="W4" s="30">
        <f t="shared" si="1"/>
        <v>146</v>
      </c>
      <c r="X4" s="30">
        <f t="shared" si="1"/>
        <v>146</v>
      </c>
      <c r="Y4" s="30">
        <f t="shared" si="1"/>
        <v>124</v>
      </c>
      <c r="Z4" s="30">
        <f t="shared" si="1"/>
        <v>124</v>
      </c>
      <c r="AC4" s="22"/>
      <c r="AE4" s="23"/>
    </row>
    <row r="5" spans="1:57" ht="15.75" thickBot="1" x14ac:dyDescent="0.3">
      <c r="A5" s="19">
        <v>1</v>
      </c>
      <c r="B5" s="19" t="s">
        <v>4</v>
      </c>
      <c r="C5" s="19" t="s">
        <v>28</v>
      </c>
      <c r="D5" s="19" t="s">
        <v>29</v>
      </c>
      <c r="E5" s="19" t="s">
        <v>30</v>
      </c>
      <c r="F5" s="19" t="s">
        <v>31</v>
      </c>
      <c r="G5" s="19" t="s">
        <v>32</v>
      </c>
      <c r="H5" s="19" t="s">
        <v>33</v>
      </c>
      <c r="I5" s="19" t="s">
        <v>34</v>
      </c>
      <c r="J5" s="19" t="s">
        <v>35</v>
      </c>
      <c r="K5" s="19" t="s">
        <v>36</v>
      </c>
      <c r="L5" s="19" t="s">
        <v>37</v>
      </c>
      <c r="M5" s="19" t="s">
        <v>38</v>
      </c>
      <c r="N5" s="19" t="s">
        <v>39</v>
      </c>
      <c r="O5" s="19" t="s">
        <v>40</v>
      </c>
      <c r="P5" s="19" t="s">
        <v>41</v>
      </c>
      <c r="Q5" s="19" t="s">
        <v>42</v>
      </c>
      <c r="R5" s="19" t="s">
        <v>43</v>
      </c>
      <c r="S5" s="19" t="s">
        <v>44</v>
      </c>
      <c r="T5" s="19" t="s">
        <v>45</v>
      </c>
      <c r="U5" s="19" t="s">
        <v>46</v>
      </c>
      <c r="V5" s="19" t="s">
        <v>47</v>
      </c>
      <c r="W5" s="19" t="s">
        <v>48</v>
      </c>
      <c r="X5" s="19" t="s">
        <v>49</v>
      </c>
      <c r="Y5" s="19" t="s">
        <v>50</v>
      </c>
      <c r="Z5" s="19" t="s">
        <v>51</v>
      </c>
      <c r="AA5" s="20" t="s">
        <v>27</v>
      </c>
      <c r="AB5" s="20" t="s">
        <v>52</v>
      </c>
      <c r="AC5" s="20" t="s">
        <v>53</v>
      </c>
      <c r="AD5" s="21" t="s">
        <v>101</v>
      </c>
      <c r="AE5" s="4" t="s">
        <v>56</v>
      </c>
      <c r="AF5" s="8">
        <f ca="1">SUM(AD6:AD485)</f>
        <v>1523418.5136058778</v>
      </c>
      <c r="AG5" s="4" t="s">
        <v>90</v>
      </c>
    </row>
    <row r="6" spans="1:57" x14ac:dyDescent="0.25">
      <c r="A6" s="19">
        <v>2</v>
      </c>
      <c r="B6" s="31">
        <v>45658</v>
      </c>
      <c r="C6" s="19">
        <f ca="1">IF($A6-C$3&lt;2,0,OFFSET('FPSO1 Base'!C3,-'FPSO1 Otim'!C$3,0))</f>
        <v>53.941499999999998</v>
      </c>
      <c r="D6" s="19">
        <f ca="1">IF($A6-D$3&lt;2,0,OFFSET('FPSO1 Base'!D3,-'FPSO1 Otim'!D$3,0))</f>
        <v>0</v>
      </c>
      <c r="E6" s="19">
        <f ca="1">IF($A6-E$3&lt;2,0,OFFSET('FPSO1 Base'!E3,-'FPSO1 Otim'!E$3,0))</f>
        <v>2689.59</v>
      </c>
      <c r="F6" s="19">
        <f ca="1">IF($A6-F$3&lt;2,0,OFFSET('FPSO1 Base'!F3,-'FPSO1 Otim'!F$3,0))</f>
        <v>0</v>
      </c>
      <c r="G6" s="19">
        <f ca="1">IF($A6-G$3&lt;2,0,OFFSET('FPSO1 Base'!G3,-'FPSO1 Otim'!G$3,0))</f>
        <v>0</v>
      </c>
      <c r="H6" s="19">
        <f ca="1">IF($A6-H$3&lt;2,0,OFFSET('FPSO1 Base'!H3,-'FPSO1 Otim'!H$3,0))</f>
        <v>0</v>
      </c>
      <c r="I6" s="19">
        <f ca="1">IF($A6-I$3&lt;2,0,OFFSET('FPSO1 Base'!I3,-'FPSO1 Otim'!I$3,0))</f>
        <v>0</v>
      </c>
      <c r="J6" s="19">
        <f ca="1">IF($A6-J$3&lt;2,0,OFFSET('FPSO1 Base'!J3,-'FPSO1 Otim'!J$3,0))</f>
        <v>0</v>
      </c>
      <c r="K6" s="19">
        <f ca="1">IF($A6-K$3&lt;2,0,OFFSET('FPSO1 Base'!K3,-'FPSO1 Otim'!K$3,0))</f>
        <v>302.26800000000003</v>
      </c>
      <c r="L6" s="19">
        <f ca="1">IF($A6-L$3&lt;2,0,OFFSET('FPSO1 Base'!L3,-'FPSO1 Otim'!L$3,0))</f>
        <v>0</v>
      </c>
      <c r="M6" s="19">
        <f ca="1">IF($A6-M$3&lt;2,0,OFFSET('FPSO1 Base'!M3,-'FPSO1 Otim'!M$3,0))</f>
        <v>1561.2449999999999</v>
      </c>
      <c r="N6" s="19">
        <f ca="1">IF($A6-N$3&lt;2,0,OFFSET('FPSO1 Base'!N3,-'FPSO1 Otim'!N$3,0))</f>
        <v>0</v>
      </c>
      <c r="O6" s="19">
        <f ca="1">IF($A6-O$3&lt;2,0,OFFSET('FPSO1 Base'!O3,-'FPSO1 Otim'!O$3,0))</f>
        <v>0</v>
      </c>
      <c r="P6" s="19">
        <f ca="1">IF($A6-P$3&lt;2,0,OFFSET('FPSO1 Base'!P3,-'FPSO1 Otim'!P$3,0))</f>
        <v>0</v>
      </c>
      <c r="Q6" s="19">
        <f ca="1">IF($A6-Q$3&lt;2,0,OFFSET('FPSO1 Base'!Q3,-'FPSO1 Otim'!Q$3,0))</f>
        <v>0</v>
      </c>
      <c r="R6" s="19">
        <f ca="1">IF($A6-R$3&lt;2,0,OFFSET('FPSO1 Base'!R3,-'FPSO1 Otim'!R$3,0))</f>
        <v>0</v>
      </c>
      <c r="S6" s="19">
        <f ca="1">IF($A6-S$3&lt;2,0,OFFSET('FPSO1 Base'!S3,-'FPSO1 Otim'!S$3,0))</f>
        <v>0</v>
      </c>
      <c r="T6" s="19">
        <f ca="1">IF($A6-T$3&lt;2,0,OFFSET('FPSO1 Base'!T3,-'FPSO1 Otim'!T$3,0))</f>
        <v>1539.9750000000001</v>
      </c>
      <c r="U6" s="19">
        <f ca="1">IF($A6-U$3&lt;2,0,OFFSET('FPSO1 Base'!U3,-'FPSO1 Otim'!U$3,0))</f>
        <v>0</v>
      </c>
      <c r="V6" s="19">
        <f ca="1">IF($A6-V$3&lt;2,0,OFFSET('FPSO1 Base'!V3,-'FPSO1 Otim'!V$3,0))</f>
        <v>0</v>
      </c>
      <c r="W6" s="19">
        <f ca="1">IF($A6-W$3&lt;2,0,OFFSET('FPSO1 Base'!W3,-'FPSO1 Otim'!W$3,0))</f>
        <v>0</v>
      </c>
      <c r="X6" s="19">
        <f ca="1">IF($A6-X$3&lt;2,0,OFFSET('FPSO1 Base'!X3,-'FPSO1 Otim'!X$3,0))</f>
        <v>1318.3664999999999</v>
      </c>
      <c r="Y6" s="19">
        <f ca="1">IF($A6-Y$3&lt;2,0,OFFSET('FPSO1 Base'!Y3,-'FPSO1 Otim'!Y$3,0))</f>
        <v>0</v>
      </c>
      <c r="Z6" s="19">
        <f ca="1">IF($A6-Z$3&lt;2,0,OFFSET('FPSO1 Base'!Z3,-'FPSO1 Otim'!Z$3,0))</f>
        <v>0</v>
      </c>
      <c r="AA6" s="20">
        <v>15000</v>
      </c>
      <c r="AB6" s="19">
        <f ca="1">SUM(C6:Z6)</f>
        <v>7465.3860000000004</v>
      </c>
      <c r="AC6" s="20">
        <f ca="1">AA6-AB6</f>
        <v>7534.6139999999996</v>
      </c>
      <c r="AD6" s="19">
        <f ca="1">AB6/(1+$AD$2)^(A6-2)</f>
        <v>7465.3860000000004</v>
      </c>
    </row>
    <row r="7" spans="1:57" x14ac:dyDescent="0.25">
      <c r="A7" s="19">
        <v>3</v>
      </c>
      <c r="B7" s="31">
        <v>45689</v>
      </c>
      <c r="C7" s="19">
        <f ca="1">IF($A7-C$3&lt;2,0,OFFSET('FPSO1 Base'!C4,-'FPSO1 Otim'!C$3,0))</f>
        <v>1672.1775000000002</v>
      </c>
      <c r="D7" s="19">
        <f ca="1">IF($A7-D$3&lt;2,0,OFFSET('FPSO1 Base'!D4,-'FPSO1 Otim'!D$3,0))</f>
        <v>0</v>
      </c>
      <c r="E7" s="19">
        <f ca="1">IF($A7-E$3&lt;2,0,OFFSET('FPSO1 Base'!E4,-'FPSO1 Otim'!E$3,0))</f>
        <v>2203.4700000000003</v>
      </c>
      <c r="F7" s="19">
        <f ca="1">IF($A7-F$3&lt;2,0,OFFSET('FPSO1 Base'!F4,-'FPSO1 Otim'!F$3,0))</f>
        <v>0</v>
      </c>
      <c r="G7" s="19">
        <f ca="1">IF($A7-G$3&lt;2,0,OFFSET('FPSO1 Base'!G4,-'FPSO1 Otim'!G$3,0))</f>
        <v>0</v>
      </c>
      <c r="H7" s="19">
        <f ca="1">IF($A7-H$3&lt;2,0,OFFSET('FPSO1 Base'!H4,-'FPSO1 Otim'!H$3,0))</f>
        <v>0</v>
      </c>
      <c r="I7" s="19">
        <f ca="1">IF($A7-I$3&lt;2,0,OFFSET('FPSO1 Base'!I4,-'FPSO1 Otim'!I$3,0))</f>
        <v>0</v>
      </c>
      <c r="J7" s="19">
        <f ca="1">IF($A7-J$3&lt;2,0,OFFSET('FPSO1 Base'!J4,-'FPSO1 Otim'!J$3,0))</f>
        <v>0</v>
      </c>
      <c r="K7" s="19">
        <f ca="1">IF($A7-K$3&lt;2,0,OFFSET('FPSO1 Base'!K4,-'FPSO1 Otim'!K$3,0))</f>
        <v>1672.9649999999999</v>
      </c>
      <c r="L7" s="19">
        <f ca="1">IF($A7-L$3&lt;2,0,OFFSET('FPSO1 Base'!L4,-'FPSO1 Otim'!L$3,0))</f>
        <v>0</v>
      </c>
      <c r="M7" s="19">
        <f ca="1">IF($A7-M$3&lt;2,0,OFFSET('FPSO1 Base'!M4,-'FPSO1 Otim'!M$3,0))</f>
        <v>3000.5099999999998</v>
      </c>
      <c r="N7" s="19">
        <f ca="1">IF($A7-N$3&lt;2,0,OFFSET('FPSO1 Base'!N4,-'FPSO1 Otim'!N$3,0))</f>
        <v>0</v>
      </c>
      <c r="O7" s="19">
        <f ca="1">IF($A7-O$3&lt;2,0,OFFSET('FPSO1 Base'!O4,-'FPSO1 Otim'!O$3,0))</f>
        <v>0</v>
      </c>
      <c r="P7" s="19">
        <f ca="1">IF($A7-P$3&lt;2,0,OFFSET('FPSO1 Base'!P4,-'FPSO1 Otim'!P$3,0))</f>
        <v>0</v>
      </c>
      <c r="Q7" s="19">
        <f ca="1">IF($A7-Q$3&lt;2,0,OFFSET('FPSO1 Base'!Q4,-'FPSO1 Otim'!Q$3,0))</f>
        <v>0</v>
      </c>
      <c r="R7" s="19">
        <f ca="1">IF($A7-R$3&lt;2,0,OFFSET('FPSO1 Base'!R4,-'FPSO1 Otim'!R$3,0))</f>
        <v>0</v>
      </c>
      <c r="S7" s="19">
        <f ca="1">IF($A7-S$3&lt;2,0,OFFSET('FPSO1 Base'!S4,-'FPSO1 Otim'!S$3,0))</f>
        <v>0</v>
      </c>
      <c r="T7" s="19">
        <f ca="1">IF($A7-T$3&lt;2,0,OFFSET('FPSO1 Base'!T4,-'FPSO1 Otim'!T$3,0))</f>
        <v>3167.5950000000003</v>
      </c>
      <c r="U7" s="19">
        <f ca="1">IF($A7-U$3&lt;2,0,OFFSET('FPSO1 Base'!U4,-'FPSO1 Otim'!U$3,0))</f>
        <v>1133.913</v>
      </c>
      <c r="V7" s="19">
        <f ca="1">IF($A7-V$3&lt;2,0,OFFSET('FPSO1 Base'!V4,-'FPSO1 Otim'!V$3,0))</f>
        <v>0</v>
      </c>
      <c r="W7" s="19">
        <f ca="1">IF($A7-W$3&lt;2,0,OFFSET('FPSO1 Base'!W4,-'FPSO1 Otim'!W$3,0))</f>
        <v>0</v>
      </c>
      <c r="X7" s="19">
        <f ca="1">IF($A7-X$3&lt;2,0,OFFSET('FPSO1 Base'!X4,-'FPSO1 Otim'!X$3,0))</f>
        <v>1894.335</v>
      </c>
      <c r="Y7" s="19">
        <f ca="1">IF($A7-Y$3&lt;2,0,OFFSET('FPSO1 Base'!Y4,-'FPSO1 Otim'!Y$3,0))</f>
        <v>0</v>
      </c>
      <c r="Z7" s="19">
        <f ca="1">IF($A7-Z$3&lt;2,0,OFFSET('FPSO1 Base'!Z4,-'FPSO1 Otim'!Z$3,0))</f>
        <v>0</v>
      </c>
      <c r="AA7" s="20">
        <v>15000</v>
      </c>
      <c r="AB7" s="19">
        <f t="shared" ref="AB7:AB70" ca="1" si="2">SUM(C7:Z7)</f>
        <v>14744.965499999998</v>
      </c>
      <c r="AC7" s="20">
        <f t="shared" ref="AC7:AC70" ca="1" si="3">AA7-AB7</f>
        <v>255.03450000000157</v>
      </c>
      <c r="AD7" s="19">
        <f t="shared" ref="AD7:AD70" ca="1" si="4">AB7/(1+$AD$2)^(A7-2)</f>
        <v>14623.106280991735</v>
      </c>
      <c r="AE7" s="10" t="s">
        <v>182</v>
      </c>
    </row>
    <row r="8" spans="1:57" x14ac:dyDescent="0.25">
      <c r="A8" s="19">
        <v>4</v>
      </c>
      <c r="B8" s="31">
        <v>45717</v>
      </c>
      <c r="C8" s="19">
        <f ca="1">IF($A8-C$3&lt;2,0,OFFSET('FPSO1 Base'!C5,-'FPSO1 Otim'!C$3,0))</f>
        <v>1672.1744999999999</v>
      </c>
      <c r="D8" s="19">
        <f ca="1">IF($A8-D$3&lt;2,0,OFFSET('FPSO1 Base'!D5,-'FPSO1 Otim'!D$3,0))</f>
        <v>0</v>
      </c>
      <c r="E8" s="19">
        <f ca="1">IF($A8-E$3&lt;2,0,OFFSET('FPSO1 Base'!E5,-'FPSO1 Otim'!E$3,0))</f>
        <v>1647.5249999999999</v>
      </c>
      <c r="F8" s="19">
        <f ca="1">IF($A8-F$3&lt;2,0,OFFSET('FPSO1 Base'!F5,-'FPSO1 Otim'!F$3,0))</f>
        <v>0</v>
      </c>
      <c r="G8" s="19">
        <f ca="1">IF($A8-G$3&lt;2,0,OFFSET('FPSO1 Base'!G5,-'FPSO1 Otim'!G$3,0))</f>
        <v>0</v>
      </c>
      <c r="H8" s="19">
        <f ca="1">IF($A8-H$3&lt;2,0,OFFSET('FPSO1 Base'!H5,-'FPSO1 Otim'!H$3,0))</f>
        <v>0</v>
      </c>
      <c r="I8" s="19">
        <f ca="1">IF($A8-I$3&lt;2,0,OFFSET('FPSO1 Base'!I5,-'FPSO1 Otim'!I$3,0))</f>
        <v>0</v>
      </c>
      <c r="J8" s="19">
        <f ca="1">IF($A8-J$3&lt;2,0,OFFSET('FPSO1 Base'!J5,-'FPSO1 Otim'!J$3,0))</f>
        <v>0</v>
      </c>
      <c r="K8" s="19">
        <f ca="1">IF($A8-K$3&lt;2,0,OFFSET('FPSO1 Base'!K5,-'FPSO1 Otim'!K$3,0))</f>
        <v>1414.0454999999999</v>
      </c>
      <c r="L8" s="19">
        <f ca="1">IF($A8-L$3&lt;2,0,OFFSET('FPSO1 Base'!L5,-'FPSO1 Otim'!L$3,0))</f>
        <v>0</v>
      </c>
      <c r="M8" s="19">
        <f ca="1">IF($A8-M$3&lt;2,0,OFFSET('FPSO1 Base'!M5,-'FPSO1 Otim'!M$3,0))</f>
        <v>2706.3</v>
      </c>
      <c r="N8" s="19">
        <f ca="1">IF($A8-N$3&lt;2,0,OFFSET('FPSO1 Base'!N5,-'FPSO1 Otim'!N$3,0))</f>
        <v>0</v>
      </c>
      <c r="O8" s="19">
        <f ca="1">IF($A8-O$3&lt;2,0,OFFSET('FPSO1 Base'!O5,-'FPSO1 Otim'!O$3,0))</f>
        <v>0</v>
      </c>
      <c r="P8" s="19">
        <f ca="1">IF($A8-P$3&lt;2,0,OFFSET('FPSO1 Base'!P5,-'FPSO1 Otim'!P$3,0))</f>
        <v>284.25</v>
      </c>
      <c r="Q8" s="19">
        <f ca="1">IF($A8-Q$3&lt;2,0,OFFSET('FPSO1 Base'!Q5,-'FPSO1 Otim'!Q$3,0))</f>
        <v>0</v>
      </c>
      <c r="R8" s="19">
        <f ca="1">IF($A8-R$3&lt;2,0,OFFSET('FPSO1 Base'!R5,-'FPSO1 Otim'!R$3,0))</f>
        <v>0</v>
      </c>
      <c r="S8" s="19">
        <f ca="1">IF($A8-S$3&lt;2,0,OFFSET('FPSO1 Base'!S5,-'FPSO1 Otim'!S$3,0))</f>
        <v>0</v>
      </c>
      <c r="T8" s="19">
        <f ca="1">IF($A8-T$3&lt;2,0,OFFSET('FPSO1 Base'!T5,-'FPSO1 Otim'!T$3,0))</f>
        <v>3048.21</v>
      </c>
      <c r="U8" s="19">
        <f ca="1">IF($A8-U$3&lt;2,0,OFFSET('FPSO1 Base'!U5,-'FPSO1 Otim'!U$3,0))</f>
        <v>1593.0149999999999</v>
      </c>
      <c r="V8" s="19">
        <f ca="1">IF($A8-V$3&lt;2,0,OFFSET('FPSO1 Base'!V5,-'FPSO1 Otim'!V$3,0))</f>
        <v>0</v>
      </c>
      <c r="W8" s="19">
        <f ca="1">IF($A8-W$3&lt;2,0,OFFSET('FPSO1 Base'!W5,-'FPSO1 Otim'!W$3,0))</f>
        <v>0</v>
      </c>
      <c r="X8" s="19">
        <f ca="1">IF($A8-X$3&lt;2,0,OFFSET('FPSO1 Base'!X5,-'FPSO1 Otim'!X$3,0))</f>
        <v>1891.8150000000001</v>
      </c>
      <c r="Y8" s="19">
        <f ca="1">IF($A8-Y$3&lt;2,0,OFFSET('FPSO1 Base'!Y5,-'FPSO1 Otim'!Y$3,0))</f>
        <v>197.40300000000002</v>
      </c>
      <c r="Z8" s="19">
        <f ca="1">IF($A8-Z$3&lt;2,0,OFFSET('FPSO1 Base'!Z5,-'FPSO1 Otim'!Z$3,0))</f>
        <v>0</v>
      </c>
      <c r="AA8" s="20">
        <v>15000</v>
      </c>
      <c r="AB8" s="19">
        <f t="shared" ca="1" si="2"/>
        <v>14454.738000000001</v>
      </c>
      <c r="AC8" s="20">
        <f t="shared" ca="1" si="3"/>
        <v>545.26199999999881</v>
      </c>
      <c r="AD8" s="19">
        <f t="shared" ca="1" si="4"/>
        <v>14216.803988798581</v>
      </c>
    </row>
    <row r="9" spans="1:57" x14ac:dyDescent="0.25">
      <c r="A9" s="19">
        <v>5</v>
      </c>
      <c r="B9" s="31">
        <v>45748</v>
      </c>
      <c r="C9" s="19">
        <f ca="1">IF($A9-C$3&lt;2,0,OFFSET('FPSO1 Base'!C6,-'FPSO1 Otim'!C$3,0))</f>
        <v>1672.1714999999999</v>
      </c>
      <c r="D9" s="19">
        <f ca="1">IF($A9-D$3&lt;2,0,OFFSET('FPSO1 Base'!D6,-'FPSO1 Otim'!D$3,0))</f>
        <v>0</v>
      </c>
      <c r="E9" s="19">
        <f ca="1">IF($A9-E$3&lt;2,0,OFFSET('FPSO1 Base'!E6,-'FPSO1 Otim'!E$3,0))</f>
        <v>1479.3975</v>
      </c>
      <c r="F9" s="19">
        <f ca="1">IF($A9-F$3&lt;2,0,OFFSET('FPSO1 Base'!F6,-'FPSO1 Otim'!F$3,0))</f>
        <v>0</v>
      </c>
      <c r="G9" s="19">
        <f ca="1">IF($A9-G$3&lt;2,0,OFFSET('FPSO1 Base'!G6,-'FPSO1 Otim'!G$3,0))</f>
        <v>0</v>
      </c>
      <c r="H9" s="19">
        <f ca="1">IF($A9-H$3&lt;2,0,OFFSET('FPSO1 Base'!H6,-'FPSO1 Otim'!H$3,0))</f>
        <v>0</v>
      </c>
      <c r="I9" s="19">
        <f ca="1">IF($A9-I$3&lt;2,0,OFFSET('FPSO1 Base'!I6,-'FPSO1 Otim'!I$3,0))</f>
        <v>0</v>
      </c>
      <c r="J9" s="19">
        <f ca="1">IF($A9-J$3&lt;2,0,OFFSET('FPSO1 Base'!J6,-'FPSO1 Otim'!J$3,0))</f>
        <v>0</v>
      </c>
      <c r="K9" s="19">
        <f ca="1">IF($A9-K$3&lt;2,0,OFFSET('FPSO1 Base'!K6,-'FPSO1 Otim'!K$3,0))</f>
        <v>1319.7345</v>
      </c>
      <c r="L9" s="19">
        <f ca="1">IF($A9-L$3&lt;2,0,OFFSET('FPSO1 Base'!L6,-'FPSO1 Otim'!L$3,0))</f>
        <v>0</v>
      </c>
      <c r="M9" s="19">
        <f ca="1">IF($A9-M$3&lt;2,0,OFFSET('FPSO1 Base'!M6,-'FPSO1 Otim'!M$3,0))</f>
        <v>2533.9349999999999</v>
      </c>
      <c r="N9" s="19">
        <f ca="1">IF($A9-N$3&lt;2,0,OFFSET('FPSO1 Base'!N6,-'FPSO1 Otim'!N$3,0))</f>
        <v>0</v>
      </c>
      <c r="O9" s="19">
        <f ca="1">IF($A9-O$3&lt;2,0,OFFSET('FPSO1 Base'!O6,-'FPSO1 Otim'!O$3,0))</f>
        <v>0</v>
      </c>
      <c r="P9" s="19">
        <f ca="1">IF($A9-P$3&lt;2,0,OFFSET('FPSO1 Base'!P6,-'FPSO1 Otim'!P$3,0))</f>
        <v>333.58050000000003</v>
      </c>
      <c r="Q9" s="19">
        <f ca="1">IF($A9-Q$3&lt;2,0,OFFSET('FPSO1 Base'!Q6,-'FPSO1 Otim'!Q$3,0))</f>
        <v>0</v>
      </c>
      <c r="R9" s="19">
        <f ca="1">IF($A9-R$3&lt;2,0,OFFSET('FPSO1 Base'!R6,-'FPSO1 Otim'!R$3,0))</f>
        <v>0</v>
      </c>
      <c r="S9" s="19">
        <f ca="1">IF($A9-S$3&lt;2,0,OFFSET('FPSO1 Base'!S6,-'FPSO1 Otim'!S$3,0))</f>
        <v>0</v>
      </c>
      <c r="T9" s="19">
        <f ca="1">IF($A9-T$3&lt;2,0,OFFSET('FPSO1 Base'!T6,-'FPSO1 Otim'!T$3,0))</f>
        <v>2914.335</v>
      </c>
      <c r="U9" s="19">
        <f ca="1">IF($A9-U$3&lt;2,0,OFFSET('FPSO1 Base'!U6,-'FPSO1 Otim'!U$3,0))</f>
        <v>1489.923</v>
      </c>
      <c r="V9" s="19">
        <f ca="1">IF($A9-V$3&lt;2,0,OFFSET('FPSO1 Base'!V6,-'FPSO1 Otim'!V$3,0))</f>
        <v>0</v>
      </c>
      <c r="W9" s="19">
        <f ca="1">IF($A9-W$3&lt;2,0,OFFSET('FPSO1 Base'!W6,-'FPSO1 Otim'!W$3,0))</f>
        <v>0</v>
      </c>
      <c r="X9" s="19">
        <f ca="1">IF($A9-X$3&lt;2,0,OFFSET('FPSO1 Base'!X6,-'FPSO1 Otim'!X$3,0))</f>
        <v>1877.2649999999999</v>
      </c>
      <c r="Y9" s="19">
        <f ca="1">IF($A9-Y$3&lt;2,0,OFFSET('FPSO1 Base'!Y6,-'FPSO1 Otim'!Y$3,0))</f>
        <v>941.61899999999991</v>
      </c>
      <c r="Z9" s="19">
        <f ca="1">IF($A9-Z$3&lt;2,0,OFFSET('FPSO1 Base'!Z6,-'FPSO1 Otim'!Z$3,0))</f>
        <v>0</v>
      </c>
      <c r="AA9" s="20">
        <v>15000</v>
      </c>
      <c r="AB9" s="19">
        <f t="shared" ca="1" si="2"/>
        <v>14561.960999999999</v>
      </c>
      <c r="AC9" s="20">
        <f ca="1">AA9-AB9</f>
        <v>438.03900000000067</v>
      </c>
      <c r="AD9" s="19">
        <f t="shared" ca="1" si="4"/>
        <v>14203.896229370595</v>
      </c>
      <c r="AF9" s="4" t="s">
        <v>180</v>
      </c>
    </row>
    <row r="10" spans="1:57" x14ac:dyDescent="0.25">
      <c r="A10" s="19">
        <v>6</v>
      </c>
      <c r="B10" s="31">
        <v>45778</v>
      </c>
      <c r="C10" s="19">
        <f ca="1">IF($A10-C$3&lt;2,0,OFFSET('FPSO1 Base'!C7,-'FPSO1 Otim'!C$3,0))</f>
        <v>1672.17</v>
      </c>
      <c r="D10" s="19">
        <f ca="1">IF($A10-D$3&lt;2,0,OFFSET('FPSO1 Base'!D7,-'FPSO1 Otim'!D$3,0))</f>
        <v>0</v>
      </c>
      <c r="E10" s="19">
        <f ca="1">IF($A10-E$3&lt;2,0,OFFSET('FPSO1 Base'!E7,-'FPSO1 Otim'!E$3,0))</f>
        <v>1401.4335000000001</v>
      </c>
      <c r="F10" s="19">
        <f ca="1">IF($A10-F$3&lt;2,0,OFFSET('FPSO1 Base'!F7,-'FPSO1 Otim'!F$3,0))</f>
        <v>0</v>
      </c>
      <c r="G10" s="19">
        <f ca="1">IF($A10-G$3&lt;2,0,OFFSET('FPSO1 Base'!G7,-'FPSO1 Otim'!G$3,0))</f>
        <v>0</v>
      </c>
      <c r="H10" s="19">
        <f ca="1">IF($A10-H$3&lt;2,0,OFFSET('FPSO1 Base'!H7,-'FPSO1 Otim'!H$3,0))</f>
        <v>0</v>
      </c>
      <c r="I10" s="19">
        <f ca="1">IF($A10-I$3&lt;2,0,OFFSET('FPSO1 Base'!I7,-'FPSO1 Otim'!I$3,0))</f>
        <v>0</v>
      </c>
      <c r="J10" s="19">
        <f ca="1">IF($A10-J$3&lt;2,0,OFFSET('FPSO1 Base'!J7,-'FPSO1 Otim'!J$3,0))</f>
        <v>0</v>
      </c>
      <c r="K10" s="19">
        <f ca="1">IF($A10-K$3&lt;2,0,OFFSET('FPSO1 Base'!K7,-'FPSO1 Otim'!K$3,0))</f>
        <v>1258.1775</v>
      </c>
      <c r="L10" s="19">
        <f ca="1">IF($A10-L$3&lt;2,0,OFFSET('FPSO1 Base'!L7,-'FPSO1 Otim'!L$3,0))</f>
        <v>0</v>
      </c>
      <c r="M10" s="19">
        <f ca="1">IF($A10-M$3&lt;2,0,OFFSET('FPSO1 Base'!M7,-'FPSO1 Otim'!M$3,0))</f>
        <v>2349.5249999999996</v>
      </c>
      <c r="N10" s="19">
        <f ca="1">IF($A10-N$3&lt;2,0,OFFSET('FPSO1 Base'!N7,-'FPSO1 Otim'!N$3,0))</f>
        <v>0</v>
      </c>
      <c r="O10" s="19">
        <f ca="1">IF($A10-O$3&lt;2,0,OFFSET('FPSO1 Base'!O7,-'FPSO1 Otim'!O$3,0))</f>
        <v>0</v>
      </c>
      <c r="P10" s="19">
        <f ca="1">IF($A10-P$3&lt;2,0,OFFSET('FPSO1 Base'!P7,-'FPSO1 Otim'!P$3,0))</f>
        <v>366.1995</v>
      </c>
      <c r="Q10" s="19">
        <f ca="1">IF($A10-Q$3&lt;2,0,OFFSET('FPSO1 Base'!Q7,-'FPSO1 Otim'!Q$3,0))</f>
        <v>0</v>
      </c>
      <c r="R10" s="19">
        <f ca="1">IF($A10-R$3&lt;2,0,OFFSET('FPSO1 Base'!R7,-'FPSO1 Otim'!R$3,0))</f>
        <v>0</v>
      </c>
      <c r="S10" s="19">
        <f ca="1">IF($A10-S$3&lt;2,0,OFFSET('FPSO1 Base'!S7,-'FPSO1 Otim'!S$3,0))</f>
        <v>0</v>
      </c>
      <c r="T10" s="19">
        <f ca="1">IF($A10-T$3&lt;2,0,OFFSET('FPSO1 Base'!T7,-'FPSO1 Otim'!T$3,0))</f>
        <v>2752.89</v>
      </c>
      <c r="U10" s="19">
        <f ca="1">IF($A10-U$3&lt;2,0,OFFSET('FPSO1 Base'!U7,-'FPSO1 Otim'!U$3,0))</f>
        <v>1453.6379999999999</v>
      </c>
      <c r="V10" s="19">
        <f ca="1">IF($A10-V$3&lt;2,0,OFFSET('FPSO1 Base'!V7,-'FPSO1 Otim'!V$3,0))</f>
        <v>0</v>
      </c>
      <c r="W10" s="19">
        <f ca="1">IF($A10-W$3&lt;2,0,OFFSET('FPSO1 Base'!W7,-'FPSO1 Otim'!W$3,0))</f>
        <v>0</v>
      </c>
      <c r="X10" s="19">
        <f ca="1">IF($A10-X$3&lt;2,0,OFFSET('FPSO1 Base'!X7,-'FPSO1 Otim'!X$3,0))</f>
        <v>1863.105</v>
      </c>
      <c r="Y10" s="19">
        <f ca="1">IF($A10-Y$3&lt;2,0,OFFSET('FPSO1 Base'!Y7,-'FPSO1 Otim'!Y$3,0))</f>
        <v>945.22800000000007</v>
      </c>
      <c r="Z10" s="19">
        <f ca="1">IF($A10-Z$3&lt;2,0,OFFSET('FPSO1 Base'!Z7,-'FPSO1 Otim'!Z$3,0))</f>
        <v>0</v>
      </c>
      <c r="AA10" s="20">
        <v>15000</v>
      </c>
      <c r="AB10" s="19">
        <f t="shared" ca="1" si="2"/>
        <v>14062.366499999996</v>
      </c>
      <c r="AC10" s="20">
        <f ca="1">AA10-AB10</f>
        <v>937.63350000000355</v>
      </c>
      <c r="AD10" s="19">
        <f t="shared" ca="1" si="4"/>
        <v>13603.226065730394</v>
      </c>
      <c r="AE10" s="17" t="s">
        <v>181</v>
      </c>
      <c r="AF10" s="37">
        <v>1255903.2598082239</v>
      </c>
      <c r="AG10" s="38">
        <f t="shared" ref="AG10:AG13" si="5">SUM(AH10:BE10)</f>
        <v>0</v>
      </c>
      <c r="AH10" s="39">
        <v>0</v>
      </c>
      <c r="AI10" s="39">
        <v>0</v>
      </c>
      <c r="AJ10" s="39">
        <v>0</v>
      </c>
      <c r="AK10" s="39">
        <v>0</v>
      </c>
      <c r="AL10" s="39">
        <v>0</v>
      </c>
      <c r="AM10" s="39">
        <v>0</v>
      </c>
      <c r="AN10" s="39">
        <v>0</v>
      </c>
      <c r="AO10" s="39">
        <v>0</v>
      </c>
      <c r="AP10" s="39">
        <v>0</v>
      </c>
      <c r="AQ10" s="39">
        <v>0</v>
      </c>
      <c r="AR10" s="39">
        <v>0</v>
      </c>
      <c r="AS10" s="39">
        <v>0</v>
      </c>
      <c r="AT10" s="39">
        <v>0</v>
      </c>
      <c r="AU10" s="39">
        <v>0</v>
      </c>
      <c r="AV10" s="39">
        <v>0</v>
      </c>
      <c r="AW10" s="39">
        <v>0</v>
      </c>
      <c r="AX10" s="39">
        <v>0</v>
      </c>
      <c r="AY10" s="39">
        <v>0</v>
      </c>
      <c r="AZ10" s="39">
        <v>0</v>
      </c>
      <c r="BA10" s="39">
        <v>0</v>
      </c>
      <c r="BB10" s="39">
        <v>0</v>
      </c>
      <c r="BC10" s="39">
        <v>0</v>
      </c>
      <c r="BD10" s="39">
        <v>0</v>
      </c>
      <c r="BE10" s="39">
        <v>0</v>
      </c>
    </row>
    <row r="11" spans="1:57" x14ac:dyDescent="0.25">
      <c r="A11" s="19">
        <v>7</v>
      </c>
      <c r="B11" s="31">
        <v>45809</v>
      </c>
      <c r="C11" s="19">
        <f ca="1">IF($A11-C$3&lt;2,0,OFFSET('FPSO1 Base'!C8,-'FPSO1 Otim'!C$3,0))</f>
        <v>1672.17</v>
      </c>
      <c r="D11" s="19">
        <f ca="1">IF($A11-D$3&lt;2,0,OFFSET('FPSO1 Base'!D8,-'FPSO1 Otim'!D$3,0))</f>
        <v>0</v>
      </c>
      <c r="E11" s="19">
        <f ca="1">IF($A11-E$3&lt;2,0,OFFSET('FPSO1 Base'!E8,-'FPSO1 Otim'!E$3,0))</f>
        <v>1344.4289999999999</v>
      </c>
      <c r="F11" s="19">
        <f ca="1">IF($A11-F$3&lt;2,0,OFFSET('FPSO1 Base'!F8,-'FPSO1 Otim'!F$3,0))</f>
        <v>0</v>
      </c>
      <c r="G11" s="19">
        <f ca="1">IF($A11-G$3&lt;2,0,OFFSET('FPSO1 Base'!G8,-'FPSO1 Otim'!G$3,0))</f>
        <v>0</v>
      </c>
      <c r="H11" s="19">
        <f ca="1">IF($A11-H$3&lt;2,0,OFFSET('FPSO1 Base'!H8,-'FPSO1 Otim'!H$3,0))</f>
        <v>0</v>
      </c>
      <c r="I11" s="19">
        <f ca="1">IF($A11-I$3&lt;2,0,OFFSET('FPSO1 Base'!I8,-'FPSO1 Otim'!I$3,0))</f>
        <v>0</v>
      </c>
      <c r="J11" s="19">
        <f ca="1">IF($A11-J$3&lt;2,0,OFFSET('FPSO1 Base'!J8,-'FPSO1 Otim'!J$3,0))</f>
        <v>0</v>
      </c>
      <c r="K11" s="19">
        <f ca="1">IF($A11-K$3&lt;2,0,OFFSET('FPSO1 Base'!K8,-'FPSO1 Otim'!K$3,0))</f>
        <v>1202.0145</v>
      </c>
      <c r="L11" s="19">
        <f ca="1">IF($A11-L$3&lt;2,0,OFFSET('FPSO1 Base'!L8,-'FPSO1 Otim'!L$3,0))</f>
        <v>0</v>
      </c>
      <c r="M11" s="19">
        <f ca="1">IF($A11-M$3&lt;2,0,OFFSET('FPSO1 Base'!M8,-'FPSO1 Otim'!M$3,0))</f>
        <v>2159.2950000000001</v>
      </c>
      <c r="N11" s="19">
        <f ca="1">IF($A11-N$3&lt;2,0,OFFSET('FPSO1 Base'!N8,-'FPSO1 Otim'!N$3,0))</f>
        <v>0</v>
      </c>
      <c r="O11" s="19">
        <f ca="1">IF($A11-O$3&lt;2,0,OFFSET('FPSO1 Base'!O8,-'FPSO1 Otim'!O$3,0))</f>
        <v>0</v>
      </c>
      <c r="P11" s="19">
        <f ca="1">IF($A11-P$3&lt;2,0,OFFSET('FPSO1 Base'!P8,-'FPSO1 Otim'!P$3,0))</f>
        <v>374.709</v>
      </c>
      <c r="Q11" s="19">
        <f ca="1">IF($A11-Q$3&lt;2,0,OFFSET('FPSO1 Base'!Q8,-'FPSO1 Otim'!Q$3,0))</f>
        <v>0</v>
      </c>
      <c r="R11" s="19">
        <f ca="1">IF($A11-R$3&lt;2,0,OFFSET('FPSO1 Base'!R8,-'FPSO1 Otim'!R$3,0))</f>
        <v>0</v>
      </c>
      <c r="S11" s="19">
        <f ca="1">IF($A11-S$3&lt;2,0,OFFSET('FPSO1 Base'!S8,-'FPSO1 Otim'!S$3,0))</f>
        <v>0</v>
      </c>
      <c r="T11" s="19">
        <f ca="1">IF($A11-T$3&lt;2,0,OFFSET('FPSO1 Base'!T8,-'FPSO1 Otim'!T$3,0))</f>
        <v>2612.2950000000001</v>
      </c>
      <c r="U11" s="19">
        <f ca="1">IF($A11-U$3&lt;2,0,OFFSET('FPSO1 Base'!U8,-'FPSO1 Otim'!U$3,0))</f>
        <v>1450.7055</v>
      </c>
      <c r="V11" s="19">
        <f ca="1">IF($A11-V$3&lt;2,0,OFFSET('FPSO1 Base'!V8,-'FPSO1 Otim'!V$3,0))</f>
        <v>0</v>
      </c>
      <c r="W11" s="19">
        <f ca="1">IF($A11-W$3&lt;2,0,OFFSET('FPSO1 Base'!W8,-'FPSO1 Otim'!W$3,0))</f>
        <v>0</v>
      </c>
      <c r="X11" s="19">
        <f ca="1">IF($A11-X$3&lt;2,0,OFFSET('FPSO1 Base'!X8,-'FPSO1 Otim'!X$3,0))</f>
        <v>1850.835</v>
      </c>
      <c r="Y11" s="19">
        <f ca="1">IF($A11-Y$3&lt;2,0,OFFSET('FPSO1 Base'!Y8,-'FPSO1 Otim'!Y$3,0))</f>
        <v>955.452</v>
      </c>
      <c r="Z11" s="19">
        <f ca="1">IF($A11-Z$3&lt;2,0,OFFSET('FPSO1 Base'!Z8,-'FPSO1 Otim'!Z$3,0))</f>
        <v>0</v>
      </c>
      <c r="AA11" s="20">
        <v>15000</v>
      </c>
      <c r="AB11" s="19">
        <f t="shared" ca="1" si="2"/>
        <v>13621.905000000001</v>
      </c>
      <c r="AC11" s="20">
        <f t="shared" ca="1" si="3"/>
        <v>1378.0949999999993</v>
      </c>
      <c r="AD11" s="19">
        <f t="shared" ca="1" si="4"/>
        <v>13068.243733147348</v>
      </c>
      <c r="AE11" s="17" t="s">
        <v>58</v>
      </c>
      <c r="AF11" s="37">
        <v>1527474.3636883656</v>
      </c>
      <c r="AG11" s="38">
        <v>-411</v>
      </c>
      <c r="AH11" s="39">
        <v>-31</v>
      </c>
      <c r="AI11" s="39">
        <v>-33</v>
      </c>
      <c r="AJ11" s="39">
        <v>-34</v>
      </c>
      <c r="AK11" s="39">
        <v>-35</v>
      </c>
      <c r="AL11" s="39">
        <v>-23</v>
      </c>
      <c r="AM11" s="39">
        <v>21</v>
      </c>
      <c r="AN11" s="39">
        <v>42</v>
      </c>
      <c r="AO11" s="39">
        <v>10</v>
      </c>
      <c r="AP11" s="39">
        <v>-38</v>
      </c>
      <c r="AQ11" s="39">
        <v>-34</v>
      </c>
      <c r="AR11" s="39">
        <v>-41</v>
      </c>
      <c r="AS11" s="39">
        <v>-34</v>
      </c>
      <c r="AT11" s="39">
        <v>-35</v>
      </c>
      <c r="AU11" s="39">
        <v>2</v>
      </c>
      <c r="AV11" s="39">
        <v>-15</v>
      </c>
      <c r="AW11" s="39">
        <v>51</v>
      </c>
      <c r="AX11" s="39">
        <v>-46</v>
      </c>
      <c r="AY11" s="39">
        <v>-46</v>
      </c>
      <c r="AZ11" s="39">
        <v>-21</v>
      </c>
      <c r="BA11" s="39">
        <v>19</v>
      </c>
      <c r="BB11" s="39">
        <v>-53</v>
      </c>
      <c r="BC11" s="39">
        <v>-12</v>
      </c>
      <c r="BD11" s="39">
        <v>31</v>
      </c>
      <c r="BE11" s="39">
        <v>-56</v>
      </c>
    </row>
    <row r="12" spans="1:57" x14ac:dyDescent="0.25">
      <c r="A12" s="19">
        <v>8</v>
      </c>
      <c r="B12" s="31">
        <v>45839</v>
      </c>
      <c r="C12" s="19">
        <f ca="1">IF($A12-C$3&lt;2,0,OFFSET('FPSO1 Base'!C9,-'FPSO1 Otim'!C$3,0))</f>
        <v>1672.1669999999999</v>
      </c>
      <c r="D12" s="19">
        <f ca="1">IF($A12-D$3&lt;2,0,OFFSET('FPSO1 Base'!D9,-'FPSO1 Otim'!D$3,0))</f>
        <v>0</v>
      </c>
      <c r="E12" s="19">
        <f ca="1">IF($A12-E$3&lt;2,0,OFFSET('FPSO1 Base'!E9,-'FPSO1 Otim'!E$3,0))</f>
        <v>1305.99</v>
      </c>
      <c r="F12" s="19">
        <f ca="1">IF($A12-F$3&lt;2,0,OFFSET('FPSO1 Base'!F9,-'FPSO1 Otim'!F$3,0))</f>
        <v>1537.8899999999999</v>
      </c>
      <c r="G12" s="19">
        <f ca="1">IF($A12-G$3&lt;2,0,OFFSET('FPSO1 Base'!G9,-'FPSO1 Otim'!G$3,0))</f>
        <v>0</v>
      </c>
      <c r="H12" s="19">
        <f ca="1">IF($A12-H$3&lt;2,0,OFFSET('FPSO1 Base'!H9,-'FPSO1 Otim'!H$3,0))</f>
        <v>0</v>
      </c>
      <c r="I12" s="19">
        <f ca="1">IF($A12-I$3&lt;2,0,OFFSET('FPSO1 Base'!I9,-'FPSO1 Otim'!I$3,0))</f>
        <v>0</v>
      </c>
      <c r="J12" s="19">
        <f ca="1">IF($A12-J$3&lt;2,0,OFFSET('FPSO1 Base'!J9,-'FPSO1 Otim'!J$3,0))</f>
        <v>0</v>
      </c>
      <c r="K12" s="19">
        <f ca="1">IF($A12-K$3&lt;2,0,OFFSET('FPSO1 Base'!K9,-'FPSO1 Otim'!K$3,0))</f>
        <v>1148.43</v>
      </c>
      <c r="L12" s="19">
        <f ca="1">IF($A12-L$3&lt;2,0,OFFSET('FPSO1 Base'!L9,-'FPSO1 Otim'!L$3,0))</f>
        <v>0</v>
      </c>
      <c r="M12" s="19">
        <f ca="1">IF($A12-M$3&lt;2,0,OFFSET('FPSO1 Base'!M9,-'FPSO1 Otim'!M$3,0))</f>
        <v>2004.2550000000001</v>
      </c>
      <c r="N12" s="19">
        <f ca="1">IF($A12-N$3&lt;2,0,OFFSET('FPSO1 Base'!N9,-'FPSO1 Otim'!N$3,0))</f>
        <v>0</v>
      </c>
      <c r="O12" s="19">
        <f ca="1">IF($A12-O$3&lt;2,0,OFFSET('FPSO1 Base'!O9,-'FPSO1 Otim'!O$3,0))</f>
        <v>0</v>
      </c>
      <c r="P12" s="19">
        <f ca="1">IF($A12-P$3&lt;2,0,OFFSET('FPSO1 Base'!P9,-'FPSO1 Otim'!P$3,0))</f>
        <v>392.84999999999997</v>
      </c>
      <c r="Q12" s="19">
        <f ca="1">IF($A12-Q$3&lt;2,0,OFFSET('FPSO1 Base'!Q9,-'FPSO1 Otim'!Q$3,0))</f>
        <v>0</v>
      </c>
      <c r="R12" s="19">
        <f ca="1">IF($A12-R$3&lt;2,0,OFFSET('FPSO1 Base'!R9,-'FPSO1 Otim'!R$3,0))</f>
        <v>0</v>
      </c>
      <c r="S12" s="19">
        <f ca="1">IF($A12-S$3&lt;2,0,OFFSET('FPSO1 Base'!S9,-'FPSO1 Otim'!S$3,0))</f>
        <v>0</v>
      </c>
      <c r="T12" s="19">
        <f ca="1">IF($A12-T$3&lt;2,0,OFFSET('FPSO1 Base'!T9,-'FPSO1 Otim'!T$3,0))</f>
        <v>2526.9299999999998</v>
      </c>
      <c r="U12" s="19">
        <f ca="1">IF($A12-U$3&lt;2,0,OFFSET('FPSO1 Base'!U9,-'FPSO1 Otim'!U$3,0))</f>
        <v>1452.3375000000001</v>
      </c>
      <c r="V12" s="19">
        <f ca="1">IF($A12-V$3&lt;2,0,OFFSET('FPSO1 Base'!V9,-'FPSO1 Otim'!V$3,0))</f>
        <v>0</v>
      </c>
      <c r="W12" s="19">
        <f ca="1">IF($A12-W$3&lt;2,0,OFFSET('FPSO1 Base'!W9,-'FPSO1 Otim'!W$3,0))</f>
        <v>0</v>
      </c>
      <c r="X12" s="19">
        <f ca="1">IF($A12-X$3&lt;2,0,OFFSET('FPSO1 Base'!X9,-'FPSO1 Otim'!X$3,0))</f>
        <v>1837.4549999999999</v>
      </c>
      <c r="Y12" s="19">
        <f ca="1">IF($A12-Y$3&lt;2,0,OFFSET('FPSO1 Base'!Y9,-'FPSO1 Otim'!Y$3,0))</f>
        <v>959.97900000000004</v>
      </c>
      <c r="Z12" s="19">
        <f ca="1">IF($A12-Z$3&lt;2,0,OFFSET('FPSO1 Base'!Z9,-'FPSO1 Otim'!Z$3,0))</f>
        <v>0</v>
      </c>
      <c r="AA12" s="20">
        <v>15000</v>
      </c>
      <c r="AB12" s="19">
        <f t="shared" ca="1" si="2"/>
        <v>14838.2835</v>
      </c>
      <c r="AC12" s="20">
        <f t="shared" ca="1" si="3"/>
        <v>161.71650000000045</v>
      </c>
      <c r="AD12" s="19">
        <f t="shared" ca="1" si="4"/>
        <v>14117.536486448485</v>
      </c>
      <c r="AE12" s="18" t="s">
        <v>89</v>
      </c>
      <c r="AF12" s="37">
        <v>1523418.5136058778</v>
      </c>
      <c r="AG12" s="38">
        <v>-221</v>
      </c>
      <c r="AH12" s="39">
        <v>-31</v>
      </c>
      <c r="AI12" s="39">
        <v>49</v>
      </c>
      <c r="AJ12" s="39">
        <v>-34</v>
      </c>
      <c r="AK12" s="39">
        <v>-29</v>
      </c>
      <c r="AL12" s="39">
        <v>2</v>
      </c>
      <c r="AM12" s="39">
        <v>62</v>
      </c>
      <c r="AN12" s="39">
        <v>80</v>
      </c>
      <c r="AO12" s="39">
        <v>34</v>
      </c>
      <c r="AP12" s="39">
        <v>-40</v>
      </c>
      <c r="AQ12" s="39">
        <v>-21</v>
      </c>
      <c r="AR12" s="39">
        <v>-41</v>
      </c>
      <c r="AS12" s="39">
        <v>-5</v>
      </c>
      <c r="AT12" s="39">
        <v>62</v>
      </c>
      <c r="AU12" s="39">
        <v>-42</v>
      </c>
      <c r="AV12" s="39">
        <v>-36</v>
      </c>
      <c r="AW12" s="39">
        <v>1</v>
      </c>
      <c r="AX12" s="39">
        <v>49</v>
      </c>
      <c r="AY12" s="39">
        <v>-46</v>
      </c>
      <c r="AZ12" s="39">
        <v>-47</v>
      </c>
      <c r="BA12" s="39">
        <v>-29</v>
      </c>
      <c r="BB12" s="39">
        <v>-27</v>
      </c>
      <c r="BC12" s="39">
        <v>-54</v>
      </c>
      <c r="BD12" s="39">
        <v>-74</v>
      </c>
      <c r="BE12" s="39">
        <v>-4</v>
      </c>
    </row>
    <row r="13" spans="1:57" x14ac:dyDescent="0.25">
      <c r="A13" s="19">
        <v>9</v>
      </c>
      <c r="B13" s="31">
        <v>45870</v>
      </c>
      <c r="C13" s="19">
        <f ca="1">IF($A13-C$3&lt;2,0,OFFSET('FPSO1 Base'!C10,-'FPSO1 Otim'!C$3,0))</f>
        <v>1672.1669999999999</v>
      </c>
      <c r="D13" s="19">
        <f ca="1">IF($A13-D$3&lt;2,0,OFFSET('FPSO1 Base'!D10,-'FPSO1 Otim'!D$3,0))</f>
        <v>0</v>
      </c>
      <c r="E13" s="19">
        <f ca="1">IF($A13-E$3&lt;2,0,OFFSET('FPSO1 Base'!E10,-'FPSO1 Otim'!E$3,0))</f>
        <v>1269.1275000000001</v>
      </c>
      <c r="F13" s="19">
        <f ca="1">IF($A13-F$3&lt;2,0,OFFSET('FPSO1 Base'!F10,-'FPSO1 Otim'!F$3,0))</f>
        <v>1759.9949999999999</v>
      </c>
      <c r="G13" s="19">
        <f ca="1">IF($A13-G$3&lt;2,0,OFFSET('FPSO1 Base'!G10,-'FPSO1 Otim'!G$3,0))</f>
        <v>0</v>
      </c>
      <c r="H13" s="19">
        <f ca="1">IF($A13-H$3&lt;2,0,OFFSET('FPSO1 Base'!H10,-'FPSO1 Otim'!H$3,0))</f>
        <v>0</v>
      </c>
      <c r="I13" s="19">
        <f ca="1">IF($A13-I$3&lt;2,0,OFFSET('FPSO1 Base'!I10,-'FPSO1 Otim'!I$3,0))</f>
        <v>0</v>
      </c>
      <c r="J13" s="19">
        <f ca="1">IF($A13-J$3&lt;2,0,OFFSET('FPSO1 Base'!J10,-'FPSO1 Otim'!J$3,0))</f>
        <v>0</v>
      </c>
      <c r="K13" s="19">
        <f ca="1">IF($A13-K$3&lt;2,0,OFFSET('FPSO1 Base'!K10,-'FPSO1 Otim'!K$3,0))</f>
        <v>1097.1179999999999</v>
      </c>
      <c r="L13" s="19">
        <f ca="1">IF($A13-L$3&lt;2,0,OFFSET('FPSO1 Base'!L10,-'FPSO1 Otim'!L$3,0))</f>
        <v>0</v>
      </c>
      <c r="M13" s="19">
        <f ca="1">IF($A13-M$3&lt;2,0,OFFSET('FPSO1 Base'!M10,-'FPSO1 Otim'!M$3,0))</f>
        <v>1874.4299999999998</v>
      </c>
      <c r="N13" s="19">
        <f ca="1">IF($A13-N$3&lt;2,0,OFFSET('FPSO1 Base'!N10,-'FPSO1 Otim'!N$3,0))</f>
        <v>0</v>
      </c>
      <c r="O13" s="19">
        <f ca="1">IF($A13-O$3&lt;2,0,OFFSET('FPSO1 Base'!O10,-'FPSO1 Otim'!O$3,0))</f>
        <v>0</v>
      </c>
      <c r="P13" s="19">
        <f ca="1">IF($A13-P$3&lt;2,0,OFFSET('FPSO1 Base'!P10,-'FPSO1 Otim'!P$3,0))</f>
        <v>406.20899999999995</v>
      </c>
      <c r="Q13" s="19">
        <f ca="1">IF($A13-Q$3&lt;2,0,OFFSET('FPSO1 Base'!Q10,-'FPSO1 Otim'!Q$3,0))</f>
        <v>0</v>
      </c>
      <c r="R13" s="19">
        <f ca="1">IF($A13-R$3&lt;2,0,OFFSET('FPSO1 Base'!R10,-'FPSO1 Otim'!R$3,0))</f>
        <v>0</v>
      </c>
      <c r="S13" s="19">
        <f ca="1">IF($A13-S$3&lt;2,0,OFFSET('FPSO1 Base'!S10,-'FPSO1 Otim'!S$3,0))</f>
        <v>0</v>
      </c>
      <c r="T13" s="19">
        <f ca="1">IF($A13-T$3&lt;2,0,OFFSET('FPSO1 Base'!T10,-'FPSO1 Otim'!T$3,0))</f>
        <v>2440.0500000000002</v>
      </c>
      <c r="U13" s="19">
        <f ca="1">IF($A13-U$3&lt;2,0,OFFSET('FPSO1 Base'!U10,-'FPSO1 Otim'!U$3,0))</f>
        <v>1440.6405</v>
      </c>
      <c r="V13" s="19">
        <f ca="1">IF($A13-V$3&lt;2,0,OFFSET('FPSO1 Base'!V10,-'FPSO1 Otim'!V$3,0))</f>
        <v>0</v>
      </c>
      <c r="W13" s="19">
        <f ca="1">IF($A13-W$3&lt;2,0,OFFSET('FPSO1 Base'!W10,-'FPSO1 Otim'!W$3,0))</f>
        <v>0</v>
      </c>
      <c r="X13" s="19">
        <f ca="1">IF($A13-X$3&lt;2,0,OFFSET('FPSO1 Base'!X10,-'FPSO1 Otim'!X$3,0))</f>
        <v>1825.095</v>
      </c>
      <c r="Y13" s="19">
        <f ca="1">IF($A13-Y$3&lt;2,0,OFFSET('FPSO1 Base'!Y10,-'FPSO1 Otim'!Y$3,0))</f>
        <v>958.34850000000006</v>
      </c>
      <c r="Z13" s="19">
        <f ca="1">IF($A13-Z$3&lt;2,0,OFFSET('FPSO1 Base'!Z10,-'FPSO1 Otim'!Z$3,0))</f>
        <v>0</v>
      </c>
      <c r="AA13" s="20">
        <v>15000</v>
      </c>
      <c r="AB13" s="19">
        <f t="shared" ca="1" si="2"/>
        <v>14743.180499999999</v>
      </c>
      <c r="AC13" s="20">
        <f t="shared" ca="1" si="3"/>
        <v>256.81950000000143</v>
      </c>
      <c r="AD13" s="19">
        <f t="shared" ca="1" si="4"/>
        <v>13911.126912174052</v>
      </c>
      <c r="AE13" s="18" t="s">
        <v>91</v>
      </c>
      <c r="AF13" s="37"/>
      <c r="AG13" s="38">
        <f t="shared" si="5"/>
        <v>0</v>
      </c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</row>
    <row r="14" spans="1:57" x14ac:dyDescent="0.25">
      <c r="A14" s="19">
        <v>10</v>
      </c>
      <c r="B14" s="31">
        <v>45901</v>
      </c>
      <c r="C14" s="19">
        <f ca="1">IF($A14-C$3&lt;2,0,OFFSET('FPSO1 Base'!C11,-'FPSO1 Otim'!C$3,0))</f>
        <v>1672.1640000000002</v>
      </c>
      <c r="D14" s="19">
        <f ca="1">IF($A14-D$3&lt;2,0,OFFSET('FPSO1 Base'!D11,-'FPSO1 Otim'!D$3,0))</f>
        <v>0</v>
      </c>
      <c r="E14" s="19">
        <f ca="1">IF($A14-E$3&lt;2,0,OFFSET('FPSO1 Base'!E11,-'FPSO1 Otim'!E$3,0))</f>
        <v>1223.4960000000001</v>
      </c>
      <c r="F14" s="19">
        <f ca="1">IF($A14-F$3&lt;2,0,OFFSET('FPSO1 Base'!F11,-'FPSO1 Otim'!F$3,0))</f>
        <v>1842.9450000000002</v>
      </c>
      <c r="G14" s="19">
        <f ca="1">IF($A14-G$3&lt;2,0,OFFSET('FPSO1 Base'!G11,-'FPSO1 Otim'!G$3,0))</f>
        <v>0</v>
      </c>
      <c r="H14" s="19">
        <f ca="1">IF($A14-H$3&lt;2,0,OFFSET('FPSO1 Base'!H11,-'FPSO1 Otim'!H$3,0))</f>
        <v>0</v>
      </c>
      <c r="I14" s="19">
        <f ca="1">IF($A14-I$3&lt;2,0,OFFSET('FPSO1 Base'!I11,-'FPSO1 Otim'!I$3,0))</f>
        <v>0</v>
      </c>
      <c r="J14" s="19">
        <f ca="1">IF($A14-J$3&lt;2,0,OFFSET('FPSO1 Base'!J11,-'FPSO1 Otim'!J$3,0))</f>
        <v>0</v>
      </c>
      <c r="K14" s="19">
        <f ca="1">IF($A14-K$3&lt;2,0,OFFSET('FPSO1 Base'!K11,-'FPSO1 Otim'!K$3,0))</f>
        <v>1048.3154999999999</v>
      </c>
      <c r="L14" s="19">
        <f ca="1">IF($A14-L$3&lt;2,0,OFFSET('FPSO1 Base'!L11,-'FPSO1 Otim'!L$3,0))</f>
        <v>0</v>
      </c>
      <c r="M14" s="19">
        <f ca="1">IF($A14-M$3&lt;2,0,OFFSET('FPSO1 Base'!M11,-'FPSO1 Otim'!M$3,0))</f>
        <v>1780.98</v>
      </c>
      <c r="N14" s="19">
        <f ca="1">IF($A14-N$3&lt;2,0,OFFSET('FPSO1 Base'!N11,-'FPSO1 Otim'!N$3,0))</f>
        <v>0</v>
      </c>
      <c r="O14" s="19">
        <f ca="1">IF($A14-O$3&lt;2,0,OFFSET('FPSO1 Base'!O11,-'FPSO1 Otim'!O$3,0))</f>
        <v>0</v>
      </c>
      <c r="P14" s="19">
        <f ca="1">IF($A14-P$3&lt;2,0,OFFSET('FPSO1 Base'!P11,-'FPSO1 Otim'!P$3,0))</f>
        <v>415.089</v>
      </c>
      <c r="Q14" s="19">
        <f ca="1">IF($A14-Q$3&lt;2,0,OFFSET('FPSO1 Base'!Q11,-'FPSO1 Otim'!Q$3,0))</f>
        <v>0</v>
      </c>
      <c r="R14" s="19">
        <f ca="1">IF($A14-R$3&lt;2,0,OFFSET('FPSO1 Base'!R11,-'FPSO1 Otim'!R$3,0))</f>
        <v>0</v>
      </c>
      <c r="S14" s="19">
        <f ca="1">IF($A14-S$3&lt;2,0,OFFSET('FPSO1 Base'!S11,-'FPSO1 Otim'!S$3,0))</f>
        <v>0</v>
      </c>
      <c r="T14" s="19">
        <f ca="1">IF($A14-T$3&lt;2,0,OFFSET('FPSO1 Base'!T11,-'FPSO1 Otim'!T$3,0))</f>
        <v>2322.75</v>
      </c>
      <c r="U14" s="19">
        <f ca="1">IF($A14-U$3&lt;2,0,OFFSET('FPSO1 Base'!U11,-'FPSO1 Otim'!U$3,0))</f>
        <v>1420.7294999999999</v>
      </c>
      <c r="V14" s="19">
        <f ca="1">IF($A14-V$3&lt;2,0,OFFSET('FPSO1 Base'!V11,-'FPSO1 Otim'!V$3,0))</f>
        <v>0</v>
      </c>
      <c r="W14" s="19">
        <f ca="1">IF($A14-W$3&lt;2,0,OFFSET('FPSO1 Base'!W11,-'FPSO1 Otim'!W$3,0))</f>
        <v>0</v>
      </c>
      <c r="X14" s="19">
        <f ca="1">IF($A14-X$3&lt;2,0,OFFSET('FPSO1 Base'!X11,-'FPSO1 Otim'!X$3,0))</f>
        <v>1813.41</v>
      </c>
      <c r="Y14" s="19">
        <f ca="1">IF($A14-Y$3&lt;2,0,OFFSET('FPSO1 Base'!Y11,-'FPSO1 Otim'!Y$3,0))</f>
        <v>951.6345</v>
      </c>
      <c r="Z14" s="19">
        <f ca="1">IF($A14-Z$3&lt;2,0,OFFSET('FPSO1 Base'!Z11,-'FPSO1 Otim'!Z$3,0))</f>
        <v>0</v>
      </c>
      <c r="AA14" s="20">
        <v>15000</v>
      </c>
      <c r="AB14" s="19">
        <f t="shared" ca="1" si="2"/>
        <v>14491.513499999999</v>
      </c>
      <c r="AC14" s="20">
        <f t="shared" ca="1" si="3"/>
        <v>508.48650000000089</v>
      </c>
      <c r="AD14" s="19">
        <f t="shared" ca="1" si="4"/>
        <v>13560.657637895609</v>
      </c>
      <c r="AE14" s="18" t="s">
        <v>92</v>
      </c>
      <c r="AF14" s="37"/>
      <c r="AG14" s="38">
        <f t="shared" ref="AG12:AG31" si="6">SUM(AH14:BE14)</f>
        <v>0</v>
      </c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</row>
    <row r="15" spans="1:57" x14ac:dyDescent="0.25">
      <c r="A15" s="19">
        <v>11</v>
      </c>
      <c r="B15" s="31">
        <v>45931</v>
      </c>
      <c r="C15" s="19">
        <f ca="1">IF($A15-C$3&lt;2,0,OFFSET('FPSO1 Base'!C12,-'FPSO1 Otim'!C$3,0))</f>
        <v>1672.1625000000001</v>
      </c>
      <c r="D15" s="19">
        <f ca="1">IF($A15-D$3&lt;2,0,OFFSET('FPSO1 Base'!D12,-'FPSO1 Otim'!D$3,0))</f>
        <v>0</v>
      </c>
      <c r="E15" s="19">
        <f ca="1">IF($A15-E$3&lt;2,0,OFFSET('FPSO1 Base'!E12,-'FPSO1 Otim'!E$3,0))</f>
        <v>1191.4950000000001</v>
      </c>
      <c r="F15" s="19">
        <f ca="1">IF($A15-F$3&lt;2,0,OFFSET('FPSO1 Base'!F12,-'FPSO1 Otim'!F$3,0))</f>
        <v>1931.16</v>
      </c>
      <c r="G15" s="19">
        <f ca="1">IF($A15-G$3&lt;2,0,OFFSET('FPSO1 Base'!G12,-'FPSO1 Otim'!G$3,0))</f>
        <v>0</v>
      </c>
      <c r="H15" s="19">
        <f ca="1">IF($A15-H$3&lt;2,0,OFFSET('FPSO1 Base'!H12,-'FPSO1 Otim'!H$3,0))</f>
        <v>0</v>
      </c>
      <c r="I15" s="19">
        <f ca="1">IF($A15-I$3&lt;2,0,OFFSET('FPSO1 Base'!I12,-'FPSO1 Otim'!I$3,0))</f>
        <v>0</v>
      </c>
      <c r="J15" s="19">
        <f ca="1">IF($A15-J$3&lt;2,0,OFFSET('FPSO1 Base'!J12,-'FPSO1 Otim'!J$3,0))</f>
        <v>0</v>
      </c>
      <c r="K15" s="19">
        <f ca="1">IF($A15-K$3&lt;2,0,OFFSET('FPSO1 Base'!K12,-'FPSO1 Otim'!K$3,0))</f>
        <v>1010.9415</v>
      </c>
      <c r="L15" s="19">
        <f ca="1">IF($A15-L$3&lt;2,0,OFFSET('FPSO1 Base'!L12,-'FPSO1 Otim'!L$3,0))</f>
        <v>0</v>
      </c>
      <c r="M15" s="19">
        <f ca="1">IF($A15-M$3&lt;2,0,OFFSET('FPSO1 Base'!M12,-'FPSO1 Otim'!M$3,0))</f>
        <v>1712.46</v>
      </c>
      <c r="N15" s="19">
        <f ca="1">IF($A15-N$3&lt;2,0,OFFSET('FPSO1 Base'!N12,-'FPSO1 Otim'!N$3,0))</f>
        <v>0</v>
      </c>
      <c r="O15" s="19">
        <f ca="1">IF($A15-O$3&lt;2,0,OFFSET('FPSO1 Base'!O12,-'FPSO1 Otim'!O$3,0))</f>
        <v>0</v>
      </c>
      <c r="P15" s="19">
        <f ca="1">IF($A15-P$3&lt;2,0,OFFSET('FPSO1 Base'!P12,-'FPSO1 Otim'!P$3,0))</f>
        <v>420.42450000000002</v>
      </c>
      <c r="Q15" s="19">
        <f ca="1">IF($A15-Q$3&lt;2,0,OFFSET('FPSO1 Base'!Q12,-'FPSO1 Otim'!Q$3,0))</f>
        <v>308.25599999999997</v>
      </c>
      <c r="R15" s="19">
        <f ca="1">IF($A15-R$3&lt;2,0,OFFSET('FPSO1 Base'!R12,-'FPSO1 Otim'!R$3,0))</f>
        <v>0</v>
      </c>
      <c r="S15" s="19">
        <f ca="1">IF($A15-S$3&lt;2,0,OFFSET('FPSO1 Base'!S12,-'FPSO1 Otim'!S$3,0))</f>
        <v>0</v>
      </c>
      <c r="T15" s="19">
        <f ca="1">IF($A15-T$3&lt;2,0,OFFSET('FPSO1 Base'!T12,-'FPSO1 Otim'!T$3,0))</f>
        <v>2219.5050000000001</v>
      </c>
      <c r="U15" s="19">
        <f ca="1">IF($A15-U$3&lt;2,0,OFFSET('FPSO1 Base'!U12,-'FPSO1 Otim'!U$3,0))</f>
        <v>1393.1924999999999</v>
      </c>
      <c r="V15" s="19">
        <f ca="1">IF($A15-V$3&lt;2,0,OFFSET('FPSO1 Base'!V12,-'FPSO1 Otim'!V$3,0))</f>
        <v>0</v>
      </c>
      <c r="W15" s="19">
        <f ca="1">IF($A15-W$3&lt;2,0,OFFSET('FPSO1 Base'!W12,-'FPSO1 Otim'!W$3,0))</f>
        <v>0</v>
      </c>
      <c r="X15" s="19">
        <f ca="1">IF($A15-X$3&lt;2,0,OFFSET('FPSO1 Base'!X12,-'FPSO1 Otim'!X$3,0))</f>
        <v>1802.1150000000002</v>
      </c>
      <c r="Y15" s="19">
        <f ca="1">IF($A15-Y$3&lt;2,0,OFFSET('FPSO1 Base'!Y12,-'FPSO1 Otim'!Y$3,0))</f>
        <v>941.51400000000012</v>
      </c>
      <c r="Z15" s="19">
        <f ca="1">IF($A15-Z$3&lt;2,0,OFFSET('FPSO1 Base'!Z12,-'FPSO1 Otim'!Z$3,0))</f>
        <v>0</v>
      </c>
      <c r="AA15" s="20">
        <v>15000</v>
      </c>
      <c r="AB15" s="19">
        <f t="shared" ca="1" si="2"/>
        <v>14603.225999999999</v>
      </c>
      <c r="AC15" s="20">
        <f t="shared" ca="1" si="3"/>
        <v>396.77400000000125</v>
      </c>
      <c r="AD15" s="19">
        <f t="shared" ca="1" si="4"/>
        <v>13552.258845246737</v>
      </c>
      <c r="AE15" s="18" t="s">
        <v>93</v>
      </c>
      <c r="AF15" s="37"/>
      <c r="AG15" s="38">
        <f t="shared" si="6"/>
        <v>0</v>
      </c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</row>
    <row r="16" spans="1:57" x14ac:dyDescent="0.25">
      <c r="A16" s="19">
        <v>12</v>
      </c>
      <c r="B16" s="31">
        <v>45962</v>
      </c>
      <c r="C16" s="19">
        <f ca="1">IF($A16-C$3&lt;2,0,OFFSET('FPSO1 Base'!C13,-'FPSO1 Otim'!C$3,0))</f>
        <v>1672.1625000000001</v>
      </c>
      <c r="D16" s="19">
        <f ca="1">IF($A16-D$3&lt;2,0,OFFSET('FPSO1 Base'!D13,-'FPSO1 Otim'!D$3,0))</f>
        <v>0</v>
      </c>
      <c r="E16" s="19">
        <f ca="1">IF($A16-E$3&lt;2,0,OFFSET('FPSO1 Base'!E13,-'FPSO1 Otim'!E$3,0))</f>
        <v>1165.7474999999999</v>
      </c>
      <c r="F16" s="19">
        <f ca="1">IF($A16-F$3&lt;2,0,OFFSET('FPSO1 Base'!F13,-'FPSO1 Otim'!F$3,0))</f>
        <v>2016.4349999999999</v>
      </c>
      <c r="G16" s="19">
        <f ca="1">IF($A16-G$3&lt;2,0,OFFSET('FPSO1 Base'!G13,-'FPSO1 Otim'!G$3,0))</f>
        <v>0</v>
      </c>
      <c r="H16" s="19">
        <f ca="1">IF($A16-H$3&lt;2,0,OFFSET('FPSO1 Base'!H13,-'FPSO1 Otim'!H$3,0))</f>
        <v>0</v>
      </c>
      <c r="I16" s="19">
        <f ca="1">IF($A16-I$3&lt;2,0,OFFSET('FPSO1 Base'!I13,-'FPSO1 Otim'!I$3,0))</f>
        <v>0</v>
      </c>
      <c r="J16" s="19">
        <f ca="1">IF($A16-J$3&lt;2,0,OFFSET('FPSO1 Base'!J13,-'FPSO1 Otim'!J$3,0))</f>
        <v>0</v>
      </c>
      <c r="K16" s="19">
        <f ca="1">IF($A16-K$3&lt;2,0,OFFSET('FPSO1 Base'!K13,-'FPSO1 Otim'!K$3,0))</f>
        <v>983.24099999999999</v>
      </c>
      <c r="L16" s="19">
        <f ca="1">IF($A16-L$3&lt;2,0,OFFSET('FPSO1 Base'!L13,-'FPSO1 Otim'!L$3,0))</f>
        <v>0</v>
      </c>
      <c r="M16" s="19">
        <f ca="1">IF($A16-M$3&lt;2,0,OFFSET('FPSO1 Base'!M13,-'FPSO1 Otim'!M$3,0))</f>
        <v>1652.28</v>
      </c>
      <c r="N16" s="19">
        <f ca="1">IF($A16-N$3&lt;2,0,OFFSET('FPSO1 Base'!N13,-'FPSO1 Otim'!N$3,0))</f>
        <v>0</v>
      </c>
      <c r="O16" s="19">
        <f ca="1">IF($A16-O$3&lt;2,0,OFFSET('FPSO1 Base'!O13,-'FPSO1 Otim'!O$3,0))</f>
        <v>0</v>
      </c>
      <c r="P16" s="19">
        <f ca="1">IF($A16-P$3&lt;2,0,OFFSET('FPSO1 Base'!P13,-'FPSO1 Otim'!P$3,0))</f>
        <v>423</v>
      </c>
      <c r="Q16" s="19">
        <f ca="1">IF($A16-Q$3&lt;2,0,OFFSET('FPSO1 Base'!Q13,-'FPSO1 Otim'!Q$3,0))</f>
        <v>829.20900000000006</v>
      </c>
      <c r="R16" s="19">
        <f ca="1">IF($A16-R$3&lt;2,0,OFFSET('FPSO1 Base'!R13,-'FPSO1 Otim'!R$3,0))</f>
        <v>0</v>
      </c>
      <c r="S16" s="19">
        <f ca="1">IF($A16-S$3&lt;2,0,OFFSET('FPSO1 Base'!S13,-'FPSO1 Otim'!S$3,0))</f>
        <v>0</v>
      </c>
      <c r="T16" s="19">
        <f ca="1">IF($A16-T$3&lt;2,0,OFFSET('FPSO1 Base'!T13,-'FPSO1 Otim'!T$3,0))</f>
        <v>2102.16</v>
      </c>
      <c r="U16" s="19">
        <f ca="1">IF($A16-U$3&lt;2,0,OFFSET('FPSO1 Base'!U13,-'FPSO1 Otim'!U$3,0))</f>
        <v>1377.3029999999999</v>
      </c>
      <c r="V16" s="19">
        <f ca="1">IF($A16-V$3&lt;2,0,OFFSET('FPSO1 Base'!V13,-'FPSO1 Otim'!V$3,0))</f>
        <v>0</v>
      </c>
      <c r="W16" s="19">
        <f ca="1">IF($A16-W$3&lt;2,0,OFFSET('FPSO1 Base'!W13,-'FPSO1 Otim'!W$3,0))</f>
        <v>0</v>
      </c>
      <c r="X16" s="19">
        <f ca="1">IF($A16-X$3&lt;2,0,OFFSET('FPSO1 Base'!X13,-'FPSO1 Otim'!X$3,0))</f>
        <v>1792.83</v>
      </c>
      <c r="Y16" s="19">
        <f ca="1">IF($A16-Y$3&lt;2,0,OFFSET('FPSO1 Base'!Y13,-'FPSO1 Otim'!Y$3,0))</f>
        <v>926.92949999999996</v>
      </c>
      <c r="Z16" s="19">
        <f ca="1">IF($A16-Z$3&lt;2,0,OFFSET('FPSO1 Base'!Z13,-'FPSO1 Otim'!Z$3,0))</f>
        <v>0</v>
      </c>
      <c r="AA16" s="20">
        <v>15000</v>
      </c>
      <c r="AB16" s="19">
        <f t="shared" ca="1" si="2"/>
        <v>14941.297499999999</v>
      </c>
      <c r="AC16" s="20">
        <f t="shared" ca="1" si="3"/>
        <v>58.702500000001237</v>
      </c>
      <c r="AD16" s="19">
        <f t="shared" ca="1" si="4"/>
        <v>13751.404923895694</v>
      </c>
      <c r="AE16" s="18" t="s">
        <v>94</v>
      </c>
      <c r="AF16" s="37"/>
      <c r="AG16" s="38">
        <f t="shared" si="6"/>
        <v>0</v>
      </c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</row>
    <row r="17" spans="1:57" x14ac:dyDescent="0.25">
      <c r="A17" s="19">
        <v>13</v>
      </c>
      <c r="B17" s="31">
        <v>45992</v>
      </c>
      <c r="C17" s="19">
        <f ca="1">IF($A17-C$3&lt;2,0,OFFSET('FPSO1 Base'!C14,-'FPSO1 Otim'!C$3,0))</f>
        <v>1672.1594999999998</v>
      </c>
      <c r="D17" s="19">
        <f ca="1">IF($A17-D$3&lt;2,0,OFFSET('FPSO1 Base'!D14,-'FPSO1 Otim'!D$3,0))</f>
        <v>0</v>
      </c>
      <c r="E17" s="19">
        <f ca="1">IF($A17-E$3&lt;2,0,OFFSET('FPSO1 Base'!E14,-'FPSO1 Otim'!E$3,0))</f>
        <v>1136.6775</v>
      </c>
      <c r="F17" s="19">
        <f ca="1">IF($A17-F$3&lt;2,0,OFFSET('FPSO1 Base'!F14,-'FPSO1 Otim'!F$3,0))</f>
        <v>2074.14</v>
      </c>
      <c r="G17" s="19">
        <f ca="1">IF($A17-G$3&lt;2,0,OFFSET('FPSO1 Base'!G14,-'FPSO1 Otim'!G$3,0))</f>
        <v>0</v>
      </c>
      <c r="H17" s="19">
        <f ca="1">IF($A17-H$3&lt;2,0,OFFSET('FPSO1 Base'!H14,-'FPSO1 Otim'!H$3,0))</f>
        <v>0</v>
      </c>
      <c r="I17" s="19">
        <f ca="1">IF($A17-I$3&lt;2,0,OFFSET('FPSO1 Base'!I14,-'FPSO1 Otim'!I$3,0))</f>
        <v>0</v>
      </c>
      <c r="J17" s="19">
        <f ca="1">IF($A17-J$3&lt;2,0,OFFSET('FPSO1 Base'!J14,-'FPSO1 Otim'!J$3,0))</f>
        <v>0</v>
      </c>
      <c r="K17" s="19">
        <f ca="1">IF($A17-K$3&lt;2,0,OFFSET('FPSO1 Base'!K14,-'FPSO1 Otim'!K$3,0))</f>
        <v>963.51299999999992</v>
      </c>
      <c r="L17" s="19">
        <f ca="1">IF($A17-L$3&lt;2,0,OFFSET('FPSO1 Base'!L14,-'FPSO1 Otim'!L$3,0))</f>
        <v>0</v>
      </c>
      <c r="M17" s="19">
        <f ca="1">IF($A17-M$3&lt;2,0,OFFSET('FPSO1 Base'!M14,-'FPSO1 Otim'!M$3,0))</f>
        <v>1606.9949999999999</v>
      </c>
      <c r="N17" s="19">
        <f ca="1">IF($A17-N$3&lt;2,0,OFFSET('FPSO1 Base'!N14,-'FPSO1 Otim'!N$3,0))</f>
        <v>0</v>
      </c>
      <c r="O17" s="19">
        <f ca="1">IF($A17-O$3&lt;2,0,OFFSET('FPSO1 Base'!O14,-'FPSO1 Otim'!O$3,0))</f>
        <v>0</v>
      </c>
      <c r="P17" s="19">
        <f ca="1">IF($A17-P$3&lt;2,0,OFFSET('FPSO1 Base'!P14,-'FPSO1 Otim'!P$3,0))</f>
        <v>424.32449999999994</v>
      </c>
      <c r="Q17" s="19">
        <f ca="1">IF($A17-Q$3&lt;2,0,OFFSET('FPSO1 Base'!Q14,-'FPSO1 Otim'!Q$3,0))</f>
        <v>761.98050000000001</v>
      </c>
      <c r="R17" s="19">
        <f ca="1">IF($A17-R$3&lt;2,0,OFFSET('FPSO1 Base'!R14,-'FPSO1 Otim'!R$3,0))</f>
        <v>0</v>
      </c>
      <c r="S17" s="19">
        <f ca="1">IF($A17-S$3&lt;2,0,OFFSET('FPSO1 Base'!S14,-'FPSO1 Otim'!S$3,0))</f>
        <v>0</v>
      </c>
      <c r="T17" s="19">
        <f ca="1">IF($A17-T$3&lt;2,0,OFFSET('FPSO1 Base'!T14,-'FPSO1 Otim'!T$3,0))</f>
        <v>2034.405</v>
      </c>
      <c r="U17" s="19">
        <f ca="1">IF($A17-U$3&lt;2,0,OFFSET('FPSO1 Base'!U14,-'FPSO1 Otim'!U$3,0))</f>
        <v>1360.8000000000002</v>
      </c>
      <c r="V17" s="19">
        <f ca="1">IF($A17-V$3&lt;2,0,OFFSET('FPSO1 Base'!V14,-'FPSO1 Otim'!V$3,0))</f>
        <v>0</v>
      </c>
      <c r="W17" s="19">
        <f ca="1">IF($A17-W$3&lt;2,0,OFFSET('FPSO1 Base'!W14,-'FPSO1 Otim'!W$3,0))</f>
        <v>0</v>
      </c>
      <c r="X17" s="19">
        <f ca="1">IF($A17-X$3&lt;2,0,OFFSET('FPSO1 Base'!X14,-'FPSO1 Otim'!X$3,0))</f>
        <v>1783.1849999999999</v>
      </c>
      <c r="Y17" s="19">
        <f ca="1">IF($A17-Y$3&lt;2,0,OFFSET('FPSO1 Base'!Y14,-'FPSO1 Otim'!Y$3,0))</f>
        <v>910.67250000000001</v>
      </c>
      <c r="Z17" s="19">
        <f ca="1">IF($A17-Z$3&lt;2,0,OFFSET('FPSO1 Base'!Z14,-'FPSO1 Otim'!Z$3,0))</f>
        <v>0</v>
      </c>
      <c r="AA17" s="20">
        <v>15000</v>
      </c>
      <c r="AB17" s="19">
        <f t="shared" ca="1" si="2"/>
        <v>14728.852499999999</v>
      </c>
      <c r="AC17" s="20">
        <f t="shared" ca="1" si="3"/>
        <v>271.14750000000095</v>
      </c>
      <c r="AD17" s="19">
        <f t="shared" ca="1" si="4"/>
        <v>13443.846529215783</v>
      </c>
      <c r="AE17" s="18" t="s">
        <v>95</v>
      </c>
      <c r="AF17" s="37"/>
      <c r="AG17" s="38">
        <f t="shared" si="6"/>
        <v>0</v>
      </c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</row>
    <row r="18" spans="1:57" x14ac:dyDescent="0.25">
      <c r="A18" s="19">
        <v>14</v>
      </c>
      <c r="B18" s="31">
        <v>46023</v>
      </c>
      <c r="C18" s="19">
        <f ca="1">IF($A18-C$3&lt;2,0,OFFSET('FPSO1 Base'!C15,-'FPSO1 Otim'!C$3,0))</f>
        <v>1745.9565</v>
      </c>
      <c r="D18" s="19">
        <f ca="1">IF($A18-D$3&lt;2,0,OFFSET('FPSO1 Base'!D15,-'FPSO1 Otim'!D$3,0))</f>
        <v>0</v>
      </c>
      <c r="E18" s="19">
        <f ca="1">IF($A18-E$3&lt;2,0,OFFSET('FPSO1 Base'!E15,-'FPSO1 Otim'!E$3,0))</f>
        <v>1095.4965</v>
      </c>
      <c r="F18" s="19">
        <f ca="1">IF($A18-F$3&lt;2,0,OFFSET('FPSO1 Base'!F15,-'FPSO1 Otim'!F$3,0))</f>
        <v>2115.8999999999996</v>
      </c>
      <c r="G18" s="19">
        <f ca="1">IF($A18-G$3&lt;2,0,OFFSET('FPSO1 Base'!G15,-'FPSO1 Otim'!G$3,0))</f>
        <v>0</v>
      </c>
      <c r="H18" s="19">
        <f ca="1">IF($A18-H$3&lt;2,0,OFFSET('FPSO1 Base'!H15,-'FPSO1 Otim'!H$3,0))</f>
        <v>0</v>
      </c>
      <c r="I18" s="19">
        <f ca="1">IF($A18-I$3&lt;2,0,OFFSET('FPSO1 Base'!I15,-'FPSO1 Otim'!I$3,0))</f>
        <v>0</v>
      </c>
      <c r="J18" s="19">
        <f ca="1">IF($A18-J$3&lt;2,0,OFFSET('FPSO1 Base'!J15,-'FPSO1 Otim'!J$3,0))</f>
        <v>0</v>
      </c>
      <c r="K18" s="19">
        <f ca="1">IF($A18-K$3&lt;2,0,OFFSET('FPSO1 Base'!K15,-'FPSO1 Otim'!K$3,0))</f>
        <v>951.11099999999988</v>
      </c>
      <c r="L18" s="19">
        <f ca="1">IF($A18-L$3&lt;2,0,OFFSET('FPSO1 Base'!L15,-'FPSO1 Otim'!L$3,0))</f>
        <v>0</v>
      </c>
      <c r="M18" s="19">
        <f ca="1">IF($A18-M$3&lt;2,0,OFFSET('FPSO1 Base'!M15,-'FPSO1 Otim'!M$3,0))</f>
        <v>1563.54</v>
      </c>
      <c r="N18" s="19">
        <f ca="1">IF($A18-N$3&lt;2,0,OFFSET('FPSO1 Base'!N15,-'FPSO1 Otim'!N$3,0))</f>
        <v>0</v>
      </c>
      <c r="O18" s="19">
        <f ca="1">IF($A18-O$3&lt;2,0,OFFSET('FPSO1 Base'!O15,-'FPSO1 Otim'!O$3,0))</f>
        <v>0</v>
      </c>
      <c r="P18" s="19">
        <f ca="1">IF($A18-P$3&lt;2,0,OFFSET('FPSO1 Base'!P15,-'FPSO1 Otim'!P$3,0))</f>
        <v>421.11300000000006</v>
      </c>
      <c r="Q18" s="19">
        <f ca="1">IF($A18-Q$3&lt;2,0,OFFSET('FPSO1 Base'!Q15,-'FPSO1 Otim'!Q$3,0))</f>
        <v>703.80899999999997</v>
      </c>
      <c r="R18" s="19">
        <f ca="1">IF($A18-R$3&lt;2,0,OFFSET('FPSO1 Base'!R15,-'FPSO1 Otim'!R$3,0))</f>
        <v>0</v>
      </c>
      <c r="S18" s="19">
        <f ca="1">IF($A18-S$3&lt;2,0,OFFSET('FPSO1 Base'!S15,-'FPSO1 Otim'!S$3,0))</f>
        <v>0</v>
      </c>
      <c r="T18" s="19">
        <f ca="1">IF($A18-T$3&lt;2,0,OFFSET('FPSO1 Base'!T15,-'FPSO1 Otim'!T$3,0))</f>
        <v>1963.8150000000001</v>
      </c>
      <c r="U18" s="19">
        <f ca="1">IF($A18-U$3&lt;2,0,OFFSET('FPSO1 Base'!U15,-'FPSO1 Otim'!U$3,0))</f>
        <v>1347.4349999999999</v>
      </c>
      <c r="V18" s="19">
        <f ca="1">IF($A18-V$3&lt;2,0,OFFSET('FPSO1 Base'!V15,-'FPSO1 Otim'!V$3,0))</f>
        <v>0</v>
      </c>
      <c r="W18" s="19">
        <f ca="1">IF($A18-W$3&lt;2,0,OFFSET('FPSO1 Base'!W15,-'FPSO1 Otim'!W$3,0))</f>
        <v>0</v>
      </c>
      <c r="X18" s="19">
        <f ca="1">IF($A18-X$3&lt;2,0,OFFSET('FPSO1 Base'!X15,-'FPSO1 Otim'!X$3,0))</f>
        <v>1776.2550000000001</v>
      </c>
      <c r="Y18" s="19">
        <f ca="1">IF($A18-Y$3&lt;2,0,OFFSET('FPSO1 Base'!Y15,-'FPSO1 Otim'!Y$3,0))</f>
        <v>892.77</v>
      </c>
      <c r="Z18" s="19">
        <f ca="1">IF($A18-Z$3&lt;2,0,OFFSET('FPSO1 Base'!Z15,-'FPSO1 Otim'!Z$3,0))</f>
        <v>0</v>
      </c>
      <c r="AA18" s="20">
        <v>15000</v>
      </c>
      <c r="AB18" s="19">
        <f t="shared" ca="1" si="2"/>
        <v>14577.201000000001</v>
      </c>
      <c r="AC18" s="20">
        <f t="shared" ca="1" si="3"/>
        <v>422.79899999999907</v>
      </c>
      <c r="AD18" s="19">
        <f t="shared" ca="1" si="4"/>
        <v>13195.46353675645</v>
      </c>
      <c r="AE18" s="18" t="s">
        <v>96</v>
      </c>
      <c r="AF18" s="37"/>
      <c r="AG18" s="38">
        <f t="shared" si="6"/>
        <v>0</v>
      </c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</row>
    <row r="19" spans="1:57" x14ac:dyDescent="0.25">
      <c r="A19" s="19">
        <v>15</v>
      </c>
      <c r="B19" s="31">
        <v>46054</v>
      </c>
      <c r="C19" s="19">
        <f ca="1">IF($A19-C$3&lt;2,0,OFFSET('FPSO1 Base'!C16,-'FPSO1 Otim'!C$3,0))</f>
        <v>1745.9549999999999</v>
      </c>
      <c r="D19" s="19">
        <f ca="1">IF($A19-D$3&lt;2,0,OFFSET('FPSO1 Base'!D16,-'FPSO1 Otim'!D$3,0))</f>
        <v>0</v>
      </c>
      <c r="E19" s="19">
        <f ca="1">IF($A19-E$3&lt;2,0,OFFSET('FPSO1 Base'!E16,-'FPSO1 Otim'!E$3,0))</f>
        <v>1059.6990000000001</v>
      </c>
      <c r="F19" s="19">
        <f ca="1">IF($A19-F$3&lt;2,0,OFFSET('FPSO1 Base'!F16,-'FPSO1 Otim'!F$3,0))</f>
        <v>2099.52</v>
      </c>
      <c r="G19" s="19">
        <f ca="1">IF($A19-G$3&lt;2,0,OFFSET('FPSO1 Base'!G16,-'FPSO1 Otim'!G$3,0))</f>
        <v>0</v>
      </c>
      <c r="H19" s="19">
        <f ca="1">IF($A19-H$3&lt;2,0,OFFSET('FPSO1 Base'!H16,-'FPSO1 Otim'!H$3,0))</f>
        <v>0</v>
      </c>
      <c r="I19" s="19">
        <f ca="1">IF($A19-I$3&lt;2,0,OFFSET('FPSO1 Base'!I16,-'FPSO1 Otim'!I$3,0))</f>
        <v>0</v>
      </c>
      <c r="J19" s="19">
        <f ca="1">IF($A19-J$3&lt;2,0,OFFSET('FPSO1 Base'!J16,-'FPSO1 Otim'!J$3,0))</f>
        <v>0</v>
      </c>
      <c r="K19" s="19">
        <f ca="1">IF($A19-K$3&lt;2,0,OFFSET('FPSO1 Base'!K16,-'FPSO1 Otim'!K$3,0))</f>
        <v>935.40300000000002</v>
      </c>
      <c r="L19" s="19">
        <f ca="1">IF($A19-L$3&lt;2,0,OFFSET('FPSO1 Base'!L16,-'FPSO1 Otim'!L$3,0))</f>
        <v>0</v>
      </c>
      <c r="M19" s="19">
        <f ca="1">IF($A19-M$3&lt;2,0,OFFSET('FPSO1 Base'!M16,-'FPSO1 Otim'!M$3,0))</f>
        <v>1522.9499999999998</v>
      </c>
      <c r="N19" s="19">
        <f ca="1">IF($A19-N$3&lt;2,0,OFFSET('FPSO1 Base'!N16,-'FPSO1 Otim'!N$3,0))</f>
        <v>0</v>
      </c>
      <c r="O19" s="19">
        <f ca="1">IF($A19-O$3&lt;2,0,OFFSET('FPSO1 Base'!O16,-'FPSO1 Otim'!O$3,0))</f>
        <v>0</v>
      </c>
      <c r="P19" s="19">
        <f ca="1">IF($A19-P$3&lt;2,0,OFFSET('FPSO1 Base'!P16,-'FPSO1 Otim'!P$3,0))</f>
        <v>420.822</v>
      </c>
      <c r="Q19" s="19">
        <f ca="1">IF($A19-Q$3&lt;2,0,OFFSET('FPSO1 Base'!Q16,-'FPSO1 Otim'!Q$3,0))</f>
        <v>672.10050000000001</v>
      </c>
      <c r="R19" s="19">
        <f ca="1">IF($A19-R$3&lt;2,0,OFFSET('FPSO1 Base'!R16,-'FPSO1 Otim'!R$3,0))</f>
        <v>0</v>
      </c>
      <c r="S19" s="19">
        <f ca="1">IF($A19-S$3&lt;2,0,OFFSET('FPSO1 Base'!S16,-'FPSO1 Otim'!S$3,0))</f>
        <v>0</v>
      </c>
      <c r="T19" s="19">
        <f ca="1">IF($A19-T$3&lt;2,0,OFFSET('FPSO1 Base'!T16,-'FPSO1 Otim'!T$3,0))</f>
        <v>1905.96</v>
      </c>
      <c r="U19" s="19">
        <f ca="1">IF($A19-U$3&lt;2,0,OFFSET('FPSO1 Base'!U16,-'FPSO1 Otim'!U$3,0))</f>
        <v>1334.2379999999998</v>
      </c>
      <c r="V19" s="19">
        <f ca="1">IF($A19-V$3&lt;2,0,OFFSET('FPSO1 Base'!V16,-'FPSO1 Otim'!V$3,0))</f>
        <v>0</v>
      </c>
      <c r="W19" s="19">
        <f ca="1">IF($A19-W$3&lt;2,0,OFFSET('FPSO1 Base'!W16,-'FPSO1 Otim'!W$3,0))</f>
        <v>0</v>
      </c>
      <c r="X19" s="19">
        <f ca="1">IF($A19-X$3&lt;2,0,OFFSET('FPSO1 Base'!X16,-'FPSO1 Otim'!X$3,0))</f>
        <v>1769.22</v>
      </c>
      <c r="Y19" s="19">
        <f ca="1">IF($A19-Y$3&lt;2,0,OFFSET('FPSO1 Base'!Y16,-'FPSO1 Otim'!Y$3,0))</f>
        <v>873.0809999999999</v>
      </c>
      <c r="Z19" s="19">
        <f ca="1">IF($A19-Z$3&lt;2,0,OFFSET('FPSO1 Base'!Z16,-'FPSO1 Otim'!Z$3,0))</f>
        <v>0</v>
      </c>
      <c r="AA19" s="20">
        <v>15000</v>
      </c>
      <c r="AB19" s="19">
        <f t="shared" ca="1" si="2"/>
        <v>14338.9485</v>
      </c>
      <c r="AC19" s="20">
        <f t="shared" ca="1" si="3"/>
        <v>661.05149999999958</v>
      </c>
      <c r="AD19" s="19">
        <f t="shared" ca="1" si="4"/>
        <v>12872.523384126704</v>
      </c>
      <c r="AE19" s="18" t="s">
        <v>97</v>
      </c>
      <c r="AF19" s="37"/>
      <c r="AG19" s="38">
        <f t="shared" si="6"/>
        <v>0</v>
      </c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</row>
    <row r="20" spans="1:57" x14ac:dyDescent="0.25">
      <c r="A20" s="19">
        <v>16</v>
      </c>
      <c r="B20" s="31">
        <v>46082</v>
      </c>
      <c r="C20" s="19">
        <f ca="1">IF($A20-C$3&lt;2,0,OFFSET('FPSO1 Base'!C17,-'FPSO1 Otim'!C$3,0))</f>
        <v>1745.9535000000001</v>
      </c>
      <c r="D20" s="19">
        <f ca="1">IF($A20-D$3&lt;2,0,OFFSET('FPSO1 Base'!D17,-'FPSO1 Otim'!D$3,0))</f>
        <v>0</v>
      </c>
      <c r="E20" s="19">
        <f ca="1">IF($A20-E$3&lt;2,0,OFFSET('FPSO1 Base'!E17,-'FPSO1 Otim'!E$3,0))</f>
        <v>1035.7695000000001</v>
      </c>
      <c r="F20" s="19">
        <f ca="1">IF($A20-F$3&lt;2,0,OFFSET('FPSO1 Base'!F17,-'FPSO1 Otim'!F$3,0))</f>
        <v>2075.145</v>
      </c>
      <c r="G20" s="19">
        <f ca="1">IF($A20-G$3&lt;2,0,OFFSET('FPSO1 Base'!G17,-'FPSO1 Otim'!G$3,0))</f>
        <v>0</v>
      </c>
      <c r="H20" s="19">
        <f ca="1">IF($A20-H$3&lt;2,0,OFFSET('FPSO1 Base'!H17,-'FPSO1 Otim'!H$3,0))</f>
        <v>0</v>
      </c>
      <c r="I20" s="19">
        <f ca="1">IF($A20-I$3&lt;2,0,OFFSET('FPSO1 Base'!I17,-'FPSO1 Otim'!I$3,0))</f>
        <v>0</v>
      </c>
      <c r="J20" s="19">
        <f ca="1">IF($A20-J$3&lt;2,0,OFFSET('FPSO1 Base'!J17,-'FPSO1 Otim'!J$3,0))</f>
        <v>0</v>
      </c>
      <c r="K20" s="19">
        <f ca="1">IF($A20-K$3&lt;2,0,OFFSET('FPSO1 Base'!K17,-'FPSO1 Otim'!K$3,0))</f>
        <v>900.15300000000002</v>
      </c>
      <c r="L20" s="19">
        <f ca="1">IF($A20-L$3&lt;2,0,OFFSET('FPSO1 Base'!L17,-'FPSO1 Otim'!L$3,0))</f>
        <v>0</v>
      </c>
      <c r="M20" s="19">
        <f ca="1">IF($A20-M$3&lt;2,0,OFFSET('FPSO1 Base'!M17,-'FPSO1 Otim'!M$3,0))</f>
        <v>1501.4549999999999</v>
      </c>
      <c r="N20" s="19">
        <f ca="1">IF($A20-N$3&lt;2,0,OFFSET('FPSO1 Base'!N17,-'FPSO1 Otim'!N$3,0))</f>
        <v>0</v>
      </c>
      <c r="O20" s="19">
        <f ca="1">IF($A20-O$3&lt;2,0,OFFSET('FPSO1 Base'!O17,-'FPSO1 Otim'!O$3,0))</f>
        <v>0</v>
      </c>
      <c r="P20" s="19">
        <f ca="1">IF($A20-P$3&lt;2,0,OFFSET('FPSO1 Base'!P17,-'FPSO1 Otim'!P$3,0))</f>
        <v>420.99149999999997</v>
      </c>
      <c r="Q20" s="19">
        <f ca="1">IF($A20-Q$3&lt;2,0,OFFSET('FPSO1 Base'!Q17,-'FPSO1 Otim'!Q$3,0))</f>
        <v>654.87749999999994</v>
      </c>
      <c r="R20" s="19">
        <f ca="1">IF($A20-R$3&lt;2,0,OFFSET('FPSO1 Base'!R17,-'FPSO1 Otim'!R$3,0))</f>
        <v>0</v>
      </c>
      <c r="S20" s="19">
        <f ca="1">IF($A20-S$3&lt;2,0,OFFSET('FPSO1 Base'!S17,-'FPSO1 Otim'!S$3,0))</f>
        <v>0</v>
      </c>
      <c r="T20" s="19">
        <f ca="1">IF($A20-T$3&lt;2,0,OFFSET('FPSO1 Base'!T17,-'FPSO1 Otim'!T$3,0))</f>
        <v>1848.4499999999998</v>
      </c>
      <c r="U20" s="19">
        <f ca="1">IF($A20-U$3&lt;2,0,OFFSET('FPSO1 Base'!U17,-'FPSO1 Otim'!U$3,0))</f>
        <v>1322.7465</v>
      </c>
      <c r="V20" s="19">
        <f ca="1">IF($A20-V$3&lt;2,0,OFFSET('FPSO1 Base'!V17,-'FPSO1 Otim'!V$3,0))</f>
        <v>0</v>
      </c>
      <c r="W20" s="19">
        <f ca="1">IF($A20-W$3&lt;2,0,OFFSET('FPSO1 Base'!W17,-'FPSO1 Otim'!W$3,0))</f>
        <v>0</v>
      </c>
      <c r="X20" s="19">
        <f ca="1">IF($A20-X$3&lt;2,0,OFFSET('FPSO1 Base'!X17,-'FPSO1 Otim'!X$3,0))</f>
        <v>1761.165</v>
      </c>
      <c r="Y20" s="19">
        <f ca="1">IF($A20-Y$3&lt;2,0,OFFSET('FPSO1 Base'!Y17,-'FPSO1 Otim'!Y$3,0))</f>
        <v>855.12599999999998</v>
      </c>
      <c r="Z20" s="19">
        <f ca="1">IF($A20-Z$3&lt;2,0,OFFSET('FPSO1 Base'!Z17,-'FPSO1 Otim'!Z$3,0))</f>
        <v>0</v>
      </c>
      <c r="AA20" s="20">
        <v>15000</v>
      </c>
      <c r="AB20" s="19">
        <f t="shared" ca="1" si="2"/>
        <v>14121.8325</v>
      </c>
      <c r="AC20" s="20">
        <f t="shared" ca="1" si="3"/>
        <v>878.16749999999956</v>
      </c>
      <c r="AD20" s="19">
        <f t="shared" ca="1" si="4"/>
        <v>12572.83789837219</v>
      </c>
      <c r="AE20" s="18" t="s">
        <v>98</v>
      </c>
      <c r="AF20" s="37"/>
      <c r="AG20" s="38">
        <f t="shared" si="6"/>
        <v>0</v>
      </c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</row>
    <row r="21" spans="1:57" x14ac:dyDescent="0.25">
      <c r="A21" s="19">
        <v>17</v>
      </c>
      <c r="B21" s="31">
        <v>46113</v>
      </c>
      <c r="C21" s="19">
        <f ca="1">IF($A21-C$3&lt;2,0,OFFSET('FPSO1 Base'!C18,-'FPSO1 Otim'!C$3,0))</f>
        <v>1745.9505000000001</v>
      </c>
      <c r="D21" s="19">
        <f ca="1">IF($A21-D$3&lt;2,0,OFFSET('FPSO1 Base'!D18,-'FPSO1 Otim'!D$3,0))</f>
        <v>0</v>
      </c>
      <c r="E21" s="19">
        <f ca="1">IF($A21-E$3&lt;2,0,OFFSET('FPSO1 Base'!E18,-'FPSO1 Otim'!E$3,0))</f>
        <v>1019.0175</v>
      </c>
      <c r="F21" s="19">
        <f ca="1">IF($A21-F$3&lt;2,0,OFFSET('FPSO1 Base'!F18,-'FPSO1 Otim'!F$3,0))</f>
        <v>2039.5650000000001</v>
      </c>
      <c r="G21" s="19">
        <f ca="1">IF($A21-G$3&lt;2,0,OFFSET('FPSO1 Base'!G18,-'FPSO1 Otim'!G$3,0))</f>
        <v>0</v>
      </c>
      <c r="H21" s="19">
        <f ca="1">IF($A21-H$3&lt;2,0,OFFSET('FPSO1 Base'!H18,-'FPSO1 Otim'!H$3,0))</f>
        <v>0</v>
      </c>
      <c r="I21" s="19">
        <f ca="1">IF($A21-I$3&lt;2,0,OFFSET('FPSO1 Base'!I18,-'FPSO1 Otim'!I$3,0))</f>
        <v>0</v>
      </c>
      <c r="J21" s="19">
        <f ca="1">IF($A21-J$3&lt;2,0,OFFSET('FPSO1 Base'!J18,-'FPSO1 Otim'!J$3,0))</f>
        <v>0</v>
      </c>
      <c r="K21" s="19">
        <f ca="1">IF($A21-K$3&lt;2,0,OFFSET('FPSO1 Base'!K18,-'FPSO1 Otim'!K$3,0))</f>
        <v>880.54200000000003</v>
      </c>
      <c r="L21" s="19">
        <f ca="1">IF($A21-L$3&lt;2,0,OFFSET('FPSO1 Base'!L18,-'FPSO1 Otim'!L$3,0))</f>
        <v>0</v>
      </c>
      <c r="M21" s="19">
        <f ca="1">IF($A21-M$3&lt;2,0,OFFSET('FPSO1 Base'!M18,-'FPSO1 Otim'!M$3,0))</f>
        <v>1455.1275000000001</v>
      </c>
      <c r="N21" s="19">
        <f ca="1">IF($A21-N$3&lt;2,0,OFFSET('FPSO1 Base'!N18,-'FPSO1 Otim'!N$3,0))</f>
        <v>0</v>
      </c>
      <c r="O21" s="19">
        <f ca="1">IF($A21-O$3&lt;2,0,OFFSET('FPSO1 Base'!O18,-'FPSO1 Otim'!O$3,0))</f>
        <v>0</v>
      </c>
      <c r="P21" s="19">
        <f ca="1">IF($A21-P$3&lt;2,0,OFFSET('FPSO1 Base'!P18,-'FPSO1 Otim'!P$3,0))</f>
        <v>421.11300000000006</v>
      </c>
      <c r="Q21" s="19">
        <f ca="1">IF($A21-Q$3&lt;2,0,OFFSET('FPSO1 Base'!Q18,-'FPSO1 Otim'!Q$3,0))</f>
        <v>641.90250000000003</v>
      </c>
      <c r="R21" s="19">
        <f ca="1">IF($A21-R$3&lt;2,0,OFFSET('FPSO1 Base'!R18,-'FPSO1 Otim'!R$3,0))</f>
        <v>0</v>
      </c>
      <c r="S21" s="19">
        <f ca="1">IF($A21-S$3&lt;2,0,OFFSET('FPSO1 Base'!S18,-'FPSO1 Otim'!S$3,0))</f>
        <v>0</v>
      </c>
      <c r="T21" s="19">
        <f ca="1">IF($A21-T$3&lt;2,0,OFFSET('FPSO1 Base'!T18,-'FPSO1 Otim'!T$3,0))</f>
        <v>1797.4349999999999</v>
      </c>
      <c r="U21" s="19">
        <f ca="1">IF($A21-U$3&lt;2,0,OFFSET('FPSO1 Base'!U18,-'FPSO1 Otim'!U$3,0))</f>
        <v>1311.9435000000001</v>
      </c>
      <c r="V21" s="19">
        <f ca="1">IF($A21-V$3&lt;2,0,OFFSET('FPSO1 Base'!V18,-'FPSO1 Otim'!V$3,0))</f>
        <v>0</v>
      </c>
      <c r="W21" s="19">
        <f ca="1">IF($A21-W$3&lt;2,0,OFFSET('FPSO1 Base'!W18,-'FPSO1 Otim'!W$3,0))</f>
        <v>0</v>
      </c>
      <c r="X21" s="19">
        <f ca="1">IF($A21-X$3&lt;2,0,OFFSET('FPSO1 Base'!X18,-'FPSO1 Otim'!X$3,0))</f>
        <v>1755.0450000000001</v>
      </c>
      <c r="Y21" s="19">
        <f ca="1">IF($A21-Y$3&lt;2,0,OFFSET('FPSO1 Base'!Y18,-'FPSO1 Otim'!Y$3,0))</f>
        <v>836.38350000000014</v>
      </c>
      <c r="Z21" s="19">
        <f ca="1">IF($A21-Z$3&lt;2,0,OFFSET('FPSO1 Base'!Z18,-'FPSO1 Otim'!Z$3,0))</f>
        <v>0</v>
      </c>
      <c r="AA21" s="20">
        <v>15000</v>
      </c>
      <c r="AB21" s="19">
        <f t="shared" ca="1" si="2"/>
        <v>13904.025</v>
      </c>
      <c r="AC21" s="20">
        <f t="shared" ca="1" si="3"/>
        <v>1095.9750000000004</v>
      </c>
      <c r="AD21" s="19">
        <f t="shared" ca="1" si="4"/>
        <v>12276.616118281483</v>
      </c>
      <c r="AE21" s="40"/>
      <c r="AF21" s="41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</row>
    <row r="22" spans="1:57" x14ac:dyDescent="0.25">
      <c r="A22" s="19">
        <v>18</v>
      </c>
      <c r="B22" s="31">
        <v>46143</v>
      </c>
      <c r="C22" s="19">
        <f ca="1">IF($A22-C$3&lt;2,0,OFFSET('FPSO1 Base'!C19,-'FPSO1 Otim'!C$3,0))</f>
        <v>1745.9520000000002</v>
      </c>
      <c r="D22" s="19">
        <f ca="1">IF($A22-D$3&lt;2,0,OFFSET('FPSO1 Base'!D19,-'FPSO1 Otim'!D$3,0))</f>
        <v>0</v>
      </c>
      <c r="E22" s="19">
        <f ca="1">IF($A22-E$3&lt;2,0,OFFSET('FPSO1 Base'!E19,-'FPSO1 Otim'!E$3,0))</f>
        <v>1002.7529999999999</v>
      </c>
      <c r="F22" s="19">
        <f ca="1">IF($A22-F$3&lt;2,0,OFFSET('FPSO1 Base'!F19,-'FPSO1 Otim'!F$3,0))</f>
        <v>1964.4900000000002</v>
      </c>
      <c r="G22" s="19">
        <f ca="1">IF($A22-G$3&lt;2,0,OFFSET('FPSO1 Base'!G19,-'FPSO1 Otim'!G$3,0))</f>
        <v>0</v>
      </c>
      <c r="H22" s="19">
        <f ca="1">IF($A22-H$3&lt;2,0,OFFSET('FPSO1 Base'!H19,-'FPSO1 Otim'!H$3,0))</f>
        <v>0</v>
      </c>
      <c r="I22" s="19">
        <f ca="1">IF($A22-I$3&lt;2,0,OFFSET('FPSO1 Base'!I19,-'FPSO1 Otim'!I$3,0))</f>
        <v>0</v>
      </c>
      <c r="J22" s="19">
        <f ca="1">IF($A22-J$3&lt;2,0,OFFSET('FPSO1 Base'!J19,-'FPSO1 Otim'!J$3,0))</f>
        <v>0</v>
      </c>
      <c r="K22" s="19">
        <f ca="1">IF($A22-K$3&lt;2,0,OFFSET('FPSO1 Base'!K19,-'FPSO1 Otim'!K$3,0))</f>
        <v>857.22</v>
      </c>
      <c r="L22" s="19">
        <f ca="1">IF($A22-L$3&lt;2,0,OFFSET('FPSO1 Base'!L19,-'FPSO1 Otim'!L$3,0))</f>
        <v>0</v>
      </c>
      <c r="M22" s="19">
        <f ca="1">IF($A22-M$3&lt;2,0,OFFSET('FPSO1 Base'!M19,-'FPSO1 Otim'!M$3,0))</f>
        <v>1418.6399999999999</v>
      </c>
      <c r="N22" s="19">
        <f ca="1">IF($A22-N$3&lt;2,0,OFFSET('FPSO1 Base'!N19,-'FPSO1 Otim'!N$3,0))</f>
        <v>0</v>
      </c>
      <c r="O22" s="19">
        <f ca="1">IF($A22-O$3&lt;2,0,OFFSET('FPSO1 Base'!O19,-'FPSO1 Otim'!O$3,0))</f>
        <v>0</v>
      </c>
      <c r="P22" s="19">
        <f ca="1">IF($A22-P$3&lt;2,0,OFFSET('FPSO1 Base'!P19,-'FPSO1 Otim'!P$3,0))</f>
        <v>421.15049999999997</v>
      </c>
      <c r="Q22" s="19">
        <f ca="1">IF($A22-Q$3&lt;2,0,OFFSET('FPSO1 Base'!Q19,-'FPSO1 Otim'!Q$3,0))</f>
        <v>633.87450000000001</v>
      </c>
      <c r="R22" s="19">
        <f ca="1">IF($A22-R$3&lt;2,0,OFFSET('FPSO1 Base'!R19,-'FPSO1 Otim'!R$3,0))</f>
        <v>0</v>
      </c>
      <c r="S22" s="19">
        <f ca="1">IF($A22-S$3&lt;2,0,OFFSET('FPSO1 Base'!S19,-'FPSO1 Otim'!S$3,0))</f>
        <v>0</v>
      </c>
      <c r="T22" s="19">
        <f ca="1">IF($A22-T$3&lt;2,0,OFFSET('FPSO1 Base'!T19,-'FPSO1 Otim'!T$3,0))</f>
        <v>1748.0249999999999</v>
      </c>
      <c r="U22" s="19">
        <f ca="1">IF($A22-U$3&lt;2,0,OFFSET('FPSO1 Base'!U19,-'FPSO1 Otim'!U$3,0))</f>
        <v>1301.1374999999998</v>
      </c>
      <c r="V22" s="19">
        <f ca="1">IF($A22-V$3&lt;2,0,OFFSET('FPSO1 Base'!V19,-'FPSO1 Otim'!V$3,0))</f>
        <v>0</v>
      </c>
      <c r="W22" s="19">
        <f ca="1">IF($A22-W$3&lt;2,0,OFFSET('FPSO1 Base'!W19,-'FPSO1 Otim'!W$3,0))</f>
        <v>0</v>
      </c>
      <c r="X22" s="19">
        <f ca="1">IF($A22-X$3&lt;2,0,OFFSET('FPSO1 Base'!X19,-'FPSO1 Otim'!X$3,0))</f>
        <v>1748.2049999999999</v>
      </c>
      <c r="Y22" s="19">
        <f ca="1">IF($A22-Y$3&lt;2,0,OFFSET('FPSO1 Base'!Y19,-'FPSO1 Otim'!Y$3,0))</f>
        <v>816.58049999999992</v>
      </c>
      <c r="Z22" s="19">
        <f ca="1">IF($A22-Z$3&lt;2,0,OFFSET('FPSO1 Base'!Z19,-'FPSO1 Otim'!Z$3,0))</f>
        <v>0</v>
      </c>
      <c r="AA22" s="20">
        <v>15000</v>
      </c>
      <c r="AB22" s="19">
        <f t="shared" ca="1" si="2"/>
        <v>13658.028</v>
      </c>
      <c r="AC22" s="20">
        <f t="shared" ca="1" si="3"/>
        <v>1341.9719999999998</v>
      </c>
      <c r="AD22" s="19">
        <f t="shared" ca="1" si="4"/>
        <v>11959.747491899956</v>
      </c>
      <c r="AE22" s="40"/>
      <c r="AF22" s="41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</row>
    <row r="23" spans="1:57" x14ac:dyDescent="0.25">
      <c r="A23" s="19">
        <v>19</v>
      </c>
      <c r="B23" s="31">
        <v>46174</v>
      </c>
      <c r="C23" s="19">
        <f ca="1">IF($A23-C$3&lt;2,0,OFFSET('FPSO1 Base'!C20,-'FPSO1 Otim'!C$3,0))</f>
        <v>1745.9445000000001</v>
      </c>
      <c r="D23" s="19">
        <f ca="1">IF($A23-D$3&lt;2,0,OFFSET('FPSO1 Base'!D20,-'FPSO1 Otim'!D$3,0))</f>
        <v>0</v>
      </c>
      <c r="E23" s="19">
        <f ca="1">IF($A23-E$3&lt;2,0,OFFSET('FPSO1 Base'!E20,-'FPSO1 Otim'!E$3,0))</f>
        <v>985.69200000000001</v>
      </c>
      <c r="F23" s="19">
        <f ca="1">IF($A23-F$3&lt;2,0,OFFSET('FPSO1 Base'!F20,-'FPSO1 Otim'!F$3,0))</f>
        <v>1875.8849999999998</v>
      </c>
      <c r="G23" s="19">
        <f ca="1">IF($A23-G$3&lt;2,0,OFFSET('FPSO1 Base'!G20,-'FPSO1 Otim'!G$3,0))</f>
        <v>0</v>
      </c>
      <c r="H23" s="19">
        <f ca="1">IF($A23-H$3&lt;2,0,OFFSET('FPSO1 Base'!H20,-'FPSO1 Otim'!H$3,0))</f>
        <v>0</v>
      </c>
      <c r="I23" s="19">
        <f ca="1">IF($A23-I$3&lt;2,0,OFFSET('FPSO1 Base'!I20,-'FPSO1 Otim'!I$3,0))</f>
        <v>0</v>
      </c>
      <c r="J23" s="19">
        <f ca="1">IF($A23-J$3&lt;2,0,OFFSET('FPSO1 Base'!J20,-'FPSO1 Otim'!J$3,0))</f>
        <v>0</v>
      </c>
      <c r="K23" s="19">
        <f ca="1">IF($A23-K$3&lt;2,0,OFFSET('FPSO1 Base'!K20,-'FPSO1 Otim'!K$3,0))</f>
        <v>842.74500000000012</v>
      </c>
      <c r="L23" s="19">
        <f ca="1">IF($A23-L$3&lt;2,0,OFFSET('FPSO1 Base'!L20,-'FPSO1 Otim'!L$3,0))</f>
        <v>0</v>
      </c>
      <c r="M23" s="19">
        <f ca="1">IF($A23-M$3&lt;2,0,OFFSET('FPSO1 Base'!M20,-'FPSO1 Otim'!M$3,0))</f>
        <v>1379.25</v>
      </c>
      <c r="N23" s="19">
        <f ca="1">IF($A23-N$3&lt;2,0,OFFSET('FPSO1 Base'!N20,-'FPSO1 Otim'!N$3,0))</f>
        <v>0</v>
      </c>
      <c r="O23" s="19">
        <f ca="1">IF($A23-O$3&lt;2,0,OFFSET('FPSO1 Base'!O20,-'FPSO1 Otim'!O$3,0))</f>
        <v>0</v>
      </c>
      <c r="P23" s="19">
        <f ca="1">IF($A23-P$3&lt;2,0,OFFSET('FPSO1 Base'!P20,-'FPSO1 Otim'!P$3,0))</f>
        <v>421.20899999999995</v>
      </c>
      <c r="Q23" s="19">
        <f ca="1">IF($A23-Q$3&lt;2,0,OFFSET('FPSO1 Base'!Q20,-'FPSO1 Otim'!Q$3,0))</f>
        <v>628.04100000000005</v>
      </c>
      <c r="R23" s="19">
        <f ca="1">IF($A23-R$3&lt;2,0,OFFSET('FPSO1 Base'!R20,-'FPSO1 Otim'!R$3,0))</f>
        <v>0</v>
      </c>
      <c r="S23" s="19">
        <f ca="1">IF($A23-S$3&lt;2,0,OFFSET('FPSO1 Base'!S20,-'FPSO1 Otim'!S$3,0))</f>
        <v>0</v>
      </c>
      <c r="T23" s="19">
        <f ca="1">IF($A23-T$3&lt;2,0,OFFSET('FPSO1 Base'!T20,-'FPSO1 Otim'!T$3,0))</f>
        <v>1698.165</v>
      </c>
      <c r="U23" s="19">
        <f ca="1">IF($A23-U$3&lt;2,0,OFFSET('FPSO1 Base'!U20,-'FPSO1 Otim'!U$3,0))</f>
        <v>1291.7774999999999</v>
      </c>
      <c r="V23" s="19">
        <f ca="1">IF($A23-V$3&lt;2,0,OFFSET('FPSO1 Base'!V20,-'FPSO1 Otim'!V$3,0))</f>
        <v>0</v>
      </c>
      <c r="W23" s="19">
        <f ca="1">IF($A23-W$3&lt;2,0,OFFSET('FPSO1 Base'!W20,-'FPSO1 Otim'!W$3,0))</f>
        <v>0</v>
      </c>
      <c r="X23" s="19">
        <f ca="1">IF($A23-X$3&lt;2,0,OFFSET('FPSO1 Base'!X20,-'FPSO1 Otim'!X$3,0))</f>
        <v>1741.98</v>
      </c>
      <c r="Y23" s="19">
        <f ca="1">IF($A23-Y$3&lt;2,0,OFFSET('FPSO1 Base'!Y20,-'FPSO1 Otim'!Y$3,0))</f>
        <v>801.16350000000011</v>
      </c>
      <c r="Z23" s="19">
        <f ca="1">IF($A23-Z$3&lt;2,0,OFFSET('FPSO1 Base'!Z20,-'FPSO1 Otim'!Z$3,0))</f>
        <v>0</v>
      </c>
      <c r="AA23" s="20">
        <v>15000</v>
      </c>
      <c r="AB23" s="19">
        <f t="shared" ca="1" si="2"/>
        <v>13411.852499999999</v>
      </c>
      <c r="AC23" s="20">
        <f t="shared" ca="1" si="3"/>
        <v>1588.1475000000009</v>
      </c>
      <c r="AD23" s="19">
        <f t="shared" ca="1" si="4"/>
        <v>11647.122841080438</v>
      </c>
      <c r="AE23" s="40"/>
      <c r="AF23" s="41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</row>
    <row r="24" spans="1:57" x14ac:dyDescent="0.25">
      <c r="A24" s="19">
        <v>20</v>
      </c>
      <c r="B24" s="31">
        <v>46204</v>
      </c>
      <c r="C24" s="19">
        <f ca="1">IF($A24-C$3&lt;2,0,OFFSET('FPSO1 Base'!C21,-'FPSO1 Otim'!C$3,0))</f>
        <v>1745.943</v>
      </c>
      <c r="D24" s="19">
        <f ca="1">IF($A24-D$3&lt;2,0,OFFSET('FPSO1 Base'!D21,-'FPSO1 Otim'!D$3,0))</f>
        <v>0</v>
      </c>
      <c r="E24" s="19">
        <f ca="1">IF($A24-E$3&lt;2,0,OFFSET('FPSO1 Base'!E21,-'FPSO1 Otim'!E$3,0))</f>
        <v>973.2315000000001</v>
      </c>
      <c r="F24" s="19">
        <f ca="1">IF($A24-F$3&lt;2,0,OFFSET('FPSO1 Base'!F21,-'FPSO1 Otim'!F$3,0))</f>
        <v>1836.8999999999999</v>
      </c>
      <c r="G24" s="19">
        <f ca="1">IF($A24-G$3&lt;2,0,OFFSET('FPSO1 Base'!G21,-'FPSO1 Otim'!G$3,0))</f>
        <v>0</v>
      </c>
      <c r="H24" s="19">
        <f ca="1">IF($A24-H$3&lt;2,0,OFFSET('FPSO1 Base'!H21,-'FPSO1 Otim'!H$3,0))</f>
        <v>0</v>
      </c>
      <c r="I24" s="19">
        <f ca="1">IF($A24-I$3&lt;2,0,OFFSET('FPSO1 Base'!I21,-'FPSO1 Otim'!I$3,0))</f>
        <v>0</v>
      </c>
      <c r="J24" s="19">
        <f ca="1">IF($A24-J$3&lt;2,0,OFFSET('FPSO1 Base'!J21,-'FPSO1 Otim'!J$3,0))</f>
        <v>0</v>
      </c>
      <c r="K24" s="19">
        <f ca="1">IF($A24-K$3&lt;2,0,OFFSET('FPSO1 Base'!K21,-'FPSO1 Otim'!K$3,0))</f>
        <v>826.50900000000001</v>
      </c>
      <c r="L24" s="19">
        <f ca="1">IF($A24-L$3&lt;2,0,OFFSET('FPSO1 Base'!L21,-'FPSO1 Otim'!L$3,0))</f>
        <v>0</v>
      </c>
      <c r="M24" s="19">
        <f ca="1">IF($A24-M$3&lt;2,0,OFFSET('FPSO1 Base'!M21,-'FPSO1 Otim'!M$3,0))</f>
        <v>1346.1195</v>
      </c>
      <c r="N24" s="19">
        <f ca="1">IF($A24-N$3&lt;2,0,OFFSET('FPSO1 Base'!N21,-'FPSO1 Otim'!N$3,0))</f>
        <v>0</v>
      </c>
      <c r="O24" s="19">
        <f ca="1">IF($A24-O$3&lt;2,0,OFFSET('FPSO1 Base'!O21,-'FPSO1 Otim'!O$3,0))</f>
        <v>0</v>
      </c>
      <c r="P24" s="19">
        <f ca="1">IF($A24-P$3&lt;2,0,OFFSET('FPSO1 Base'!P21,-'FPSO1 Otim'!P$3,0))</f>
        <v>421.20000000000005</v>
      </c>
      <c r="Q24" s="19">
        <f ca="1">IF($A24-Q$3&lt;2,0,OFFSET('FPSO1 Base'!Q21,-'FPSO1 Otim'!Q$3,0))</f>
        <v>621.75600000000009</v>
      </c>
      <c r="R24" s="19">
        <f ca="1">IF($A24-R$3&lt;2,0,OFFSET('FPSO1 Base'!R21,-'FPSO1 Otim'!R$3,0))</f>
        <v>0</v>
      </c>
      <c r="S24" s="19">
        <f ca="1">IF($A24-S$3&lt;2,0,OFFSET('FPSO1 Base'!S21,-'FPSO1 Otim'!S$3,0))</f>
        <v>0</v>
      </c>
      <c r="T24" s="19">
        <f ca="1">IF($A24-T$3&lt;2,0,OFFSET('FPSO1 Base'!T21,-'FPSO1 Otim'!T$3,0))</f>
        <v>1654.5749999999998</v>
      </c>
      <c r="U24" s="19">
        <f ca="1">IF($A24-U$3&lt;2,0,OFFSET('FPSO1 Base'!U21,-'FPSO1 Otim'!U$3,0))</f>
        <v>1281.9630000000002</v>
      </c>
      <c r="V24" s="19">
        <f ca="1">IF($A24-V$3&lt;2,0,OFFSET('FPSO1 Base'!V21,-'FPSO1 Otim'!V$3,0))</f>
        <v>0</v>
      </c>
      <c r="W24" s="19">
        <f ca="1">IF($A24-W$3&lt;2,0,OFFSET('FPSO1 Base'!W21,-'FPSO1 Otim'!W$3,0))</f>
        <v>0</v>
      </c>
      <c r="X24" s="19">
        <f ca="1">IF($A24-X$3&lt;2,0,OFFSET('FPSO1 Base'!X21,-'FPSO1 Otim'!X$3,0))</f>
        <v>1735.4250000000002</v>
      </c>
      <c r="Y24" s="19">
        <f ca="1">IF($A24-Y$3&lt;2,0,OFFSET('FPSO1 Base'!Y21,-'FPSO1 Otim'!Y$3,0))</f>
        <v>785.83349999999996</v>
      </c>
      <c r="Z24" s="19">
        <f ca="1">IF($A24-Z$3&lt;2,0,OFFSET('FPSO1 Base'!Z21,-'FPSO1 Otim'!Z$3,0))</f>
        <v>0</v>
      </c>
      <c r="AA24" s="20">
        <v>15000</v>
      </c>
      <c r="AB24" s="19">
        <f t="shared" ca="1" si="2"/>
        <v>13229.4555</v>
      </c>
      <c r="AC24" s="20">
        <f t="shared" ca="1" si="3"/>
        <v>1770.5445</v>
      </c>
      <c r="AD24" s="19">
        <f t="shared" ca="1" si="4"/>
        <v>11393.777467037173</v>
      </c>
      <c r="AE24" s="40"/>
      <c r="AF24" s="41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</row>
    <row r="25" spans="1:57" x14ac:dyDescent="0.25">
      <c r="A25" s="19">
        <v>21</v>
      </c>
      <c r="B25" s="31">
        <v>46235</v>
      </c>
      <c r="C25" s="19">
        <f ca="1">IF($A25-C$3&lt;2,0,OFFSET('FPSO1 Base'!C22,-'FPSO1 Otim'!C$3,0))</f>
        <v>1745.94</v>
      </c>
      <c r="D25" s="19">
        <f ca="1">IF($A25-D$3&lt;2,0,OFFSET('FPSO1 Base'!D22,-'FPSO1 Otim'!D$3,0))</f>
        <v>0</v>
      </c>
      <c r="E25" s="19">
        <f ca="1">IF($A25-E$3&lt;2,0,OFFSET('FPSO1 Base'!E22,-'FPSO1 Otim'!E$3,0))</f>
        <v>960.62099999999998</v>
      </c>
      <c r="F25" s="19">
        <f ca="1">IF($A25-F$3&lt;2,0,OFFSET('FPSO1 Base'!F22,-'FPSO1 Otim'!F$3,0))</f>
        <v>1796.91</v>
      </c>
      <c r="G25" s="19">
        <f ca="1">IF($A25-G$3&lt;2,0,OFFSET('FPSO1 Base'!G22,-'FPSO1 Otim'!G$3,0))</f>
        <v>0</v>
      </c>
      <c r="H25" s="19">
        <f ca="1">IF($A25-H$3&lt;2,0,OFFSET('FPSO1 Base'!H22,-'FPSO1 Otim'!H$3,0))</f>
        <v>0</v>
      </c>
      <c r="I25" s="19">
        <f ca="1">IF($A25-I$3&lt;2,0,OFFSET('FPSO1 Base'!I22,-'FPSO1 Otim'!I$3,0))</f>
        <v>0</v>
      </c>
      <c r="J25" s="19">
        <f ca="1">IF($A25-J$3&lt;2,0,OFFSET('FPSO1 Base'!J22,-'FPSO1 Otim'!J$3,0))</f>
        <v>0</v>
      </c>
      <c r="K25" s="19">
        <f ca="1">IF($A25-K$3&lt;2,0,OFFSET('FPSO1 Base'!K22,-'FPSO1 Otim'!K$3,0))</f>
        <v>812.80200000000013</v>
      </c>
      <c r="L25" s="19">
        <f ca="1">IF($A25-L$3&lt;2,0,OFFSET('FPSO1 Base'!L22,-'FPSO1 Otim'!L$3,0))</f>
        <v>1757.2350000000001</v>
      </c>
      <c r="M25" s="19">
        <f ca="1">IF($A25-M$3&lt;2,0,OFFSET('FPSO1 Base'!M22,-'FPSO1 Otim'!M$3,0))</f>
        <v>1313.1465000000001</v>
      </c>
      <c r="N25" s="19">
        <f ca="1">IF($A25-N$3&lt;2,0,OFFSET('FPSO1 Base'!N22,-'FPSO1 Otim'!N$3,0))</f>
        <v>0</v>
      </c>
      <c r="O25" s="19">
        <f ca="1">IF($A25-O$3&lt;2,0,OFFSET('FPSO1 Base'!O22,-'FPSO1 Otim'!O$3,0))</f>
        <v>0</v>
      </c>
      <c r="P25" s="19">
        <f ca="1">IF($A25-P$3&lt;2,0,OFFSET('FPSO1 Base'!P22,-'FPSO1 Otim'!P$3,0))</f>
        <v>421.428</v>
      </c>
      <c r="Q25" s="19">
        <f ca="1">IF($A25-Q$3&lt;2,0,OFFSET('FPSO1 Base'!Q22,-'FPSO1 Otim'!Q$3,0))</f>
        <v>610.06499999999994</v>
      </c>
      <c r="R25" s="19">
        <f ca="1">IF($A25-R$3&lt;2,0,OFFSET('FPSO1 Base'!R22,-'FPSO1 Otim'!R$3,0))</f>
        <v>0</v>
      </c>
      <c r="S25" s="19">
        <f ca="1">IF($A25-S$3&lt;2,0,OFFSET('FPSO1 Base'!S22,-'FPSO1 Otim'!S$3,0))</f>
        <v>0</v>
      </c>
      <c r="T25" s="19">
        <f ca="1">IF($A25-T$3&lt;2,0,OFFSET('FPSO1 Base'!T22,-'FPSO1 Otim'!T$3,0))</f>
        <v>1610.88</v>
      </c>
      <c r="U25" s="19">
        <f ca="1">IF($A25-U$3&lt;2,0,OFFSET('FPSO1 Base'!U22,-'FPSO1 Otim'!U$3,0))</f>
        <v>1274.0325</v>
      </c>
      <c r="V25" s="19">
        <f ca="1">IF($A25-V$3&lt;2,0,OFFSET('FPSO1 Base'!V22,-'FPSO1 Otim'!V$3,0))</f>
        <v>0</v>
      </c>
      <c r="W25" s="19">
        <f ca="1">IF($A25-W$3&lt;2,0,OFFSET('FPSO1 Base'!W22,-'FPSO1 Otim'!W$3,0))</f>
        <v>0</v>
      </c>
      <c r="X25" s="19">
        <f ca="1">IF($A25-X$3&lt;2,0,OFFSET('FPSO1 Base'!X22,-'FPSO1 Otim'!X$3,0))</f>
        <v>1729.56</v>
      </c>
      <c r="Y25" s="19">
        <f ca="1">IF($A25-Y$3&lt;2,0,OFFSET('FPSO1 Base'!Y22,-'FPSO1 Otim'!Y$3,0))</f>
        <v>773.75549999999998</v>
      </c>
      <c r="Z25" s="19">
        <f ca="1">IF($A25-Z$3&lt;2,0,OFFSET('FPSO1 Base'!Z22,-'FPSO1 Otim'!Z$3,0))</f>
        <v>0</v>
      </c>
      <c r="AA25" s="20">
        <v>15000</v>
      </c>
      <c r="AB25" s="19">
        <f t="shared" ca="1" si="2"/>
        <v>14806.375500000002</v>
      </c>
      <c r="AC25" s="20">
        <f t="shared" ca="1" si="3"/>
        <v>193.62449999999808</v>
      </c>
      <c r="AD25" s="19">
        <f t="shared" ca="1" si="4"/>
        <v>12646.501448168523</v>
      </c>
      <c r="AE25" s="40"/>
      <c r="AF25" s="41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</row>
    <row r="26" spans="1:57" x14ac:dyDescent="0.25">
      <c r="A26" s="19">
        <v>22</v>
      </c>
      <c r="B26" s="31">
        <v>46266</v>
      </c>
      <c r="C26" s="19">
        <f ca="1">IF($A26-C$3&lt;2,0,OFFSET('FPSO1 Base'!C23,-'FPSO1 Otim'!C$3,0))</f>
        <v>1745.9324999999999</v>
      </c>
      <c r="D26" s="19">
        <f ca="1">IF($A26-D$3&lt;2,0,OFFSET('FPSO1 Base'!D23,-'FPSO1 Otim'!D$3,0))</f>
        <v>0</v>
      </c>
      <c r="E26" s="19">
        <f ca="1">IF($A26-E$3&lt;2,0,OFFSET('FPSO1 Base'!E23,-'FPSO1 Otim'!E$3,0))</f>
        <v>941.90699999999993</v>
      </c>
      <c r="F26" s="19">
        <f ca="1">IF($A26-F$3&lt;2,0,OFFSET('FPSO1 Base'!F23,-'FPSO1 Otim'!F$3,0))</f>
        <v>1751.6849999999999</v>
      </c>
      <c r="G26" s="19">
        <f ca="1">IF($A26-G$3&lt;2,0,OFFSET('FPSO1 Base'!G23,-'FPSO1 Otim'!G$3,0))</f>
        <v>0</v>
      </c>
      <c r="H26" s="19">
        <f ca="1">IF($A26-H$3&lt;2,0,OFFSET('FPSO1 Base'!H23,-'FPSO1 Otim'!H$3,0))</f>
        <v>0</v>
      </c>
      <c r="I26" s="19">
        <f ca="1">IF($A26-I$3&lt;2,0,OFFSET('FPSO1 Base'!I23,-'FPSO1 Otim'!I$3,0))</f>
        <v>0</v>
      </c>
      <c r="J26" s="19">
        <f ca="1">IF($A26-J$3&lt;2,0,OFFSET('FPSO1 Base'!J23,-'FPSO1 Otim'!J$3,0))</f>
        <v>0</v>
      </c>
      <c r="K26" s="19">
        <f ca="1">IF($A26-K$3&lt;2,0,OFFSET('FPSO1 Base'!K23,-'FPSO1 Otim'!K$3,0))</f>
        <v>799.17599999999993</v>
      </c>
      <c r="L26" s="19">
        <f ca="1">IF($A26-L$3&lt;2,0,OFFSET('FPSO1 Base'!L23,-'FPSO1 Otim'!L$3,0))</f>
        <v>2105.52</v>
      </c>
      <c r="M26" s="19">
        <f ca="1">IF($A26-M$3&lt;2,0,OFFSET('FPSO1 Base'!M23,-'FPSO1 Otim'!M$3,0))</f>
        <v>1285.098</v>
      </c>
      <c r="N26" s="19">
        <f ca="1">IF($A26-N$3&lt;2,0,OFFSET('FPSO1 Base'!N23,-'FPSO1 Otim'!N$3,0))</f>
        <v>0</v>
      </c>
      <c r="O26" s="19">
        <f ca="1">IF($A26-O$3&lt;2,0,OFFSET('FPSO1 Base'!O23,-'FPSO1 Otim'!O$3,0))</f>
        <v>0</v>
      </c>
      <c r="P26" s="19">
        <f ca="1">IF($A26-P$3&lt;2,0,OFFSET('FPSO1 Base'!P23,-'FPSO1 Otim'!P$3,0))</f>
        <v>421.548</v>
      </c>
      <c r="Q26" s="19">
        <f ca="1">IF($A26-Q$3&lt;2,0,OFFSET('FPSO1 Base'!Q23,-'FPSO1 Otim'!Q$3,0))</f>
        <v>603.1635</v>
      </c>
      <c r="R26" s="19">
        <f ca="1">IF($A26-R$3&lt;2,0,OFFSET('FPSO1 Base'!R23,-'FPSO1 Otim'!R$3,0))</f>
        <v>0</v>
      </c>
      <c r="S26" s="19">
        <f ca="1">IF($A26-S$3&lt;2,0,OFFSET('FPSO1 Base'!S23,-'FPSO1 Otim'!S$3,0))</f>
        <v>0</v>
      </c>
      <c r="T26" s="19">
        <f ca="1">IF($A26-T$3&lt;2,0,OFFSET('FPSO1 Base'!T23,-'FPSO1 Otim'!T$3,0))</f>
        <v>1573.095</v>
      </c>
      <c r="U26" s="19">
        <f ca="1">IF($A26-U$3&lt;2,0,OFFSET('FPSO1 Base'!U23,-'FPSO1 Otim'!U$3,0))</f>
        <v>1265.9760000000001</v>
      </c>
      <c r="V26" s="19">
        <f ca="1">IF($A26-V$3&lt;2,0,OFFSET('FPSO1 Base'!V23,-'FPSO1 Otim'!V$3,0))</f>
        <v>0</v>
      </c>
      <c r="W26" s="19">
        <f ca="1">IF($A26-W$3&lt;2,0,OFFSET('FPSO1 Base'!W23,-'FPSO1 Otim'!W$3,0))</f>
        <v>0</v>
      </c>
      <c r="X26" s="19">
        <f ca="1">IF($A26-X$3&lt;2,0,OFFSET('FPSO1 Base'!X23,-'FPSO1 Otim'!X$3,0))</f>
        <v>1723.9499999999998</v>
      </c>
      <c r="Y26" s="19">
        <f ca="1">IF($A26-Y$3&lt;2,0,OFFSET('FPSO1 Base'!Y23,-'FPSO1 Otim'!Y$3,0))</f>
        <v>761.35799999999995</v>
      </c>
      <c r="Z26" s="19">
        <f ca="1">IF($A26-Z$3&lt;2,0,OFFSET('FPSO1 Base'!Z23,-'FPSO1 Otim'!Z$3,0))</f>
        <v>0</v>
      </c>
      <c r="AA26" s="20">
        <v>15000</v>
      </c>
      <c r="AB26" s="19">
        <f t="shared" ca="1" si="2"/>
        <v>14978.409</v>
      </c>
      <c r="AC26" s="20">
        <f t="shared" ca="1" si="3"/>
        <v>21.591000000000349</v>
      </c>
      <c r="AD26" s="19">
        <f t="shared" ca="1" si="4"/>
        <v>12687.708724730475</v>
      </c>
      <c r="AE26" s="40"/>
      <c r="AF26" s="41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</row>
    <row r="27" spans="1:57" x14ac:dyDescent="0.25">
      <c r="A27" s="19">
        <v>23</v>
      </c>
      <c r="B27" s="31">
        <v>46296</v>
      </c>
      <c r="C27" s="19">
        <f ca="1">IF($A27-C$3&lt;2,0,OFFSET('FPSO1 Base'!C24,-'FPSO1 Otim'!C$3,0))</f>
        <v>1745.913</v>
      </c>
      <c r="D27" s="19">
        <f ca="1">IF($A27-D$3&lt;2,0,OFFSET('FPSO1 Base'!D24,-'FPSO1 Otim'!D$3,0))</f>
        <v>0</v>
      </c>
      <c r="E27" s="19">
        <f ca="1">IF($A27-E$3&lt;2,0,OFFSET('FPSO1 Base'!E24,-'FPSO1 Otim'!E$3,0))</f>
        <v>931.173</v>
      </c>
      <c r="F27" s="19">
        <f ca="1">IF($A27-F$3&lt;2,0,OFFSET('FPSO1 Base'!F24,-'FPSO1 Otim'!F$3,0))</f>
        <v>1698.03</v>
      </c>
      <c r="G27" s="19">
        <f ca="1">IF($A27-G$3&lt;2,0,OFFSET('FPSO1 Base'!G24,-'FPSO1 Otim'!G$3,0))</f>
        <v>0</v>
      </c>
      <c r="H27" s="19">
        <f ca="1">IF($A27-H$3&lt;2,0,OFFSET('FPSO1 Base'!H24,-'FPSO1 Otim'!H$3,0))</f>
        <v>0</v>
      </c>
      <c r="I27" s="19">
        <f ca="1">IF($A27-I$3&lt;2,0,OFFSET('FPSO1 Base'!I24,-'FPSO1 Otim'!I$3,0))</f>
        <v>0</v>
      </c>
      <c r="J27" s="19">
        <f ca="1">IF($A27-J$3&lt;2,0,OFFSET('FPSO1 Base'!J24,-'FPSO1 Otim'!J$3,0))</f>
        <v>0</v>
      </c>
      <c r="K27" s="19">
        <f ca="1">IF($A27-K$3&lt;2,0,OFFSET('FPSO1 Base'!K24,-'FPSO1 Otim'!K$3,0))</f>
        <v>787.53449999999998</v>
      </c>
      <c r="L27" s="19">
        <f ca="1">IF($A27-L$3&lt;2,0,OFFSET('FPSO1 Base'!L24,-'FPSO1 Otim'!L$3,0))</f>
        <v>2066.4750000000004</v>
      </c>
      <c r="M27" s="19">
        <f ca="1">IF($A27-M$3&lt;2,0,OFFSET('FPSO1 Base'!M24,-'FPSO1 Otim'!M$3,0))</f>
        <v>1259.3775000000001</v>
      </c>
      <c r="N27" s="19">
        <f ca="1">IF($A27-N$3&lt;2,0,OFFSET('FPSO1 Base'!N24,-'FPSO1 Otim'!N$3,0))</f>
        <v>0</v>
      </c>
      <c r="O27" s="19">
        <f ca="1">IF($A27-O$3&lt;2,0,OFFSET('FPSO1 Base'!O24,-'FPSO1 Otim'!O$3,0))</f>
        <v>0</v>
      </c>
      <c r="P27" s="19">
        <f ca="1">IF($A27-P$3&lt;2,0,OFFSET('FPSO1 Base'!P24,-'FPSO1 Otim'!P$3,0))</f>
        <v>421.62450000000001</v>
      </c>
      <c r="Q27" s="19">
        <f ca="1">IF($A27-Q$3&lt;2,0,OFFSET('FPSO1 Base'!Q24,-'FPSO1 Otim'!Q$3,0))</f>
        <v>596.59199999999998</v>
      </c>
      <c r="R27" s="19">
        <f ca="1">IF($A27-R$3&lt;2,0,OFFSET('FPSO1 Base'!R24,-'FPSO1 Otim'!R$3,0))</f>
        <v>0</v>
      </c>
      <c r="S27" s="19">
        <f ca="1">IF($A27-S$3&lt;2,0,OFFSET('FPSO1 Base'!S24,-'FPSO1 Otim'!S$3,0))</f>
        <v>0</v>
      </c>
      <c r="T27" s="19">
        <f ca="1">IF($A27-T$3&lt;2,0,OFFSET('FPSO1 Base'!T24,-'FPSO1 Otim'!T$3,0))</f>
        <v>1537.6349999999998</v>
      </c>
      <c r="U27" s="19">
        <f ca="1">IF($A27-U$3&lt;2,0,OFFSET('FPSO1 Base'!U24,-'FPSO1 Otim'!U$3,0))</f>
        <v>1256.652</v>
      </c>
      <c r="V27" s="19">
        <f ca="1">IF($A27-V$3&lt;2,0,OFFSET('FPSO1 Base'!V24,-'FPSO1 Otim'!V$3,0))</f>
        <v>0</v>
      </c>
      <c r="W27" s="19">
        <f ca="1">IF($A27-W$3&lt;2,0,OFFSET('FPSO1 Base'!W24,-'FPSO1 Otim'!W$3,0))</f>
        <v>0</v>
      </c>
      <c r="X27" s="19">
        <f ca="1">IF($A27-X$3&lt;2,0,OFFSET('FPSO1 Base'!X24,-'FPSO1 Otim'!X$3,0))</f>
        <v>1718.28</v>
      </c>
      <c r="Y27" s="19">
        <f ca="1">IF($A27-Y$3&lt;2,0,OFFSET('FPSO1 Base'!Y24,-'FPSO1 Otim'!Y$3,0))</f>
        <v>751.03649999999993</v>
      </c>
      <c r="Z27" s="19">
        <f ca="1">IF($A27-Z$3&lt;2,0,OFFSET('FPSO1 Base'!Z24,-'FPSO1 Otim'!Z$3,0))</f>
        <v>0</v>
      </c>
      <c r="AA27" s="20">
        <v>15000</v>
      </c>
      <c r="AB27" s="19">
        <f t="shared" ca="1" si="2"/>
        <v>14770.323000000002</v>
      </c>
      <c r="AC27" s="20">
        <f t="shared" ca="1" si="3"/>
        <v>229.67699999999786</v>
      </c>
      <c r="AD27" s="19">
        <f t="shared" ca="1" si="4"/>
        <v>12408.045661201579</v>
      </c>
      <c r="AE27" s="40"/>
      <c r="AF27" s="41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</row>
    <row r="28" spans="1:57" x14ac:dyDescent="0.25">
      <c r="A28" s="19">
        <v>24</v>
      </c>
      <c r="B28" s="31">
        <v>46327</v>
      </c>
      <c r="C28" s="19">
        <f ca="1">IF($A28-C$3&lt;2,0,OFFSET('FPSO1 Base'!C25,-'FPSO1 Otim'!C$3,0))</f>
        <v>1745.9070000000002</v>
      </c>
      <c r="D28" s="19">
        <f ca="1">IF($A28-D$3&lt;2,0,OFFSET('FPSO1 Base'!D25,-'FPSO1 Otim'!D$3,0))</f>
        <v>0</v>
      </c>
      <c r="E28" s="19">
        <f ca="1">IF($A28-E$3&lt;2,0,OFFSET('FPSO1 Base'!E25,-'FPSO1 Otim'!E$3,0))</f>
        <v>919.48049999999989</v>
      </c>
      <c r="F28" s="19">
        <f ca="1">IF($A28-F$3&lt;2,0,OFFSET('FPSO1 Base'!F25,-'FPSO1 Otim'!F$3,0))</f>
        <v>1643.6100000000001</v>
      </c>
      <c r="G28" s="19">
        <f ca="1">IF($A28-G$3&lt;2,0,OFFSET('FPSO1 Base'!G25,-'FPSO1 Otim'!G$3,0))</f>
        <v>0</v>
      </c>
      <c r="H28" s="19">
        <f ca="1">IF($A28-H$3&lt;2,0,OFFSET('FPSO1 Base'!H25,-'FPSO1 Otim'!H$3,0))</f>
        <v>0</v>
      </c>
      <c r="I28" s="19">
        <f ca="1">IF($A28-I$3&lt;2,0,OFFSET('FPSO1 Base'!I25,-'FPSO1 Otim'!I$3,0))</f>
        <v>0</v>
      </c>
      <c r="J28" s="19">
        <f ca="1">IF($A28-J$3&lt;2,0,OFFSET('FPSO1 Base'!J25,-'FPSO1 Otim'!J$3,0))</f>
        <v>0</v>
      </c>
      <c r="K28" s="19">
        <f ca="1">IF($A28-K$3&lt;2,0,OFFSET('FPSO1 Base'!K25,-'FPSO1 Otim'!K$3,0))</f>
        <v>775.9815000000001</v>
      </c>
      <c r="L28" s="19">
        <f ca="1">IF($A28-L$3&lt;2,0,OFFSET('FPSO1 Base'!L25,-'FPSO1 Otim'!L$3,0))</f>
        <v>2049.96</v>
      </c>
      <c r="M28" s="19">
        <f ca="1">IF($A28-M$3&lt;2,0,OFFSET('FPSO1 Base'!M25,-'FPSO1 Otim'!M$3,0))</f>
        <v>1234.4445000000001</v>
      </c>
      <c r="N28" s="19">
        <f ca="1">IF($A28-N$3&lt;2,0,OFFSET('FPSO1 Base'!N25,-'FPSO1 Otim'!N$3,0))</f>
        <v>0</v>
      </c>
      <c r="O28" s="19">
        <f ca="1">IF($A28-O$3&lt;2,0,OFFSET('FPSO1 Base'!O25,-'FPSO1 Otim'!O$3,0))</f>
        <v>0</v>
      </c>
      <c r="P28" s="19">
        <f ca="1">IF($A28-P$3&lt;2,0,OFFSET('FPSO1 Base'!P25,-'FPSO1 Otim'!P$3,0))</f>
        <v>421.548</v>
      </c>
      <c r="Q28" s="19">
        <f ca="1">IF($A28-Q$3&lt;2,0,OFFSET('FPSO1 Base'!Q25,-'FPSO1 Otim'!Q$3,0))</f>
        <v>591.16949999999997</v>
      </c>
      <c r="R28" s="19">
        <f ca="1">IF($A28-R$3&lt;2,0,OFFSET('FPSO1 Base'!R25,-'FPSO1 Otim'!R$3,0))</f>
        <v>0</v>
      </c>
      <c r="S28" s="19">
        <f ca="1">IF($A28-S$3&lt;2,0,OFFSET('FPSO1 Base'!S25,-'FPSO1 Otim'!S$3,0))</f>
        <v>0</v>
      </c>
      <c r="T28" s="19">
        <f ca="1">IF($A28-T$3&lt;2,0,OFFSET('FPSO1 Base'!T25,-'FPSO1 Otim'!T$3,0))</f>
        <v>1497.6990000000001</v>
      </c>
      <c r="U28" s="19">
        <f ca="1">IF($A28-U$3&lt;2,0,OFFSET('FPSO1 Base'!U25,-'FPSO1 Otim'!U$3,0))</f>
        <v>1249.3425</v>
      </c>
      <c r="V28" s="19">
        <f ca="1">IF($A28-V$3&lt;2,0,OFFSET('FPSO1 Base'!V25,-'FPSO1 Otim'!V$3,0))</f>
        <v>0</v>
      </c>
      <c r="W28" s="19">
        <f ca="1">IF($A28-W$3&lt;2,0,OFFSET('FPSO1 Base'!W25,-'FPSO1 Otim'!W$3,0))</f>
        <v>0</v>
      </c>
      <c r="X28" s="19">
        <f ca="1">IF($A28-X$3&lt;2,0,OFFSET('FPSO1 Base'!X25,-'FPSO1 Otim'!X$3,0))</f>
        <v>1669.2599999999998</v>
      </c>
      <c r="Y28" s="19">
        <f ca="1">IF($A28-Y$3&lt;2,0,OFFSET('FPSO1 Base'!Y25,-'FPSO1 Otim'!Y$3,0))</f>
        <v>740.92049999999995</v>
      </c>
      <c r="Z28" s="19">
        <f ca="1">IF($A28-Z$3&lt;2,0,OFFSET('FPSO1 Base'!Z25,-'FPSO1 Otim'!Z$3,0))</f>
        <v>0</v>
      </c>
      <c r="AA28" s="20">
        <v>15000</v>
      </c>
      <c r="AB28" s="19">
        <f t="shared" ca="1" si="2"/>
        <v>14539.323000000002</v>
      </c>
      <c r="AC28" s="20">
        <f t="shared" ca="1" si="3"/>
        <v>460.67699999999786</v>
      </c>
      <c r="AD28" s="19">
        <f t="shared" ca="1" si="4"/>
        <v>12113.048353411368</v>
      </c>
      <c r="AE28" s="40"/>
      <c r="AF28" s="41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</row>
    <row r="29" spans="1:57" x14ac:dyDescent="0.25">
      <c r="A29" s="19">
        <v>25</v>
      </c>
      <c r="B29" s="31">
        <v>46357</v>
      </c>
      <c r="C29" s="19">
        <f ca="1">IF($A29-C$3&lt;2,0,OFFSET('FPSO1 Base'!C26,-'FPSO1 Otim'!C$3,0))</f>
        <v>1745.8815</v>
      </c>
      <c r="D29" s="19">
        <f ca="1">IF($A29-D$3&lt;2,0,OFFSET('FPSO1 Base'!D26,-'FPSO1 Otim'!D$3,0))</f>
        <v>0</v>
      </c>
      <c r="E29" s="19">
        <f ca="1">IF($A29-E$3&lt;2,0,OFFSET('FPSO1 Base'!E26,-'FPSO1 Otim'!E$3,0))</f>
        <v>912.53549999999996</v>
      </c>
      <c r="F29" s="19">
        <f ca="1">IF($A29-F$3&lt;2,0,OFFSET('FPSO1 Base'!F26,-'FPSO1 Otim'!F$3,0))</f>
        <v>1608.6750000000002</v>
      </c>
      <c r="G29" s="19">
        <f ca="1">IF($A29-G$3&lt;2,0,OFFSET('FPSO1 Base'!G26,-'FPSO1 Otim'!G$3,0))</f>
        <v>0</v>
      </c>
      <c r="H29" s="19">
        <f ca="1">IF($A29-H$3&lt;2,0,OFFSET('FPSO1 Base'!H26,-'FPSO1 Otim'!H$3,0))</f>
        <v>0</v>
      </c>
      <c r="I29" s="19">
        <f ca="1">IF($A29-I$3&lt;2,0,OFFSET('FPSO1 Base'!I26,-'FPSO1 Otim'!I$3,0))</f>
        <v>0</v>
      </c>
      <c r="J29" s="19">
        <f ca="1">IF($A29-J$3&lt;2,0,OFFSET('FPSO1 Base'!J26,-'FPSO1 Otim'!J$3,0))</f>
        <v>0</v>
      </c>
      <c r="K29" s="19">
        <f ca="1">IF($A29-K$3&lt;2,0,OFFSET('FPSO1 Base'!K26,-'FPSO1 Otim'!K$3,0))</f>
        <v>764.80500000000006</v>
      </c>
      <c r="L29" s="19">
        <f ca="1">IF($A29-L$3&lt;2,0,OFFSET('FPSO1 Base'!L26,-'FPSO1 Otim'!L$3,0))</f>
        <v>1964.97</v>
      </c>
      <c r="M29" s="19">
        <f ca="1">IF($A29-M$3&lt;2,0,OFFSET('FPSO1 Base'!M26,-'FPSO1 Otim'!M$3,0))</f>
        <v>1213.527</v>
      </c>
      <c r="N29" s="19">
        <f ca="1">IF($A29-N$3&lt;2,0,OFFSET('FPSO1 Base'!N26,-'FPSO1 Otim'!N$3,0))</f>
        <v>0</v>
      </c>
      <c r="O29" s="19">
        <f ca="1">IF($A29-O$3&lt;2,0,OFFSET('FPSO1 Base'!O26,-'FPSO1 Otim'!O$3,0))</f>
        <v>0</v>
      </c>
      <c r="P29" s="19">
        <f ca="1">IF($A29-P$3&lt;2,0,OFFSET('FPSO1 Base'!P26,-'FPSO1 Otim'!P$3,0))</f>
        <v>421.34999999999997</v>
      </c>
      <c r="Q29" s="19">
        <f ca="1">IF($A29-Q$3&lt;2,0,OFFSET('FPSO1 Base'!Q26,-'FPSO1 Otim'!Q$3,0))</f>
        <v>585.11249999999995</v>
      </c>
      <c r="R29" s="19">
        <f ca="1">IF($A29-R$3&lt;2,0,OFFSET('FPSO1 Base'!R26,-'FPSO1 Otim'!R$3,0))</f>
        <v>0</v>
      </c>
      <c r="S29" s="19">
        <f ca="1">IF($A29-S$3&lt;2,0,OFFSET('FPSO1 Base'!S26,-'FPSO1 Otim'!S$3,0))</f>
        <v>0</v>
      </c>
      <c r="T29" s="19">
        <f ca="1">IF($A29-T$3&lt;2,0,OFFSET('FPSO1 Base'!T26,-'FPSO1 Otim'!T$3,0))</f>
        <v>1466.0715</v>
      </c>
      <c r="U29" s="19">
        <f ca="1">IF($A29-U$3&lt;2,0,OFFSET('FPSO1 Base'!U26,-'FPSO1 Otim'!U$3,0))</f>
        <v>1240.9005000000002</v>
      </c>
      <c r="V29" s="19">
        <f ca="1">IF($A29-V$3&lt;2,0,OFFSET('FPSO1 Base'!V26,-'FPSO1 Otim'!V$3,0))</f>
        <v>0</v>
      </c>
      <c r="W29" s="19">
        <f ca="1">IF($A29-W$3&lt;2,0,OFFSET('FPSO1 Base'!W26,-'FPSO1 Otim'!W$3,0))</f>
        <v>0</v>
      </c>
      <c r="X29" s="19">
        <f ca="1">IF($A29-X$3&lt;2,0,OFFSET('FPSO1 Base'!X26,-'FPSO1 Otim'!X$3,0))</f>
        <v>1496.8874999999998</v>
      </c>
      <c r="Y29" s="19">
        <f ca="1">IF($A29-Y$3&lt;2,0,OFFSET('FPSO1 Base'!Y26,-'FPSO1 Otim'!Y$3,0))</f>
        <v>732.2835</v>
      </c>
      <c r="Z29" s="19">
        <f ca="1">IF($A29-Z$3&lt;2,0,OFFSET('FPSO1 Base'!Z26,-'FPSO1 Otim'!Z$3,0))</f>
        <v>0</v>
      </c>
      <c r="AA29" s="20">
        <v>15000</v>
      </c>
      <c r="AB29" s="19">
        <f t="shared" ca="1" si="2"/>
        <v>14152.9995</v>
      </c>
      <c r="AC29" s="20">
        <f t="shared" ca="1" si="3"/>
        <v>847.0005000000001</v>
      </c>
      <c r="AD29" s="19">
        <f t="shared" ca="1" si="4"/>
        <v>11693.745376821345</v>
      </c>
      <c r="AE29" s="43"/>
      <c r="AF29" s="44"/>
      <c r="AG29" s="42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45"/>
      <c r="BE29" s="45"/>
    </row>
    <row r="30" spans="1:57" x14ac:dyDescent="0.25">
      <c r="A30" s="19">
        <v>26</v>
      </c>
      <c r="B30" s="31">
        <v>46388</v>
      </c>
      <c r="C30" s="19">
        <f ca="1">IF($A30-C$3&lt;2,0,OFFSET('FPSO1 Base'!C27,-'FPSO1 Otim'!C$3,0))</f>
        <v>1700.8425</v>
      </c>
      <c r="D30" s="19">
        <f ca="1">IF($A30-D$3&lt;2,0,OFFSET('FPSO1 Base'!D27,-'FPSO1 Otim'!D$3,0))</f>
        <v>0</v>
      </c>
      <c r="E30" s="19">
        <f ca="1">IF($A30-E$3&lt;2,0,OFFSET('FPSO1 Base'!E27,-'FPSO1 Otim'!E$3,0))</f>
        <v>905.08800000000008</v>
      </c>
      <c r="F30" s="19">
        <f ca="1">IF($A30-F$3&lt;2,0,OFFSET('FPSO1 Base'!F27,-'FPSO1 Otim'!F$3,0))</f>
        <v>1576.8000000000002</v>
      </c>
      <c r="G30" s="19">
        <f ca="1">IF($A30-G$3&lt;2,0,OFFSET('FPSO1 Base'!G27,-'FPSO1 Otim'!G$3,0))</f>
        <v>0</v>
      </c>
      <c r="H30" s="19">
        <f ca="1">IF($A30-H$3&lt;2,0,OFFSET('FPSO1 Base'!H27,-'FPSO1 Otim'!H$3,0))</f>
        <v>0</v>
      </c>
      <c r="I30" s="19">
        <f ca="1">IF($A30-I$3&lt;2,0,OFFSET('FPSO1 Base'!I27,-'FPSO1 Otim'!I$3,0))</f>
        <v>0</v>
      </c>
      <c r="J30" s="19">
        <f ca="1">IF($A30-J$3&lt;2,0,OFFSET('FPSO1 Base'!J27,-'FPSO1 Otim'!J$3,0))</f>
        <v>0</v>
      </c>
      <c r="K30" s="19">
        <f ca="1">IF($A30-K$3&lt;2,0,OFFSET('FPSO1 Base'!K27,-'FPSO1 Otim'!K$3,0))</f>
        <v>755.33699999999999</v>
      </c>
      <c r="L30" s="19">
        <f ca="1">IF($A30-L$3&lt;2,0,OFFSET('FPSO1 Base'!L27,-'FPSO1 Otim'!L$3,0))</f>
        <v>1831.56</v>
      </c>
      <c r="M30" s="19">
        <f ca="1">IF($A30-M$3&lt;2,0,OFFSET('FPSO1 Base'!M27,-'FPSO1 Otim'!M$3,0))</f>
        <v>1192.6995000000002</v>
      </c>
      <c r="N30" s="19">
        <f ca="1">IF($A30-N$3&lt;2,0,OFFSET('FPSO1 Base'!N27,-'FPSO1 Otim'!N$3,0))</f>
        <v>0</v>
      </c>
      <c r="O30" s="19">
        <f ca="1">IF($A30-O$3&lt;2,0,OFFSET('FPSO1 Base'!O27,-'FPSO1 Otim'!O$3,0))</f>
        <v>0</v>
      </c>
      <c r="P30" s="19">
        <f ca="1">IF($A30-P$3&lt;2,0,OFFSET('FPSO1 Base'!P27,-'FPSO1 Otim'!P$3,0))</f>
        <v>421.452</v>
      </c>
      <c r="Q30" s="19">
        <f ca="1">IF($A30-Q$3&lt;2,0,OFFSET('FPSO1 Base'!Q27,-'FPSO1 Otim'!Q$3,0))</f>
        <v>580.62749999999994</v>
      </c>
      <c r="R30" s="19">
        <f ca="1">IF($A30-R$3&lt;2,0,OFFSET('FPSO1 Base'!R27,-'FPSO1 Otim'!R$3,0))</f>
        <v>0</v>
      </c>
      <c r="S30" s="19">
        <f ca="1">IF($A30-S$3&lt;2,0,OFFSET('FPSO1 Base'!S27,-'FPSO1 Otim'!S$3,0))</f>
        <v>0</v>
      </c>
      <c r="T30" s="19">
        <f ca="1">IF($A30-T$3&lt;2,0,OFFSET('FPSO1 Base'!T27,-'FPSO1 Otim'!T$3,0))</f>
        <v>1429.4190000000001</v>
      </c>
      <c r="U30" s="19">
        <f ca="1">IF($A30-U$3&lt;2,0,OFFSET('FPSO1 Base'!U27,-'FPSO1 Otim'!U$3,0))</f>
        <v>1233.1575</v>
      </c>
      <c r="V30" s="19">
        <f ca="1">IF($A30-V$3&lt;2,0,OFFSET('FPSO1 Base'!V27,-'FPSO1 Otim'!V$3,0))</f>
        <v>188.20050000000001</v>
      </c>
      <c r="W30" s="19">
        <f ca="1">IF($A30-W$3&lt;2,0,OFFSET('FPSO1 Base'!W27,-'FPSO1 Otim'!W$3,0))</f>
        <v>0</v>
      </c>
      <c r="X30" s="19">
        <f ca="1">IF($A30-X$3&lt;2,0,OFFSET('FPSO1 Base'!X27,-'FPSO1 Otim'!X$3,0))</f>
        <v>1495.5975000000001</v>
      </c>
      <c r="Y30" s="19">
        <f ca="1">IF($A30-Y$3&lt;2,0,OFFSET('FPSO1 Base'!Y27,-'FPSO1 Otim'!Y$3,0))</f>
        <v>724.39649999999995</v>
      </c>
      <c r="Z30" s="19">
        <f ca="1">IF($A30-Z$3&lt;2,0,OFFSET('FPSO1 Base'!Z27,-'FPSO1 Otim'!Z$3,0))</f>
        <v>0</v>
      </c>
      <c r="AA30" s="20">
        <v>15000</v>
      </c>
      <c r="AB30" s="19">
        <f t="shared" ca="1" si="2"/>
        <v>14035.1775</v>
      </c>
      <c r="AC30" s="20">
        <f ca="1">AA30-AB30</f>
        <v>964.82250000000022</v>
      </c>
      <c r="AD30" s="19">
        <f t="shared" ca="1" si="4"/>
        <v>11500.558381865023</v>
      </c>
      <c r="AE30" s="40"/>
      <c r="AF30" s="41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</row>
    <row r="31" spans="1:57" x14ac:dyDescent="0.25">
      <c r="A31" s="19">
        <v>27</v>
      </c>
      <c r="B31" s="31">
        <v>46419</v>
      </c>
      <c r="C31" s="19">
        <f ca="1">IF($A31-C$3&lt;2,0,OFFSET('FPSO1 Base'!C28,-'FPSO1 Otim'!C$3,0))</f>
        <v>1700.7915000000003</v>
      </c>
      <c r="D31" s="19">
        <f ca="1">IF($A31-D$3&lt;2,0,OFFSET('FPSO1 Base'!D28,-'FPSO1 Otim'!D$3,0))</f>
        <v>0</v>
      </c>
      <c r="E31" s="19">
        <f ca="1">IF($A31-E$3&lt;2,0,OFFSET('FPSO1 Base'!E28,-'FPSO1 Otim'!E$3,0))</f>
        <v>898.71450000000004</v>
      </c>
      <c r="F31" s="19">
        <f ca="1">IF($A31-F$3&lt;2,0,OFFSET('FPSO1 Base'!F28,-'FPSO1 Otim'!F$3,0))</f>
        <v>1548.7049999999999</v>
      </c>
      <c r="G31" s="19">
        <f ca="1">IF($A31-G$3&lt;2,0,OFFSET('FPSO1 Base'!G28,-'FPSO1 Otim'!G$3,0))</f>
        <v>0</v>
      </c>
      <c r="H31" s="19">
        <f ca="1">IF($A31-H$3&lt;2,0,OFFSET('FPSO1 Base'!H28,-'FPSO1 Otim'!H$3,0))</f>
        <v>0</v>
      </c>
      <c r="I31" s="19">
        <f ca="1">IF($A31-I$3&lt;2,0,OFFSET('FPSO1 Base'!I28,-'FPSO1 Otim'!I$3,0))</f>
        <v>0</v>
      </c>
      <c r="J31" s="19">
        <f ca="1">IF($A31-J$3&lt;2,0,OFFSET('FPSO1 Base'!J28,-'FPSO1 Otim'!J$3,0))</f>
        <v>0</v>
      </c>
      <c r="K31" s="19">
        <f ca="1">IF($A31-K$3&lt;2,0,OFFSET('FPSO1 Base'!K28,-'FPSO1 Otim'!K$3,0))</f>
        <v>745.67700000000002</v>
      </c>
      <c r="L31" s="19">
        <f ca="1">IF($A31-L$3&lt;2,0,OFFSET('FPSO1 Base'!L28,-'FPSO1 Otim'!L$3,0))</f>
        <v>1776.345</v>
      </c>
      <c r="M31" s="19">
        <f ca="1">IF($A31-M$3&lt;2,0,OFFSET('FPSO1 Base'!M28,-'FPSO1 Otim'!M$3,0))</f>
        <v>1175.5529999999999</v>
      </c>
      <c r="N31" s="19">
        <f ca="1">IF($A31-N$3&lt;2,0,OFFSET('FPSO1 Base'!N28,-'FPSO1 Otim'!N$3,0))</f>
        <v>0</v>
      </c>
      <c r="O31" s="19">
        <f ca="1">IF($A31-O$3&lt;2,0,OFFSET('FPSO1 Base'!O28,-'FPSO1 Otim'!O$3,0))</f>
        <v>0</v>
      </c>
      <c r="P31" s="19">
        <f ca="1">IF($A31-P$3&lt;2,0,OFFSET('FPSO1 Base'!P28,-'FPSO1 Otim'!P$3,0))</f>
        <v>421.13699999999994</v>
      </c>
      <c r="Q31" s="19">
        <f ca="1">IF($A31-Q$3&lt;2,0,OFFSET('FPSO1 Base'!Q28,-'FPSO1 Otim'!Q$3,0))</f>
        <v>575.93100000000004</v>
      </c>
      <c r="R31" s="19">
        <f ca="1">IF($A31-R$3&lt;2,0,OFFSET('FPSO1 Base'!R28,-'FPSO1 Otim'!R$3,0))</f>
        <v>0</v>
      </c>
      <c r="S31" s="19">
        <f ca="1">IF($A31-S$3&lt;2,0,OFFSET('FPSO1 Base'!S28,-'FPSO1 Otim'!S$3,0))</f>
        <v>0</v>
      </c>
      <c r="T31" s="19">
        <f ca="1">IF($A31-T$3&lt;2,0,OFFSET('FPSO1 Base'!T28,-'FPSO1 Otim'!T$3,0))</f>
        <v>1396.578</v>
      </c>
      <c r="U31" s="19">
        <f ca="1">IF($A31-U$3&lt;2,0,OFFSET('FPSO1 Base'!U28,-'FPSO1 Otim'!U$3,0))</f>
        <v>1224.7379999999998</v>
      </c>
      <c r="V31" s="19">
        <f ca="1">IF($A31-V$3&lt;2,0,OFFSET('FPSO1 Base'!V28,-'FPSO1 Otim'!V$3,0))</f>
        <v>1316.952</v>
      </c>
      <c r="W31" s="19">
        <f ca="1">IF($A31-W$3&lt;2,0,OFFSET('FPSO1 Base'!W28,-'FPSO1 Otim'!W$3,0))</f>
        <v>0</v>
      </c>
      <c r="X31" s="19">
        <f ca="1">IF($A31-X$3&lt;2,0,OFFSET('FPSO1 Base'!X28,-'FPSO1 Otim'!X$3,0))</f>
        <v>1491.2175</v>
      </c>
      <c r="Y31" s="19">
        <f ca="1">IF($A31-Y$3&lt;2,0,OFFSET('FPSO1 Base'!Y28,-'FPSO1 Otim'!Y$3,0))</f>
        <v>716.88149999999996</v>
      </c>
      <c r="Z31" s="19">
        <f ca="1">IF($A31-Z$3&lt;2,0,OFFSET('FPSO1 Base'!Z28,-'FPSO1 Otim'!Z$3,0))</f>
        <v>0</v>
      </c>
      <c r="AA31" s="20">
        <v>15000</v>
      </c>
      <c r="AB31" s="19">
        <f t="shared" ca="1" si="2"/>
        <v>14989.221</v>
      </c>
      <c r="AC31" s="20">
        <f t="shared" ca="1" si="3"/>
        <v>10.779000000000451</v>
      </c>
      <c r="AD31" s="19">
        <f t="shared" ca="1" si="4"/>
        <v>12180.804029997447</v>
      </c>
      <c r="AE31" s="40"/>
      <c r="AF31" s="41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</row>
    <row r="32" spans="1:57" x14ac:dyDescent="0.25">
      <c r="A32" s="19">
        <v>28</v>
      </c>
      <c r="B32" s="31">
        <v>46447</v>
      </c>
      <c r="C32" s="19">
        <f ca="1">IF($A32-C$3&lt;2,0,OFFSET('FPSO1 Base'!C29,-'FPSO1 Otim'!C$3,0))</f>
        <v>1700.7345</v>
      </c>
      <c r="D32" s="19">
        <f ca="1">IF($A32-D$3&lt;2,0,OFFSET('FPSO1 Base'!D29,-'FPSO1 Otim'!D$3,0))</f>
        <v>0</v>
      </c>
      <c r="E32" s="19">
        <f ca="1">IF($A32-E$3&lt;2,0,OFFSET('FPSO1 Base'!E29,-'FPSO1 Otim'!E$3,0))</f>
        <v>892.28399999999999</v>
      </c>
      <c r="F32" s="19">
        <f ca="1">IF($A32-F$3&lt;2,0,OFFSET('FPSO1 Base'!F29,-'FPSO1 Otim'!F$3,0))</f>
        <v>1537.29</v>
      </c>
      <c r="G32" s="19">
        <f ca="1">IF($A32-G$3&lt;2,0,OFFSET('FPSO1 Base'!G29,-'FPSO1 Otim'!G$3,0))</f>
        <v>0</v>
      </c>
      <c r="H32" s="19">
        <f ca="1">IF($A32-H$3&lt;2,0,OFFSET('FPSO1 Base'!H29,-'FPSO1 Otim'!H$3,0))</f>
        <v>0</v>
      </c>
      <c r="I32" s="19">
        <f ca="1">IF($A32-I$3&lt;2,0,OFFSET('FPSO1 Base'!I29,-'FPSO1 Otim'!I$3,0))</f>
        <v>0</v>
      </c>
      <c r="J32" s="19">
        <f ca="1">IF($A32-J$3&lt;2,0,OFFSET('FPSO1 Base'!J29,-'FPSO1 Otim'!J$3,0))</f>
        <v>0</v>
      </c>
      <c r="K32" s="19">
        <f ca="1">IF($A32-K$3&lt;2,0,OFFSET('FPSO1 Base'!K29,-'FPSO1 Otim'!K$3,0))</f>
        <v>737.89649999999995</v>
      </c>
      <c r="L32" s="19">
        <f ca="1">IF($A32-L$3&lt;2,0,OFFSET('FPSO1 Base'!L29,-'FPSO1 Otim'!L$3,0))</f>
        <v>1724.625</v>
      </c>
      <c r="M32" s="19">
        <f ca="1">IF($A32-M$3&lt;2,0,OFFSET('FPSO1 Base'!M29,-'FPSO1 Otim'!M$3,0))</f>
        <v>1159.6845000000001</v>
      </c>
      <c r="N32" s="19">
        <f ca="1">IF($A32-N$3&lt;2,0,OFFSET('FPSO1 Base'!N29,-'FPSO1 Otim'!N$3,0))</f>
        <v>0</v>
      </c>
      <c r="O32" s="19">
        <f ca="1">IF($A32-O$3&lt;2,0,OFFSET('FPSO1 Base'!O29,-'FPSO1 Otim'!O$3,0))</f>
        <v>0</v>
      </c>
      <c r="P32" s="19">
        <f ca="1">IF($A32-P$3&lt;2,0,OFFSET('FPSO1 Base'!P29,-'FPSO1 Otim'!P$3,0))</f>
        <v>420.50850000000003</v>
      </c>
      <c r="Q32" s="19">
        <f ca="1">IF($A32-Q$3&lt;2,0,OFFSET('FPSO1 Base'!Q29,-'FPSO1 Otim'!Q$3,0))</f>
        <v>571.3365</v>
      </c>
      <c r="R32" s="19">
        <f ca="1">IF($A32-R$3&lt;2,0,OFFSET('FPSO1 Base'!R29,-'FPSO1 Otim'!R$3,0))</f>
        <v>0</v>
      </c>
      <c r="S32" s="19">
        <f ca="1">IF($A32-S$3&lt;2,0,OFFSET('FPSO1 Base'!S29,-'FPSO1 Otim'!S$3,0))</f>
        <v>0</v>
      </c>
      <c r="T32" s="19">
        <f ca="1">IF($A32-T$3&lt;2,0,OFFSET('FPSO1 Base'!T29,-'FPSO1 Otim'!T$3,0))</f>
        <v>1362.6</v>
      </c>
      <c r="U32" s="19">
        <f ca="1">IF($A32-U$3&lt;2,0,OFFSET('FPSO1 Base'!U29,-'FPSO1 Otim'!U$3,0))</f>
        <v>1216.7535</v>
      </c>
      <c r="V32" s="19">
        <f ca="1">IF($A32-V$3&lt;2,0,OFFSET('FPSO1 Base'!V29,-'FPSO1 Otim'!V$3,0))</f>
        <v>1120.0155</v>
      </c>
      <c r="W32" s="19">
        <f ca="1">IF($A32-W$3&lt;2,0,OFFSET('FPSO1 Base'!W29,-'FPSO1 Otim'!W$3,0))</f>
        <v>0</v>
      </c>
      <c r="X32" s="19">
        <f ca="1">IF($A32-X$3&lt;2,0,OFFSET('FPSO1 Base'!X29,-'FPSO1 Otim'!X$3,0))</f>
        <v>1485.6569999999999</v>
      </c>
      <c r="Y32" s="19">
        <f ca="1">IF($A32-Y$3&lt;2,0,OFFSET('FPSO1 Base'!Y29,-'FPSO1 Otim'!Y$3,0))</f>
        <v>710.625</v>
      </c>
      <c r="Z32" s="19">
        <f ca="1">IF($A32-Z$3&lt;2,0,OFFSET('FPSO1 Base'!Z29,-'FPSO1 Otim'!Z$3,0))</f>
        <v>0</v>
      </c>
      <c r="AA32" s="20">
        <v>15000</v>
      </c>
      <c r="AB32" s="19">
        <f t="shared" ca="1" si="2"/>
        <v>14640.0105</v>
      </c>
      <c r="AC32" s="20">
        <f t="shared" ca="1" si="3"/>
        <v>359.98949999999968</v>
      </c>
      <c r="AD32" s="19">
        <f t="shared" ca="1" si="4"/>
        <v>11798.699960509306</v>
      </c>
    </row>
    <row r="33" spans="1:30" x14ac:dyDescent="0.25">
      <c r="A33" s="19">
        <v>29</v>
      </c>
      <c r="B33" s="31">
        <v>46478</v>
      </c>
      <c r="C33" s="19">
        <f ca="1">IF($A33-C$3&lt;2,0,OFFSET('FPSO1 Base'!C30,-'FPSO1 Otim'!C$3,0))</f>
        <v>1700.6655000000001</v>
      </c>
      <c r="D33" s="19">
        <f ca="1">IF($A33-D$3&lt;2,0,OFFSET('FPSO1 Base'!D30,-'FPSO1 Otim'!D$3,0))</f>
        <v>0</v>
      </c>
      <c r="E33" s="19">
        <f ca="1">IF($A33-E$3&lt;2,0,OFFSET('FPSO1 Base'!E30,-'FPSO1 Otim'!E$3,0))</f>
        <v>886.88400000000001</v>
      </c>
      <c r="F33" s="19">
        <f ca="1">IF($A33-F$3&lt;2,0,OFFSET('FPSO1 Base'!F30,-'FPSO1 Otim'!F$3,0))</f>
        <v>1519.4850000000001</v>
      </c>
      <c r="G33" s="19">
        <f ca="1">IF($A33-G$3&lt;2,0,OFFSET('FPSO1 Base'!G30,-'FPSO1 Otim'!G$3,0))</f>
        <v>0</v>
      </c>
      <c r="H33" s="19">
        <f ca="1">IF($A33-H$3&lt;2,0,OFFSET('FPSO1 Base'!H30,-'FPSO1 Otim'!H$3,0))</f>
        <v>0</v>
      </c>
      <c r="I33" s="19">
        <f ca="1">IF($A33-I$3&lt;2,0,OFFSET('FPSO1 Base'!I30,-'FPSO1 Otim'!I$3,0))</f>
        <v>0</v>
      </c>
      <c r="J33" s="19">
        <f ca="1">IF($A33-J$3&lt;2,0,OFFSET('FPSO1 Base'!J30,-'FPSO1 Otim'!J$3,0))</f>
        <v>0</v>
      </c>
      <c r="K33" s="19">
        <f ca="1">IF($A33-K$3&lt;2,0,OFFSET('FPSO1 Base'!K30,-'FPSO1 Otim'!K$3,0))</f>
        <v>730.524</v>
      </c>
      <c r="L33" s="19">
        <f ca="1">IF($A33-L$3&lt;2,0,OFFSET('FPSO1 Base'!L30,-'FPSO1 Otim'!L$3,0))</f>
        <v>1677.5549999999998</v>
      </c>
      <c r="M33" s="19">
        <f ca="1">IF($A33-M$3&lt;2,0,OFFSET('FPSO1 Base'!M30,-'FPSO1 Otim'!M$3,0))</f>
        <v>1142.076</v>
      </c>
      <c r="N33" s="19">
        <f ca="1">IF($A33-N$3&lt;2,0,OFFSET('FPSO1 Base'!N30,-'FPSO1 Otim'!N$3,0))</f>
        <v>0</v>
      </c>
      <c r="O33" s="19">
        <f ca="1">IF($A33-O$3&lt;2,0,OFFSET('FPSO1 Base'!O30,-'FPSO1 Otim'!O$3,0))</f>
        <v>0</v>
      </c>
      <c r="P33" s="19">
        <f ca="1">IF($A33-P$3&lt;2,0,OFFSET('FPSO1 Base'!P30,-'FPSO1 Otim'!P$3,0))</f>
        <v>419.928</v>
      </c>
      <c r="Q33" s="19">
        <f ca="1">IF($A33-Q$3&lt;2,0,OFFSET('FPSO1 Base'!Q30,-'FPSO1 Otim'!Q$3,0))</f>
        <v>566.7405</v>
      </c>
      <c r="R33" s="19">
        <f ca="1">IF($A33-R$3&lt;2,0,OFFSET('FPSO1 Base'!R30,-'FPSO1 Otim'!R$3,0))</f>
        <v>0</v>
      </c>
      <c r="S33" s="19">
        <f ca="1">IF($A33-S$3&lt;2,0,OFFSET('FPSO1 Base'!S30,-'FPSO1 Otim'!S$3,0))</f>
        <v>0</v>
      </c>
      <c r="T33" s="19">
        <f ca="1">IF($A33-T$3&lt;2,0,OFFSET('FPSO1 Base'!T30,-'FPSO1 Otim'!T$3,0))</f>
        <v>1331.6669999999999</v>
      </c>
      <c r="U33" s="19">
        <f ca="1">IF($A33-U$3&lt;2,0,OFFSET('FPSO1 Base'!U30,-'FPSO1 Otim'!U$3,0))</f>
        <v>1208.6610000000001</v>
      </c>
      <c r="V33" s="19">
        <f ca="1">IF($A33-V$3&lt;2,0,OFFSET('FPSO1 Base'!V30,-'FPSO1 Otim'!V$3,0))</f>
        <v>1090.4460000000001</v>
      </c>
      <c r="W33" s="19">
        <f ca="1">IF($A33-W$3&lt;2,0,OFFSET('FPSO1 Base'!W30,-'FPSO1 Otim'!W$3,0))</f>
        <v>252.56849999999997</v>
      </c>
      <c r="X33" s="19">
        <f ca="1">IF($A33-X$3&lt;2,0,OFFSET('FPSO1 Base'!X30,-'FPSO1 Otim'!X$3,0))</f>
        <v>1481.8544999999999</v>
      </c>
      <c r="Y33" s="19">
        <f ca="1">IF($A33-Y$3&lt;2,0,OFFSET('FPSO1 Base'!Y30,-'FPSO1 Otim'!Y$3,0))</f>
        <v>704.45249999999999</v>
      </c>
      <c r="Z33" s="19">
        <f ca="1">IF($A33-Z$3&lt;2,0,OFFSET('FPSO1 Base'!Z30,-'FPSO1 Otim'!Z$3,0))</f>
        <v>0</v>
      </c>
      <c r="AA33" s="20">
        <v>15000</v>
      </c>
      <c r="AB33" s="19">
        <f t="shared" ca="1" si="2"/>
        <v>14713.507499999998</v>
      </c>
      <c r="AC33" s="20">
        <f t="shared" ca="1" si="3"/>
        <v>286.49250000000211</v>
      </c>
      <c r="AD33" s="19">
        <f t="shared" ca="1" si="4"/>
        <v>11759.933332265897</v>
      </c>
    </row>
    <row r="34" spans="1:30" x14ac:dyDescent="0.25">
      <c r="A34" s="19">
        <v>30</v>
      </c>
      <c r="B34" s="31">
        <v>46508</v>
      </c>
      <c r="C34" s="19">
        <f ca="1">IF($A34-C$3&lt;2,0,OFFSET('FPSO1 Base'!C31,-'FPSO1 Otim'!C$3,0))</f>
        <v>1700.58</v>
      </c>
      <c r="D34" s="19">
        <f ca="1">IF($A34-D$3&lt;2,0,OFFSET('FPSO1 Base'!D31,-'FPSO1 Otim'!D$3,0))</f>
        <v>0</v>
      </c>
      <c r="E34" s="19">
        <f ca="1">IF($A34-E$3&lt;2,0,OFFSET('FPSO1 Base'!E31,-'FPSO1 Otim'!E$3,0))</f>
        <v>881.86349999999993</v>
      </c>
      <c r="F34" s="19">
        <f ca="1">IF($A34-F$3&lt;2,0,OFFSET('FPSO1 Base'!F31,-'FPSO1 Otim'!F$3,0))</f>
        <v>1506.135</v>
      </c>
      <c r="G34" s="19">
        <f ca="1">IF($A34-G$3&lt;2,0,OFFSET('FPSO1 Base'!G31,-'FPSO1 Otim'!G$3,0))</f>
        <v>0</v>
      </c>
      <c r="H34" s="19">
        <f ca="1">IF($A34-H$3&lt;2,0,OFFSET('FPSO1 Base'!H31,-'FPSO1 Otim'!H$3,0))</f>
        <v>0</v>
      </c>
      <c r="I34" s="19">
        <f ca="1">IF($A34-I$3&lt;2,0,OFFSET('FPSO1 Base'!I31,-'FPSO1 Otim'!I$3,0))</f>
        <v>0</v>
      </c>
      <c r="J34" s="19">
        <f ca="1">IF($A34-J$3&lt;2,0,OFFSET('FPSO1 Base'!J31,-'FPSO1 Otim'!J$3,0))</f>
        <v>0</v>
      </c>
      <c r="K34" s="19">
        <f ca="1">IF($A34-K$3&lt;2,0,OFFSET('FPSO1 Base'!K31,-'FPSO1 Otim'!K$3,0))</f>
        <v>722.27699999999993</v>
      </c>
      <c r="L34" s="19">
        <f ca="1">IF($A34-L$3&lt;2,0,OFFSET('FPSO1 Base'!L31,-'FPSO1 Otim'!L$3,0))</f>
        <v>1649.2649999999999</v>
      </c>
      <c r="M34" s="19">
        <f ca="1">IF($A34-M$3&lt;2,0,OFFSET('FPSO1 Base'!M31,-'FPSO1 Otim'!M$3,0))</f>
        <v>1128.9675</v>
      </c>
      <c r="N34" s="19">
        <f ca="1">IF($A34-N$3&lt;2,0,OFFSET('FPSO1 Base'!N31,-'FPSO1 Otim'!N$3,0))</f>
        <v>0</v>
      </c>
      <c r="O34" s="19">
        <f ca="1">IF($A34-O$3&lt;2,0,OFFSET('FPSO1 Base'!O31,-'FPSO1 Otim'!O$3,0))</f>
        <v>0</v>
      </c>
      <c r="P34" s="19">
        <f ca="1">IF($A34-P$3&lt;2,0,OFFSET('FPSO1 Base'!P31,-'FPSO1 Otim'!P$3,0))</f>
        <v>419.12549999999999</v>
      </c>
      <c r="Q34" s="19">
        <f ca="1">IF($A34-Q$3&lt;2,0,OFFSET('FPSO1 Base'!Q31,-'FPSO1 Otim'!Q$3,0))</f>
        <v>562.11899999999991</v>
      </c>
      <c r="R34" s="19">
        <f ca="1">IF($A34-R$3&lt;2,0,OFFSET('FPSO1 Base'!R31,-'FPSO1 Otim'!R$3,0))</f>
        <v>0</v>
      </c>
      <c r="S34" s="19">
        <f ca="1">IF($A34-S$3&lt;2,0,OFFSET('FPSO1 Base'!S31,-'FPSO1 Otim'!S$3,0))</f>
        <v>0</v>
      </c>
      <c r="T34" s="19">
        <f ca="1">IF($A34-T$3&lt;2,0,OFFSET('FPSO1 Base'!T31,-'FPSO1 Otim'!T$3,0))</f>
        <v>1301.7945</v>
      </c>
      <c r="U34" s="19">
        <f ca="1">IF($A34-U$3&lt;2,0,OFFSET('FPSO1 Base'!U31,-'FPSO1 Otim'!U$3,0))</f>
        <v>1200</v>
      </c>
      <c r="V34" s="19">
        <f ca="1">IF($A34-V$3&lt;2,0,OFFSET('FPSO1 Base'!V31,-'FPSO1 Otim'!V$3,0))</f>
        <v>1090.5975000000001</v>
      </c>
      <c r="W34" s="19">
        <f ca="1">IF($A34-W$3&lt;2,0,OFFSET('FPSO1 Base'!W31,-'FPSO1 Otim'!W$3,0))</f>
        <v>636.60450000000003</v>
      </c>
      <c r="X34" s="19">
        <f ca="1">IF($A34-X$3&lt;2,0,OFFSET('FPSO1 Base'!X31,-'FPSO1 Otim'!X$3,0))</f>
        <v>1477.7505000000001</v>
      </c>
      <c r="Y34" s="19">
        <f ca="1">IF($A34-Y$3&lt;2,0,OFFSET('FPSO1 Base'!Y31,-'FPSO1 Otim'!Y$3,0))</f>
        <v>693.77699999999993</v>
      </c>
      <c r="Z34" s="19">
        <f ca="1">IF($A34-Z$3&lt;2,0,OFFSET('FPSO1 Base'!Z31,-'FPSO1 Otim'!Z$3,0))</f>
        <v>0</v>
      </c>
      <c r="AA34" s="20">
        <v>15000</v>
      </c>
      <c r="AB34" s="19">
        <f t="shared" ca="1" si="2"/>
        <v>14970.856499999998</v>
      </c>
      <c r="AC34" s="20">
        <f t="shared" ca="1" si="3"/>
        <v>29.14350000000195</v>
      </c>
      <c r="AD34" s="19">
        <f t="shared" ca="1" si="4"/>
        <v>11866.73292109047</v>
      </c>
    </row>
    <row r="35" spans="1:30" x14ac:dyDescent="0.25">
      <c r="A35" s="19">
        <v>31</v>
      </c>
      <c r="B35" s="31">
        <v>46539</v>
      </c>
      <c r="C35" s="19">
        <f ca="1">IF($A35-C$3&lt;2,0,OFFSET('FPSO1 Base'!C32,-'FPSO1 Otim'!C$3,0))</f>
        <v>1700.4945</v>
      </c>
      <c r="D35" s="19">
        <f ca="1">IF($A35-D$3&lt;2,0,OFFSET('FPSO1 Base'!D32,-'FPSO1 Otim'!D$3,0))</f>
        <v>0</v>
      </c>
      <c r="E35" s="19">
        <f ca="1">IF($A35-E$3&lt;2,0,OFFSET('FPSO1 Base'!E32,-'FPSO1 Otim'!E$3,0))</f>
        <v>876.87149999999997</v>
      </c>
      <c r="F35" s="19">
        <f ca="1">IF($A35-F$3&lt;2,0,OFFSET('FPSO1 Base'!F32,-'FPSO1 Otim'!F$3,0))</f>
        <v>1490.5844999999999</v>
      </c>
      <c r="G35" s="19">
        <f ca="1">IF($A35-G$3&lt;2,0,OFFSET('FPSO1 Base'!G32,-'FPSO1 Otim'!G$3,0))</f>
        <v>0</v>
      </c>
      <c r="H35" s="19">
        <f ca="1">IF($A35-H$3&lt;2,0,OFFSET('FPSO1 Base'!H32,-'FPSO1 Otim'!H$3,0))</f>
        <v>0</v>
      </c>
      <c r="I35" s="19">
        <f ca="1">IF($A35-I$3&lt;2,0,OFFSET('FPSO1 Base'!I32,-'FPSO1 Otim'!I$3,0))</f>
        <v>0</v>
      </c>
      <c r="J35" s="19">
        <f ca="1">IF($A35-J$3&lt;2,0,OFFSET('FPSO1 Base'!J32,-'FPSO1 Otim'!J$3,0))</f>
        <v>0</v>
      </c>
      <c r="K35" s="19">
        <f ca="1">IF($A35-K$3&lt;2,0,OFFSET('FPSO1 Base'!K32,-'FPSO1 Otim'!K$3,0))</f>
        <v>716.06850000000009</v>
      </c>
      <c r="L35" s="19">
        <f ca="1">IF($A35-L$3&lt;2,0,OFFSET('FPSO1 Base'!L32,-'FPSO1 Otim'!L$3,0))</f>
        <v>1656.6150000000002</v>
      </c>
      <c r="M35" s="19">
        <f ca="1">IF($A35-M$3&lt;2,0,OFFSET('FPSO1 Base'!M32,-'FPSO1 Otim'!M$3,0))</f>
        <v>1114.4625000000001</v>
      </c>
      <c r="N35" s="19">
        <f ca="1">IF($A35-N$3&lt;2,0,OFFSET('FPSO1 Base'!N32,-'FPSO1 Otim'!N$3,0))</f>
        <v>0</v>
      </c>
      <c r="O35" s="19">
        <f ca="1">IF($A35-O$3&lt;2,0,OFFSET('FPSO1 Base'!O32,-'FPSO1 Otim'!O$3,0))</f>
        <v>0</v>
      </c>
      <c r="P35" s="19">
        <f ca="1">IF($A35-P$3&lt;2,0,OFFSET('FPSO1 Base'!P32,-'FPSO1 Otim'!P$3,0))</f>
        <v>418.161</v>
      </c>
      <c r="Q35" s="19">
        <f ca="1">IF($A35-Q$3&lt;2,0,OFFSET('FPSO1 Base'!Q32,-'FPSO1 Otim'!Q$3,0))</f>
        <v>558.08399999999995</v>
      </c>
      <c r="R35" s="19">
        <f ca="1">IF($A35-R$3&lt;2,0,OFFSET('FPSO1 Base'!R32,-'FPSO1 Otim'!R$3,0))</f>
        <v>0</v>
      </c>
      <c r="S35" s="19">
        <f ca="1">IF($A35-S$3&lt;2,0,OFFSET('FPSO1 Base'!S32,-'FPSO1 Otim'!S$3,0))</f>
        <v>0</v>
      </c>
      <c r="T35" s="19">
        <f ca="1">IF($A35-T$3&lt;2,0,OFFSET('FPSO1 Base'!T32,-'FPSO1 Otim'!T$3,0))</f>
        <v>1272.2505000000001</v>
      </c>
      <c r="U35" s="19">
        <f ca="1">IF($A35-U$3&lt;2,0,OFFSET('FPSO1 Base'!U32,-'FPSO1 Otim'!U$3,0))</f>
        <v>1191.8955000000001</v>
      </c>
      <c r="V35" s="19">
        <f ca="1">IF($A35-V$3&lt;2,0,OFFSET('FPSO1 Base'!V32,-'FPSO1 Otim'!V$3,0))</f>
        <v>1093.7505000000001</v>
      </c>
      <c r="W35" s="19">
        <f ca="1">IF($A35-W$3&lt;2,0,OFFSET('FPSO1 Base'!W32,-'FPSO1 Otim'!W$3,0))</f>
        <v>639.72300000000007</v>
      </c>
      <c r="X35" s="19">
        <f ca="1">IF($A35-X$3&lt;2,0,OFFSET('FPSO1 Base'!X32,-'FPSO1 Otim'!X$3,0))</f>
        <v>1474.3064999999999</v>
      </c>
      <c r="Y35" s="19">
        <f ca="1">IF($A35-Y$3&lt;2,0,OFFSET('FPSO1 Base'!Y32,-'FPSO1 Otim'!Y$3,0))</f>
        <v>688.71900000000005</v>
      </c>
      <c r="Z35" s="19">
        <f ca="1">IF($A35-Z$3&lt;2,0,OFFSET('FPSO1 Base'!Z32,-'FPSO1 Otim'!Z$3,0))</f>
        <v>0</v>
      </c>
      <c r="AA35" s="20">
        <v>15000</v>
      </c>
      <c r="AB35" s="19">
        <f t="shared" ca="1" si="2"/>
        <v>14891.986500000003</v>
      </c>
      <c r="AC35" s="20">
        <f t="shared" ca="1" si="3"/>
        <v>108.01349999999729</v>
      </c>
      <c r="AD35" s="19">
        <f t="shared" ca="1" si="4"/>
        <v>11706.660670023059</v>
      </c>
    </row>
    <row r="36" spans="1:30" x14ac:dyDescent="0.25">
      <c r="A36" s="19">
        <v>32</v>
      </c>
      <c r="B36" s="31">
        <v>46569</v>
      </c>
      <c r="C36" s="19">
        <f ca="1">IF($A36-C$3&lt;2,0,OFFSET('FPSO1 Base'!C33,-'FPSO1 Otim'!C$3,0))</f>
        <v>1700.4119999999998</v>
      </c>
      <c r="D36" s="19">
        <f ca="1">IF($A36-D$3&lt;2,0,OFFSET('FPSO1 Base'!D33,-'FPSO1 Otim'!D$3,0))</f>
        <v>0</v>
      </c>
      <c r="E36" s="19">
        <f ca="1">IF($A36-E$3&lt;2,0,OFFSET('FPSO1 Base'!E33,-'FPSO1 Otim'!E$3,0))</f>
        <v>872.50650000000007</v>
      </c>
      <c r="F36" s="19">
        <f ca="1">IF($A36-F$3&lt;2,0,OFFSET('FPSO1 Base'!F33,-'FPSO1 Otim'!F$3,0))</f>
        <v>1476.4470000000001</v>
      </c>
      <c r="G36" s="19">
        <f ca="1">IF($A36-G$3&lt;2,0,OFFSET('FPSO1 Base'!G33,-'FPSO1 Otim'!G$3,0))</f>
        <v>0</v>
      </c>
      <c r="H36" s="19">
        <f ca="1">IF($A36-H$3&lt;2,0,OFFSET('FPSO1 Base'!H33,-'FPSO1 Otim'!H$3,0))</f>
        <v>0</v>
      </c>
      <c r="I36" s="19">
        <f ca="1">IF($A36-I$3&lt;2,0,OFFSET('FPSO1 Base'!I33,-'FPSO1 Otim'!I$3,0))</f>
        <v>0</v>
      </c>
      <c r="J36" s="19">
        <f ca="1">IF($A36-J$3&lt;2,0,OFFSET('FPSO1 Base'!J33,-'FPSO1 Otim'!J$3,0))</f>
        <v>0</v>
      </c>
      <c r="K36" s="19">
        <f ca="1">IF($A36-K$3&lt;2,0,OFFSET('FPSO1 Base'!K33,-'FPSO1 Otim'!K$3,0))</f>
        <v>709.15049999999997</v>
      </c>
      <c r="L36" s="19">
        <f ca="1">IF($A36-L$3&lt;2,0,OFFSET('FPSO1 Base'!L33,-'FPSO1 Otim'!L$3,0))</f>
        <v>1658.8500000000001</v>
      </c>
      <c r="M36" s="19">
        <f ca="1">IF($A36-M$3&lt;2,0,OFFSET('FPSO1 Base'!M33,-'FPSO1 Otim'!M$3,0))</f>
        <v>1101.9974999999999</v>
      </c>
      <c r="N36" s="19">
        <f ca="1">IF($A36-N$3&lt;2,0,OFFSET('FPSO1 Base'!N33,-'FPSO1 Otim'!N$3,0))</f>
        <v>0</v>
      </c>
      <c r="O36" s="19">
        <f ca="1">IF($A36-O$3&lt;2,0,OFFSET('FPSO1 Base'!O33,-'FPSO1 Otim'!O$3,0))</f>
        <v>0</v>
      </c>
      <c r="P36" s="19">
        <f ca="1">IF($A36-P$3&lt;2,0,OFFSET('FPSO1 Base'!P33,-'FPSO1 Otim'!P$3,0))</f>
        <v>417.07500000000005</v>
      </c>
      <c r="Q36" s="19">
        <f ca="1">IF($A36-Q$3&lt;2,0,OFFSET('FPSO1 Base'!Q33,-'FPSO1 Otim'!Q$3,0))</f>
        <v>553.93799999999999</v>
      </c>
      <c r="R36" s="19">
        <f ca="1">IF($A36-R$3&lt;2,0,OFFSET('FPSO1 Base'!R33,-'FPSO1 Otim'!R$3,0))</f>
        <v>0</v>
      </c>
      <c r="S36" s="19">
        <f ca="1">IF($A36-S$3&lt;2,0,OFFSET('FPSO1 Base'!S33,-'FPSO1 Otim'!S$3,0))</f>
        <v>0</v>
      </c>
      <c r="T36" s="19">
        <f ca="1">IF($A36-T$3&lt;2,0,OFFSET('FPSO1 Base'!T33,-'FPSO1 Otim'!T$3,0))</f>
        <v>1150.845</v>
      </c>
      <c r="U36" s="19">
        <f ca="1">IF($A36-U$3&lt;2,0,OFFSET('FPSO1 Base'!U33,-'FPSO1 Otim'!U$3,0))</f>
        <v>1145.538</v>
      </c>
      <c r="V36" s="19">
        <f ca="1">IF($A36-V$3&lt;2,0,OFFSET('FPSO1 Base'!V33,-'FPSO1 Otim'!V$3,0))</f>
        <v>1097.6610000000001</v>
      </c>
      <c r="W36" s="19">
        <f ca="1">IF($A36-W$3&lt;2,0,OFFSET('FPSO1 Base'!W33,-'FPSO1 Otim'!W$3,0))</f>
        <v>631.947</v>
      </c>
      <c r="X36" s="19">
        <f ca="1">IF($A36-X$3&lt;2,0,OFFSET('FPSO1 Base'!X33,-'FPSO1 Otim'!X$3,0))</f>
        <v>1470.7755000000002</v>
      </c>
      <c r="Y36" s="19">
        <f ca="1">IF($A36-Y$3&lt;2,0,OFFSET('FPSO1 Base'!Y33,-'FPSO1 Otim'!Y$3,0))</f>
        <v>684.14850000000001</v>
      </c>
      <c r="Z36" s="19">
        <f ca="1">IF($A36-Z$3&lt;2,0,OFFSET('FPSO1 Base'!Z33,-'FPSO1 Otim'!Z$3,0))</f>
        <v>0</v>
      </c>
      <c r="AA36" s="20">
        <v>15000</v>
      </c>
      <c r="AB36" s="19">
        <f ca="1">SUM(C36:Z36)</f>
        <v>14671.291499999998</v>
      </c>
      <c r="AC36" s="20">
        <f t="shared" ca="1" si="3"/>
        <v>328.70850000000246</v>
      </c>
      <c r="AD36" s="19">
        <f t="shared" ca="1" si="4"/>
        <v>11437.855826699739</v>
      </c>
    </row>
    <row r="37" spans="1:30" x14ac:dyDescent="0.25">
      <c r="A37" s="19">
        <v>33</v>
      </c>
      <c r="B37" s="31">
        <v>46600</v>
      </c>
      <c r="C37" s="19">
        <f ca="1">IF($A37-C$3&lt;2,0,OFFSET('FPSO1 Base'!C34,-'FPSO1 Otim'!C$3,0))</f>
        <v>1700.3235</v>
      </c>
      <c r="D37" s="19">
        <f ca="1">IF($A37-D$3&lt;2,0,OFFSET('FPSO1 Base'!D34,-'FPSO1 Otim'!D$3,0))</f>
        <v>0</v>
      </c>
      <c r="E37" s="19">
        <f ca="1">IF($A37-E$3&lt;2,0,OFFSET('FPSO1 Base'!E34,-'FPSO1 Otim'!E$3,0))</f>
        <v>867.93450000000007</v>
      </c>
      <c r="F37" s="19">
        <f ca="1">IF($A37-F$3&lt;2,0,OFFSET('FPSO1 Base'!F34,-'FPSO1 Otim'!F$3,0))</f>
        <v>1461.0374999999999</v>
      </c>
      <c r="G37" s="19">
        <f ca="1">IF($A37-G$3&lt;2,0,OFFSET('FPSO1 Base'!G34,-'FPSO1 Otim'!G$3,0))</f>
        <v>0</v>
      </c>
      <c r="H37" s="19">
        <f ca="1">IF($A37-H$3&lt;2,0,OFFSET('FPSO1 Base'!H34,-'FPSO1 Otim'!H$3,0))</f>
        <v>0</v>
      </c>
      <c r="I37" s="19">
        <f ca="1">IF($A37-I$3&lt;2,0,OFFSET('FPSO1 Base'!I34,-'FPSO1 Otim'!I$3,0))</f>
        <v>0</v>
      </c>
      <c r="J37" s="19">
        <f ca="1">IF($A37-J$3&lt;2,0,OFFSET('FPSO1 Base'!J34,-'FPSO1 Otim'!J$3,0))</f>
        <v>0</v>
      </c>
      <c r="K37" s="19">
        <f ca="1">IF($A37-K$3&lt;2,0,OFFSET('FPSO1 Base'!K34,-'FPSO1 Otim'!K$3,0))</f>
        <v>703.14300000000003</v>
      </c>
      <c r="L37" s="19">
        <f ca="1">IF($A37-L$3&lt;2,0,OFFSET('FPSO1 Base'!L34,-'FPSO1 Otim'!L$3,0))</f>
        <v>1645.7250000000001</v>
      </c>
      <c r="M37" s="19">
        <f ca="1">IF($A37-M$3&lt;2,0,OFFSET('FPSO1 Base'!M34,-'FPSO1 Otim'!M$3,0))</f>
        <v>1089.306</v>
      </c>
      <c r="N37" s="19">
        <f ca="1">IF($A37-N$3&lt;2,0,OFFSET('FPSO1 Base'!N34,-'FPSO1 Otim'!N$3,0))</f>
        <v>0</v>
      </c>
      <c r="O37" s="19">
        <f ca="1">IF($A37-O$3&lt;2,0,OFFSET('FPSO1 Base'!O34,-'FPSO1 Otim'!O$3,0))</f>
        <v>0</v>
      </c>
      <c r="P37" s="19">
        <f ca="1">IF($A37-P$3&lt;2,0,OFFSET('FPSO1 Base'!P34,-'FPSO1 Otim'!P$3,0))</f>
        <v>415.98449999999997</v>
      </c>
      <c r="Q37" s="19">
        <f ca="1">IF($A37-Q$3&lt;2,0,OFFSET('FPSO1 Base'!Q34,-'FPSO1 Otim'!Q$3,0))</f>
        <v>550.923</v>
      </c>
      <c r="R37" s="19">
        <f ca="1">IF($A37-R$3&lt;2,0,OFFSET('FPSO1 Base'!R34,-'FPSO1 Otim'!R$3,0))</f>
        <v>0</v>
      </c>
      <c r="S37" s="19">
        <f ca="1">IF($A37-S$3&lt;2,0,OFFSET('FPSO1 Base'!S34,-'FPSO1 Otim'!S$3,0))</f>
        <v>0</v>
      </c>
      <c r="T37" s="19">
        <f ca="1">IF($A37-T$3&lt;2,0,OFFSET('FPSO1 Base'!T34,-'FPSO1 Otim'!T$3,0))</f>
        <v>1117.4625000000001</v>
      </c>
      <c r="U37" s="19">
        <f ca="1">IF($A37-U$3&lt;2,0,OFFSET('FPSO1 Base'!U34,-'FPSO1 Otim'!U$3,0))</f>
        <v>1116.7739999999999</v>
      </c>
      <c r="V37" s="19">
        <f ca="1">IF($A37-V$3&lt;2,0,OFFSET('FPSO1 Base'!V34,-'FPSO1 Otim'!V$3,0))</f>
        <v>1101.7004999999999</v>
      </c>
      <c r="W37" s="19">
        <f ca="1">IF($A37-W$3&lt;2,0,OFFSET('FPSO1 Base'!W34,-'FPSO1 Otim'!W$3,0))</f>
        <v>626.77500000000009</v>
      </c>
      <c r="X37" s="19">
        <f ca="1">IF($A37-X$3&lt;2,0,OFFSET('FPSO1 Base'!X34,-'FPSO1 Otim'!X$3,0))</f>
        <v>1467.5805</v>
      </c>
      <c r="Y37" s="19">
        <f ca="1">IF($A37-Y$3&lt;2,0,OFFSET('FPSO1 Base'!Y34,-'FPSO1 Otim'!Y$3,0))</f>
        <v>680.78550000000007</v>
      </c>
      <c r="Z37" s="19">
        <f ca="1">IF($A37-Z$3&lt;2,0,OFFSET('FPSO1 Base'!Z34,-'FPSO1 Otim'!Z$3,0))</f>
        <v>0</v>
      </c>
      <c r="AA37" s="20">
        <v>15000</v>
      </c>
      <c r="AB37" s="19">
        <f ca="1">SUM(C37:Z37)</f>
        <v>14545.454999999998</v>
      </c>
      <c r="AC37" s="20">
        <f ca="1">AA37-AB37</f>
        <v>454.54500000000189</v>
      </c>
      <c r="AD37" s="19">
        <f t="shared" ca="1" si="4"/>
        <v>11246.035723649364</v>
      </c>
    </row>
    <row r="38" spans="1:30" x14ac:dyDescent="0.25">
      <c r="A38" s="19">
        <v>34</v>
      </c>
      <c r="B38" s="31">
        <v>46631</v>
      </c>
      <c r="C38" s="19">
        <f ca="1">IF($A38-C$3&lt;2,0,OFFSET('FPSO1 Base'!C35,-'FPSO1 Otim'!C$3,0))</f>
        <v>1700.22</v>
      </c>
      <c r="D38" s="19">
        <f ca="1">IF($A38-D$3&lt;2,0,OFFSET('FPSO1 Base'!D35,-'FPSO1 Otim'!D$3,0))</f>
        <v>0</v>
      </c>
      <c r="E38" s="19">
        <f ca="1">IF($A38-E$3&lt;2,0,OFFSET('FPSO1 Base'!E35,-'FPSO1 Otim'!E$3,0))</f>
        <v>864.423</v>
      </c>
      <c r="F38" s="19">
        <f ca="1">IF($A38-F$3&lt;2,0,OFFSET('FPSO1 Base'!F35,-'FPSO1 Otim'!F$3,0))</f>
        <v>1447.0529999999999</v>
      </c>
      <c r="G38" s="19">
        <f ca="1">IF($A38-G$3&lt;2,0,OFFSET('FPSO1 Base'!G35,-'FPSO1 Otim'!G$3,0))</f>
        <v>0</v>
      </c>
      <c r="H38" s="19">
        <f ca="1">IF($A38-H$3&lt;2,0,OFFSET('FPSO1 Base'!H35,-'FPSO1 Otim'!H$3,0))</f>
        <v>0</v>
      </c>
      <c r="I38" s="19">
        <f ca="1">IF($A38-I$3&lt;2,0,OFFSET('FPSO1 Base'!I35,-'FPSO1 Otim'!I$3,0))</f>
        <v>0</v>
      </c>
      <c r="J38" s="19">
        <f ca="1">IF($A38-J$3&lt;2,0,OFFSET('FPSO1 Base'!J35,-'FPSO1 Otim'!J$3,0))</f>
        <v>0</v>
      </c>
      <c r="K38" s="19">
        <f ca="1">IF($A38-K$3&lt;2,0,OFFSET('FPSO1 Base'!K35,-'FPSO1 Otim'!K$3,0))</f>
        <v>696.91800000000001</v>
      </c>
      <c r="L38" s="19">
        <f ca="1">IF($A38-L$3&lt;2,0,OFFSET('FPSO1 Base'!L35,-'FPSO1 Otim'!L$3,0))</f>
        <v>1628.0249999999999</v>
      </c>
      <c r="M38" s="19">
        <f ca="1">IF($A38-M$3&lt;2,0,OFFSET('FPSO1 Base'!M35,-'FPSO1 Otim'!M$3,0))</f>
        <v>1078.3274999999999</v>
      </c>
      <c r="N38" s="19">
        <f ca="1">IF($A38-N$3&lt;2,0,OFFSET('FPSO1 Base'!N35,-'FPSO1 Otim'!N$3,0))</f>
        <v>0</v>
      </c>
      <c r="O38" s="19">
        <f ca="1">IF($A38-O$3&lt;2,0,OFFSET('FPSO1 Base'!O35,-'FPSO1 Otim'!O$3,0))</f>
        <v>0</v>
      </c>
      <c r="P38" s="19">
        <f ca="1">IF($A38-P$3&lt;2,0,OFFSET('FPSO1 Base'!P35,-'FPSO1 Otim'!P$3,0))</f>
        <v>414.75</v>
      </c>
      <c r="Q38" s="19">
        <f ca="1">IF($A38-Q$3&lt;2,0,OFFSET('FPSO1 Base'!Q35,-'FPSO1 Otim'!Q$3,0))</f>
        <v>548.322</v>
      </c>
      <c r="R38" s="19">
        <f ca="1">IF($A38-R$3&lt;2,0,OFFSET('FPSO1 Base'!R35,-'FPSO1 Otim'!R$3,0))</f>
        <v>0</v>
      </c>
      <c r="S38" s="19">
        <f ca="1">IF($A38-S$3&lt;2,0,OFFSET('FPSO1 Base'!S35,-'FPSO1 Otim'!S$3,0))</f>
        <v>0</v>
      </c>
      <c r="T38" s="19">
        <f ca="1">IF($A38-T$3&lt;2,0,OFFSET('FPSO1 Base'!T35,-'FPSO1 Otim'!T$3,0))</f>
        <v>1094.3955000000001</v>
      </c>
      <c r="U38" s="19">
        <f ca="1">IF($A38-U$3&lt;2,0,OFFSET('FPSO1 Base'!U35,-'FPSO1 Otim'!U$3,0))</f>
        <v>1097.3595</v>
      </c>
      <c r="V38" s="19">
        <f ca="1">IF($A38-V$3&lt;2,0,OFFSET('FPSO1 Base'!V35,-'FPSO1 Otim'!V$3,0))</f>
        <v>1105.0155</v>
      </c>
      <c r="W38" s="19">
        <f ca="1">IF($A38-W$3&lt;2,0,OFFSET('FPSO1 Base'!W35,-'FPSO1 Otim'!W$3,0))</f>
        <v>624.06000000000006</v>
      </c>
      <c r="X38" s="19">
        <f ca="1">IF($A38-X$3&lt;2,0,OFFSET('FPSO1 Base'!X35,-'FPSO1 Otim'!X$3,0))</f>
        <v>1464.4845</v>
      </c>
      <c r="Y38" s="19">
        <f ca="1">IF($A38-Y$3&lt;2,0,OFFSET('FPSO1 Base'!Y35,-'FPSO1 Otim'!Y$3,0))</f>
        <v>677.10599999999999</v>
      </c>
      <c r="Z38" s="19">
        <f ca="1">IF($A38-Z$3&lt;2,0,OFFSET('FPSO1 Base'!Z35,-'FPSO1 Otim'!Z$3,0))</f>
        <v>0</v>
      </c>
      <c r="AA38" s="20">
        <v>15000</v>
      </c>
      <c r="AB38" s="19">
        <f t="shared" ca="1" si="2"/>
        <v>14440.459499999999</v>
      </c>
      <c r="AC38" s="20">
        <f t="shared" ca="1" si="3"/>
        <v>559.54050000000097</v>
      </c>
      <c r="AD38" s="19">
        <f t="shared" ca="1" si="4"/>
        <v>11072.585340543879</v>
      </c>
    </row>
    <row r="39" spans="1:30" x14ac:dyDescent="0.25">
      <c r="A39" s="19">
        <v>35</v>
      </c>
      <c r="B39" s="31">
        <v>46661</v>
      </c>
      <c r="C39" s="19">
        <f ca="1">IF($A39-C$3&lt;2,0,OFFSET('FPSO1 Base'!C36,-'FPSO1 Otim'!C$3,0))</f>
        <v>1700.1285000000003</v>
      </c>
      <c r="D39" s="19">
        <f ca="1">IF($A39-D$3&lt;2,0,OFFSET('FPSO1 Base'!D36,-'FPSO1 Otim'!D$3,0))</f>
        <v>0</v>
      </c>
      <c r="E39" s="19">
        <f ca="1">IF($A39-E$3&lt;2,0,OFFSET('FPSO1 Base'!E36,-'FPSO1 Otim'!E$3,0))</f>
        <v>860.64</v>
      </c>
      <c r="F39" s="19">
        <f ca="1">IF($A39-F$3&lt;2,0,OFFSET('FPSO1 Base'!F36,-'FPSO1 Otim'!F$3,0))</f>
        <v>1433.625</v>
      </c>
      <c r="G39" s="19">
        <f ca="1">IF($A39-G$3&lt;2,0,OFFSET('FPSO1 Base'!G36,-'FPSO1 Otim'!G$3,0))</f>
        <v>0</v>
      </c>
      <c r="H39" s="19">
        <f ca="1">IF($A39-H$3&lt;2,0,OFFSET('FPSO1 Base'!H36,-'FPSO1 Otim'!H$3,0))</f>
        <v>0</v>
      </c>
      <c r="I39" s="19">
        <f ca="1">IF($A39-I$3&lt;2,0,OFFSET('FPSO1 Base'!I36,-'FPSO1 Otim'!I$3,0))</f>
        <v>0</v>
      </c>
      <c r="J39" s="19">
        <f ca="1">IF($A39-J$3&lt;2,0,OFFSET('FPSO1 Base'!J36,-'FPSO1 Otim'!J$3,0))</f>
        <v>0</v>
      </c>
      <c r="K39" s="19">
        <f ca="1">IF($A39-K$3&lt;2,0,OFFSET('FPSO1 Base'!K36,-'FPSO1 Otim'!K$3,0))</f>
        <v>691.34249999999997</v>
      </c>
      <c r="L39" s="19">
        <f ca="1">IF($A39-L$3&lt;2,0,OFFSET('FPSO1 Base'!L36,-'FPSO1 Otim'!L$3,0))</f>
        <v>1610.5500000000002</v>
      </c>
      <c r="M39" s="19">
        <f ca="1">IF($A39-M$3&lt;2,0,OFFSET('FPSO1 Base'!M36,-'FPSO1 Otim'!M$3,0))</f>
        <v>1068.1695</v>
      </c>
      <c r="N39" s="19">
        <f ca="1">IF($A39-N$3&lt;2,0,OFFSET('FPSO1 Base'!N36,-'FPSO1 Otim'!N$3,0))</f>
        <v>0</v>
      </c>
      <c r="O39" s="19">
        <f ca="1">IF($A39-O$3&lt;2,0,OFFSET('FPSO1 Base'!O36,-'FPSO1 Otim'!O$3,0))</f>
        <v>0</v>
      </c>
      <c r="P39" s="19">
        <f ca="1">IF($A39-P$3&lt;2,0,OFFSET('FPSO1 Base'!P36,-'FPSO1 Otim'!P$3,0))</f>
        <v>413.40000000000003</v>
      </c>
      <c r="Q39" s="19">
        <f ca="1">IF($A39-Q$3&lt;2,0,OFFSET('FPSO1 Base'!Q36,-'FPSO1 Otim'!Q$3,0))</f>
        <v>545.23649999999998</v>
      </c>
      <c r="R39" s="19">
        <f ca="1">IF($A39-R$3&lt;2,0,OFFSET('FPSO1 Base'!R36,-'FPSO1 Otim'!R$3,0))</f>
        <v>0</v>
      </c>
      <c r="S39" s="19">
        <f ca="1">IF($A39-S$3&lt;2,0,OFFSET('FPSO1 Base'!S36,-'FPSO1 Otim'!S$3,0))</f>
        <v>0</v>
      </c>
      <c r="T39" s="19">
        <f ca="1">IF($A39-T$3&lt;2,0,OFFSET('FPSO1 Base'!T36,-'FPSO1 Otim'!T$3,0))</f>
        <v>1074.3810000000001</v>
      </c>
      <c r="U39" s="19">
        <f ca="1">IF($A39-U$3&lt;2,0,OFFSET('FPSO1 Base'!U36,-'FPSO1 Otim'!U$3,0))</f>
        <v>1079.2635</v>
      </c>
      <c r="V39" s="19">
        <f ca="1">IF($A39-V$3&lt;2,0,OFFSET('FPSO1 Base'!V36,-'FPSO1 Otim'!V$3,0))</f>
        <v>1107.6779999999999</v>
      </c>
      <c r="W39" s="19">
        <f ca="1">IF($A39-W$3&lt;2,0,OFFSET('FPSO1 Base'!W36,-'FPSO1 Otim'!W$3,0))</f>
        <v>622.07549999999992</v>
      </c>
      <c r="X39" s="19">
        <f ca="1">IF($A39-X$3&lt;2,0,OFFSET('FPSO1 Base'!X36,-'FPSO1 Otim'!X$3,0))</f>
        <v>1461.2249999999999</v>
      </c>
      <c r="Y39" s="19">
        <f ca="1">IF($A39-Y$3&lt;2,0,OFFSET('FPSO1 Base'!Y36,-'FPSO1 Otim'!Y$3,0))</f>
        <v>673.98450000000003</v>
      </c>
      <c r="Z39" s="19">
        <f ca="1">IF($A39-Z$3&lt;2,0,OFFSET('FPSO1 Base'!Z36,-'FPSO1 Otim'!Z$3,0))</f>
        <v>0</v>
      </c>
      <c r="AA39" s="20">
        <v>15000</v>
      </c>
      <c r="AB39" s="19">
        <f t="shared" ca="1" si="2"/>
        <v>14341.699499999999</v>
      </c>
      <c r="AC39" s="20">
        <f t="shared" ca="1" si="3"/>
        <v>658.30050000000119</v>
      </c>
      <c r="AD39" s="19">
        <f t="shared" ca="1" si="4"/>
        <v>10905.975498659327</v>
      </c>
    </row>
    <row r="40" spans="1:30" x14ac:dyDescent="0.25">
      <c r="A40" s="19">
        <v>36</v>
      </c>
      <c r="B40" s="31">
        <v>46692</v>
      </c>
      <c r="C40" s="19">
        <f ca="1">IF($A40-C$3&lt;2,0,OFFSET('FPSO1 Base'!C37,-'FPSO1 Otim'!C$3,0))</f>
        <v>1700.0249999999999</v>
      </c>
      <c r="D40" s="19">
        <f ca="1">IF($A40-D$3&lt;2,0,OFFSET('FPSO1 Base'!D37,-'FPSO1 Otim'!D$3,0))</f>
        <v>0</v>
      </c>
      <c r="E40" s="19">
        <f ca="1">IF($A40-E$3&lt;2,0,OFFSET('FPSO1 Base'!E37,-'FPSO1 Otim'!E$3,0))</f>
        <v>856.32899999999995</v>
      </c>
      <c r="F40" s="19">
        <f ca="1">IF($A40-F$3&lt;2,0,OFFSET('FPSO1 Base'!F37,-'FPSO1 Otim'!F$3,0))</f>
        <v>1419.8744999999999</v>
      </c>
      <c r="G40" s="19">
        <f ca="1">IF($A40-G$3&lt;2,0,OFFSET('FPSO1 Base'!G37,-'FPSO1 Otim'!G$3,0))</f>
        <v>0</v>
      </c>
      <c r="H40" s="19">
        <f ca="1">IF($A40-H$3&lt;2,0,OFFSET('FPSO1 Base'!H37,-'FPSO1 Otim'!H$3,0))</f>
        <v>0</v>
      </c>
      <c r="I40" s="19">
        <f ca="1">IF($A40-I$3&lt;2,0,OFFSET('FPSO1 Base'!I37,-'FPSO1 Otim'!I$3,0))</f>
        <v>0</v>
      </c>
      <c r="J40" s="19">
        <f ca="1">IF($A40-J$3&lt;2,0,OFFSET('FPSO1 Base'!J37,-'FPSO1 Otim'!J$3,0))</f>
        <v>0</v>
      </c>
      <c r="K40" s="19">
        <f ca="1">IF($A40-K$3&lt;2,0,OFFSET('FPSO1 Base'!K37,-'FPSO1 Otim'!K$3,0))</f>
        <v>686.08349999999996</v>
      </c>
      <c r="L40" s="19">
        <f ca="1">IF($A40-L$3&lt;2,0,OFFSET('FPSO1 Base'!L37,-'FPSO1 Otim'!L$3,0))</f>
        <v>1612.6799999999998</v>
      </c>
      <c r="M40" s="19">
        <f ca="1">IF($A40-M$3&lt;2,0,OFFSET('FPSO1 Base'!M37,-'FPSO1 Otim'!M$3,0))</f>
        <v>1058.0369999999998</v>
      </c>
      <c r="N40" s="19">
        <f ca="1">IF($A40-N$3&lt;2,0,OFFSET('FPSO1 Base'!N37,-'FPSO1 Otim'!N$3,0))</f>
        <v>0</v>
      </c>
      <c r="O40" s="19">
        <f ca="1">IF($A40-O$3&lt;2,0,OFFSET('FPSO1 Base'!O37,-'FPSO1 Otim'!O$3,0))</f>
        <v>0</v>
      </c>
      <c r="P40" s="19">
        <f ca="1">IF($A40-P$3&lt;2,0,OFFSET('FPSO1 Base'!P37,-'FPSO1 Otim'!P$3,0))</f>
        <v>412.64549999999997</v>
      </c>
      <c r="Q40" s="19">
        <f ca="1">IF($A40-Q$3&lt;2,0,OFFSET('FPSO1 Base'!Q37,-'FPSO1 Otim'!Q$3,0))</f>
        <v>542.47950000000003</v>
      </c>
      <c r="R40" s="19">
        <f ca="1">IF($A40-R$3&lt;2,0,OFFSET('FPSO1 Base'!R37,-'FPSO1 Otim'!R$3,0))</f>
        <v>0</v>
      </c>
      <c r="S40" s="19">
        <f ca="1">IF($A40-S$3&lt;2,0,OFFSET('FPSO1 Base'!S37,-'FPSO1 Otim'!S$3,0))</f>
        <v>0</v>
      </c>
      <c r="T40" s="19">
        <f ca="1">IF($A40-T$3&lt;2,0,OFFSET('FPSO1 Base'!T37,-'FPSO1 Otim'!T$3,0))</f>
        <v>1052.6054999999999</v>
      </c>
      <c r="U40" s="19">
        <f ca="1">IF($A40-U$3&lt;2,0,OFFSET('FPSO1 Base'!U37,-'FPSO1 Otim'!U$3,0))</f>
        <v>1067.0564999999999</v>
      </c>
      <c r="V40" s="19">
        <f ca="1">IF($A40-V$3&lt;2,0,OFFSET('FPSO1 Base'!V37,-'FPSO1 Otim'!V$3,0))</f>
        <v>1109.8004999999998</v>
      </c>
      <c r="W40" s="19">
        <f ca="1">IF($A40-W$3&lt;2,0,OFFSET('FPSO1 Base'!W37,-'FPSO1 Otim'!W$3,0))</f>
        <v>620.73450000000003</v>
      </c>
      <c r="X40" s="19">
        <f ca="1">IF($A40-X$3&lt;2,0,OFFSET('FPSO1 Base'!X37,-'FPSO1 Otim'!X$3,0))</f>
        <v>1458.2655</v>
      </c>
      <c r="Y40" s="19">
        <f ca="1">IF($A40-Y$3&lt;2,0,OFFSET('FPSO1 Base'!Y37,-'FPSO1 Otim'!Y$3,0))</f>
        <v>670.83150000000001</v>
      </c>
      <c r="Z40" s="19">
        <f ca="1">IF($A40-Z$3&lt;2,0,OFFSET('FPSO1 Base'!Z37,-'FPSO1 Otim'!Z$3,0))</f>
        <v>0</v>
      </c>
      <c r="AA40" s="20">
        <v>15000</v>
      </c>
      <c r="AB40" s="19">
        <f t="shared" ca="1" si="2"/>
        <v>14267.448</v>
      </c>
      <c r="AC40" s="20">
        <f t="shared" ca="1" si="3"/>
        <v>732.55199999999968</v>
      </c>
      <c r="AD40" s="19">
        <f t="shared" ca="1" si="4"/>
        <v>10759.846438054523</v>
      </c>
    </row>
    <row r="41" spans="1:30" x14ac:dyDescent="0.25">
      <c r="A41" s="19">
        <v>37</v>
      </c>
      <c r="B41" s="31">
        <v>46722</v>
      </c>
      <c r="C41" s="19">
        <f ca="1">IF($A41-C$3&lt;2,0,OFFSET('FPSO1 Base'!C38,-'FPSO1 Otim'!C$3,0))</f>
        <v>1699.9275000000002</v>
      </c>
      <c r="D41" s="19">
        <f ca="1">IF($A41-D$3&lt;2,0,OFFSET('FPSO1 Base'!D38,-'FPSO1 Otim'!D$3,0))</f>
        <v>0</v>
      </c>
      <c r="E41" s="19">
        <f ca="1">IF($A41-E$3&lt;2,0,OFFSET('FPSO1 Base'!E38,-'FPSO1 Otim'!E$3,0))</f>
        <v>852.93450000000007</v>
      </c>
      <c r="F41" s="19">
        <f ca="1">IF($A41-F$3&lt;2,0,OFFSET('FPSO1 Base'!F38,-'FPSO1 Otim'!F$3,0))</f>
        <v>1407.8340000000001</v>
      </c>
      <c r="G41" s="19">
        <f ca="1">IF($A41-G$3&lt;2,0,OFFSET('FPSO1 Base'!G38,-'FPSO1 Otim'!G$3,0))</f>
        <v>0</v>
      </c>
      <c r="H41" s="19">
        <f ca="1">IF($A41-H$3&lt;2,0,OFFSET('FPSO1 Base'!H38,-'FPSO1 Otim'!H$3,0))</f>
        <v>0</v>
      </c>
      <c r="I41" s="19">
        <f ca="1">IF($A41-I$3&lt;2,0,OFFSET('FPSO1 Base'!I38,-'FPSO1 Otim'!I$3,0))</f>
        <v>0</v>
      </c>
      <c r="J41" s="19">
        <f ca="1">IF($A41-J$3&lt;2,0,OFFSET('FPSO1 Base'!J38,-'FPSO1 Otim'!J$3,0))</f>
        <v>0</v>
      </c>
      <c r="K41" s="19">
        <f ca="1">IF($A41-K$3&lt;2,0,OFFSET('FPSO1 Base'!K38,-'FPSO1 Otim'!K$3,0))</f>
        <v>680.91300000000001</v>
      </c>
      <c r="L41" s="19">
        <f ca="1">IF($A41-L$3&lt;2,0,OFFSET('FPSO1 Base'!L38,-'FPSO1 Otim'!L$3,0))</f>
        <v>1614.03</v>
      </c>
      <c r="M41" s="19">
        <f ca="1">IF($A41-M$3&lt;2,0,OFFSET('FPSO1 Base'!M38,-'FPSO1 Otim'!M$3,0))</f>
        <v>1052.19</v>
      </c>
      <c r="N41" s="19">
        <f ca="1">IF($A41-N$3&lt;2,0,OFFSET('FPSO1 Base'!N38,-'FPSO1 Otim'!N$3,0))</f>
        <v>0</v>
      </c>
      <c r="O41" s="19">
        <f ca="1">IF($A41-O$3&lt;2,0,OFFSET('FPSO1 Base'!O38,-'FPSO1 Otim'!O$3,0))</f>
        <v>0</v>
      </c>
      <c r="P41" s="19">
        <f ca="1">IF($A41-P$3&lt;2,0,OFFSET('FPSO1 Base'!P38,-'FPSO1 Otim'!P$3,0))</f>
        <v>411.02549999999997</v>
      </c>
      <c r="Q41" s="19">
        <f ca="1">IF($A41-Q$3&lt;2,0,OFFSET('FPSO1 Base'!Q38,-'FPSO1 Otim'!Q$3,0))</f>
        <v>539.33699999999999</v>
      </c>
      <c r="R41" s="19">
        <f ca="1">IF($A41-R$3&lt;2,0,OFFSET('FPSO1 Base'!R38,-'FPSO1 Otim'!R$3,0))</f>
        <v>0</v>
      </c>
      <c r="S41" s="19">
        <f ca="1">IF($A41-S$3&lt;2,0,OFFSET('FPSO1 Base'!S38,-'FPSO1 Otim'!S$3,0))</f>
        <v>0</v>
      </c>
      <c r="T41" s="19">
        <f ca="1">IF($A41-T$3&lt;2,0,OFFSET('FPSO1 Base'!T38,-'FPSO1 Otim'!T$3,0))</f>
        <v>1035.75</v>
      </c>
      <c r="U41" s="19">
        <f ca="1">IF($A41-U$3&lt;2,0,OFFSET('FPSO1 Base'!U38,-'FPSO1 Otim'!U$3,0))</f>
        <v>1054.5374999999999</v>
      </c>
      <c r="V41" s="19">
        <f ca="1">IF($A41-V$3&lt;2,0,OFFSET('FPSO1 Base'!V38,-'FPSO1 Otim'!V$3,0))</f>
        <v>1111.2090000000001</v>
      </c>
      <c r="W41" s="19">
        <f ca="1">IF($A41-W$3&lt;2,0,OFFSET('FPSO1 Base'!W38,-'FPSO1 Otim'!W$3,0))</f>
        <v>619.66949999999997</v>
      </c>
      <c r="X41" s="19">
        <f ca="1">IF($A41-X$3&lt;2,0,OFFSET('FPSO1 Base'!X38,-'FPSO1 Otim'!X$3,0))</f>
        <v>1454.7869999999998</v>
      </c>
      <c r="Y41" s="19">
        <f ca="1">IF($A41-Y$3&lt;2,0,OFFSET('FPSO1 Base'!Y38,-'FPSO1 Otim'!Y$3,0))</f>
        <v>668.05949999999996</v>
      </c>
      <c r="Z41" s="19">
        <f ca="1">IF($A41-Z$3&lt;2,0,OFFSET('FPSO1 Base'!Z38,-'FPSO1 Otim'!Z$3,0))</f>
        <v>0</v>
      </c>
      <c r="AA41" s="20">
        <v>15000</v>
      </c>
      <c r="AB41" s="19">
        <f ca="1">SUM(C41:Z41)</f>
        <v>14202.204</v>
      </c>
      <c r="AC41" s="20">
        <f t="shared" ca="1" si="3"/>
        <v>797.79600000000028</v>
      </c>
      <c r="AD41" s="19">
        <f t="shared" ca="1" si="4"/>
        <v>10622.124738237773</v>
      </c>
    </row>
    <row r="42" spans="1:30" x14ac:dyDescent="0.25">
      <c r="A42" s="19">
        <v>38</v>
      </c>
      <c r="B42" s="31">
        <v>46753</v>
      </c>
      <c r="C42" s="19">
        <f ca="1">IF($A42-C$3&lt;2,0,OFFSET('FPSO1 Base'!C39,-'FPSO1 Otim'!C$3,0))</f>
        <v>1701.6405</v>
      </c>
      <c r="D42" s="19">
        <f ca="1">IF($A42-D$3&lt;2,0,OFFSET('FPSO1 Base'!D39,-'FPSO1 Otim'!D$3,0))</f>
        <v>0</v>
      </c>
      <c r="E42" s="19">
        <f ca="1">IF($A42-E$3&lt;2,0,OFFSET('FPSO1 Base'!E39,-'FPSO1 Otim'!E$3,0))</f>
        <v>849</v>
      </c>
      <c r="F42" s="19">
        <f ca="1">IF($A42-F$3&lt;2,0,OFFSET('FPSO1 Base'!F39,-'FPSO1 Otim'!F$3,0))</f>
        <v>1395.0255000000002</v>
      </c>
      <c r="G42" s="19">
        <f ca="1">IF($A42-G$3&lt;2,0,OFFSET('FPSO1 Base'!G39,-'FPSO1 Otim'!G$3,0))</f>
        <v>0</v>
      </c>
      <c r="H42" s="19">
        <f ca="1">IF($A42-H$3&lt;2,0,OFFSET('FPSO1 Base'!H39,-'FPSO1 Otim'!H$3,0))</f>
        <v>0</v>
      </c>
      <c r="I42" s="19">
        <f ca="1">IF($A42-I$3&lt;2,0,OFFSET('FPSO1 Base'!I39,-'FPSO1 Otim'!I$3,0))</f>
        <v>0</v>
      </c>
      <c r="J42" s="19">
        <f ca="1">IF($A42-J$3&lt;2,0,OFFSET('FPSO1 Base'!J39,-'FPSO1 Otim'!J$3,0))</f>
        <v>0</v>
      </c>
      <c r="K42" s="19">
        <f ca="1">IF($A42-K$3&lt;2,0,OFFSET('FPSO1 Base'!K39,-'FPSO1 Otim'!K$3,0))</f>
        <v>677.96100000000001</v>
      </c>
      <c r="L42" s="19">
        <f ca="1">IF($A42-L$3&lt;2,0,OFFSET('FPSO1 Base'!L39,-'FPSO1 Otim'!L$3,0))</f>
        <v>1606.125</v>
      </c>
      <c r="M42" s="19">
        <f ca="1">IF($A42-M$3&lt;2,0,OFFSET('FPSO1 Base'!M39,-'FPSO1 Otim'!M$3,0))</f>
        <v>1041.7244999999998</v>
      </c>
      <c r="N42" s="19">
        <f ca="1">IF($A42-N$3&lt;2,0,OFFSET('FPSO1 Base'!N39,-'FPSO1 Otim'!N$3,0))</f>
        <v>0</v>
      </c>
      <c r="O42" s="19">
        <f ca="1">IF($A42-O$3&lt;2,0,OFFSET('FPSO1 Base'!O39,-'FPSO1 Otim'!O$3,0))</f>
        <v>0</v>
      </c>
      <c r="P42" s="19">
        <f ca="1">IF($A42-P$3&lt;2,0,OFFSET('FPSO1 Base'!P39,-'FPSO1 Otim'!P$3,0))</f>
        <v>409.69350000000003</v>
      </c>
      <c r="Q42" s="19">
        <f ca="1">IF($A42-Q$3&lt;2,0,OFFSET('FPSO1 Base'!Q39,-'FPSO1 Otim'!Q$3,0))</f>
        <v>536.50350000000003</v>
      </c>
      <c r="R42" s="19">
        <f ca="1">IF($A42-R$3&lt;2,0,OFFSET('FPSO1 Base'!R39,-'FPSO1 Otim'!R$3,0))</f>
        <v>0</v>
      </c>
      <c r="S42" s="19">
        <f ca="1">IF($A42-S$3&lt;2,0,OFFSET('FPSO1 Base'!S39,-'FPSO1 Otim'!S$3,0))</f>
        <v>0</v>
      </c>
      <c r="T42" s="19">
        <f ca="1">IF($A42-T$3&lt;2,0,OFFSET('FPSO1 Base'!T39,-'FPSO1 Otim'!T$3,0))</f>
        <v>1017.3119999999999</v>
      </c>
      <c r="U42" s="19">
        <f ca="1">IF($A42-U$3&lt;2,0,OFFSET('FPSO1 Base'!U39,-'FPSO1 Otim'!U$3,0))</f>
        <v>1044.2294999999999</v>
      </c>
      <c r="V42" s="19">
        <f ca="1">IF($A42-V$3&lt;2,0,OFFSET('FPSO1 Base'!V39,-'FPSO1 Otim'!V$3,0))</f>
        <v>1112.1495</v>
      </c>
      <c r="W42" s="19">
        <f ca="1">IF($A42-W$3&lt;2,0,OFFSET('FPSO1 Base'!W39,-'FPSO1 Otim'!W$3,0))</f>
        <v>618.73800000000006</v>
      </c>
      <c r="X42" s="19">
        <f ca="1">IF($A42-X$3&lt;2,0,OFFSET('FPSO1 Base'!X39,-'FPSO1 Otim'!X$3,0))</f>
        <v>1446.423</v>
      </c>
      <c r="Y42" s="19">
        <f ca="1">IF($A42-Y$3&lt;2,0,OFFSET('FPSO1 Base'!Y39,-'FPSO1 Otim'!Y$3,0))</f>
        <v>665.43149999999991</v>
      </c>
      <c r="Z42" s="19">
        <f ca="1">IF($A42-Z$3&lt;2,0,OFFSET('FPSO1 Base'!Z39,-'FPSO1 Otim'!Z$3,0))</f>
        <v>0</v>
      </c>
      <c r="AA42" s="20">
        <v>15000</v>
      </c>
      <c r="AB42" s="19">
        <f t="shared" ca="1" si="2"/>
        <v>14121.957</v>
      </c>
      <c r="AC42" s="20">
        <f t="shared" ca="1" si="3"/>
        <v>878.04299999999967</v>
      </c>
      <c r="AD42" s="19">
        <f t="shared" ca="1" si="4"/>
        <v>10474.816197393102</v>
      </c>
    </row>
    <row r="43" spans="1:30" x14ac:dyDescent="0.25">
      <c r="A43" s="19">
        <v>39</v>
      </c>
      <c r="B43" s="31">
        <v>46784</v>
      </c>
      <c r="C43" s="19">
        <f ca="1">IF($A43-C$3&lt;2,0,OFFSET('FPSO1 Base'!C40,-'FPSO1 Otim'!C$3,0))</f>
        <v>1701.5595000000001</v>
      </c>
      <c r="D43" s="19">
        <f ca="1">IF($A43-D$3&lt;2,0,OFFSET('FPSO1 Base'!D40,-'FPSO1 Otim'!D$3,0))</f>
        <v>0</v>
      </c>
      <c r="E43" s="19">
        <f ca="1">IF($A43-E$3&lt;2,0,OFFSET('FPSO1 Base'!E40,-'FPSO1 Otim'!E$3,0))</f>
        <v>845.50650000000007</v>
      </c>
      <c r="F43" s="19">
        <f ca="1">IF($A43-F$3&lt;2,0,OFFSET('FPSO1 Base'!F40,-'FPSO1 Otim'!F$3,0))</f>
        <v>1384.2645</v>
      </c>
      <c r="G43" s="19">
        <f ca="1">IF($A43-G$3&lt;2,0,OFFSET('FPSO1 Base'!G40,-'FPSO1 Otim'!G$3,0))</f>
        <v>927.06150000000002</v>
      </c>
      <c r="H43" s="19">
        <f ca="1">IF($A43-H$3&lt;2,0,OFFSET('FPSO1 Base'!H40,-'FPSO1 Otim'!H$3,0))</f>
        <v>0</v>
      </c>
      <c r="I43" s="19">
        <f ca="1">IF($A43-I$3&lt;2,0,OFFSET('FPSO1 Base'!I40,-'FPSO1 Otim'!I$3,0))</f>
        <v>0</v>
      </c>
      <c r="J43" s="19">
        <f ca="1">IF($A43-J$3&lt;2,0,OFFSET('FPSO1 Base'!J40,-'FPSO1 Otim'!J$3,0))</f>
        <v>0</v>
      </c>
      <c r="K43" s="19">
        <f ca="1">IF($A43-K$3&lt;2,0,OFFSET('FPSO1 Base'!K40,-'FPSO1 Otim'!K$3,0))</f>
        <v>672.75300000000004</v>
      </c>
      <c r="L43" s="19">
        <f ca="1">IF($A43-L$3&lt;2,0,OFFSET('FPSO1 Base'!L40,-'FPSO1 Otim'!L$3,0))</f>
        <v>1586.1750000000002</v>
      </c>
      <c r="M43" s="19">
        <f ca="1">IF($A43-M$3&lt;2,0,OFFSET('FPSO1 Base'!M40,-'FPSO1 Otim'!M$3,0))</f>
        <v>1035.0975000000001</v>
      </c>
      <c r="N43" s="19">
        <f ca="1">IF($A43-N$3&lt;2,0,OFFSET('FPSO1 Base'!N40,-'FPSO1 Otim'!N$3,0))</f>
        <v>0</v>
      </c>
      <c r="O43" s="19">
        <f ca="1">IF($A43-O$3&lt;2,0,OFFSET('FPSO1 Base'!O40,-'FPSO1 Otim'!O$3,0))</f>
        <v>0</v>
      </c>
      <c r="P43" s="19">
        <f ca="1">IF($A43-P$3&lt;2,0,OFFSET('FPSO1 Base'!P40,-'FPSO1 Otim'!P$3,0))</f>
        <v>407.90250000000003</v>
      </c>
      <c r="Q43" s="19">
        <f ca="1">IF($A43-Q$3&lt;2,0,OFFSET('FPSO1 Base'!Q40,-'FPSO1 Otim'!Q$3,0))</f>
        <v>533.625</v>
      </c>
      <c r="R43" s="19">
        <f ca="1">IF($A43-R$3&lt;2,0,OFFSET('FPSO1 Base'!R40,-'FPSO1 Otim'!R$3,0))</f>
        <v>0</v>
      </c>
      <c r="S43" s="19">
        <f ca="1">IF($A43-S$3&lt;2,0,OFFSET('FPSO1 Base'!S40,-'FPSO1 Otim'!S$3,0))</f>
        <v>0</v>
      </c>
      <c r="T43" s="19">
        <f ca="1">IF($A43-T$3&lt;2,0,OFFSET('FPSO1 Base'!T40,-'FPSO1 Otim'!T$3,0))</f>
        <v>1002.4349999999999</v>
      </c>
      <c r="U43" s="19">
        <f ca="1">IF($A43-U$3&lt;2,0,OFFSET('FPSO1 Base'!U40,-'FPSO1 Otim'!U$3,0))</f>
        <v>1033.8494999999998</v>
      </c>
      <c r="V43" s="19">
        <f ca="1">IF($A43-V$3&lt;2,0,OFFSET('FPSO1 Base'!V40,-'FPSO1 Otim'!V$3,0))</f>
        <v>1113.7260000000001</v>
      </c>
      <c r="W43" s="19">
        <f ca="1">IF($A43-W$3&lt;2,0,OFFSET('FPSO1 Base'!W40,-'FPSO1 Otim'!W$3,0))</f>
        <v>617.976</v>
      </c>
      <c r="X43" s="19">
        <f ca="1">IF($A43-X$3&lt;2,0,OFFSET('FPSO1 Base'!X40,-'FPSO1 Otim'!X$3,0))</f>
        <v>1442.5035</v>
      </c>
      <c r="Y43" s="19">
        <f ca="1">IF($A43-Y$3&lt;2,0,OFFSET('FPSO1 Base'!Y40,-'FPSO1 Otim'!Y$3,0))</f>
        <v>662.77200000000005</v>
      </c>
      <c r="Z43" s="19">
        <f ca="1">IF($A43-Z$3&lt;2,0,OFFSET('FPSO1 Base'!Z40,-'FPSO1 Otim'!Z$3,0))</f>
        <v>0</v>
      </c>
      <c r="AA43" s="20">
        <v>15000</v>
      </c>
      <c r="AB43" s="19">
        <f t="shared" ca="1" si="2"/>
        <v>14967.207000000002</v>
      </c>
      <c r="AC43" s="20">
        <f t="shared" ca="1" si="3"/>
        <v>32.792999999997846</v>
      </c>
      <c r="AD43" s="19">
        <f t="shared" ca="1" si="4"/>
        <v>11010.021502551046</v>
      </c>
    </row>
    <row r="44" spans="1:30" x14ac:dyDescent="0.25">
      <c r="A44" s="19">
        <v>40</v>
      </c>
      <c r="B44" s="31">
        <v>46813</v>
      </c>
      <c r="C44" s="19">
        <f ca="1">IF($A44-C$3&lt;2,0,OFFSET('FPSO1 Base'!C41,-'FPSO1 Otim'!C$3,0))</f>
        <v>1701.4634999999998</v>
      </c>
      <c r="D44" s="19">
        <f ca="1">IF($A44-D$3&lt;2,0,OFFSET('FPSO1 Base'!D41,-'FPSO1 Otim'!D$3,0))</f>
        <v>0</v>
      </c>
      <c r="E44" s="19">
        <f ca="1">IF($A44-E$3&lt;2,0,OFFSET('FPSO1 Base'!E41,-'FPSO1 Otim'!E$3,0))</f>
        <v>841.84649999999999</v>
      </c>
      <c r="F44" s="19">
        <f ca="1">IF($A44-F$3&lt;2,0,OFFSET('FPSO1 Base'!F41,-'FPSO1 Otim'!F$3,0))</f>
        <v>1373.7345</v>
      </c>
      <c r="G44" s="19">
        <f ca="1">IF($A44-G$3&lt;2,0,OFFSET('FPSO1 Base'!G41,-'FPSO1 Otim'!G$3,0))</f>
        <v>675.52949999999998</v>
      </c>
      <c r="H44" s="19">
        <f ca="1">IF($A44-H$3&lt;2,0,OFFSET('FPSO1 Base'!H41,-'FPSO1 Otim'!H$3,0))</f>
        <v>0</v>
      </c>
      <c r="I44" s="19">
        <f ca="1">IF($A44-I$3&lt;2,0,OFFSET('FPSO1 Base'!I41,-'FPSO1 Otim'!I$3,0))</f>
        <v>0</v>
      </c>
      <c r="J44" s="19">
        <f ca="1">IF($A44-J$3&lt;2,0,OFFSET('FPSO1 Base'!J41,-'FPSO1 Otim'!J$3,0))</f>
        <v>0</v>
      </c>
      <c r="K44" s="19">
        <f ca="1">IF($A44-K$3&lt;2,0,OFFSET('FPSO1 Base'!K41,-'FPSO1 Otim'!K$3,0))</f>
        <v>669.78600000000006</v>
      </c>
      <c r="L44" s="19">
        <f ca="1">IF($A44-L$3&lt;2,0,OFFSET('FPSO1 Base'!L41,-'FPSO1 Otim'!L$3,0))</f>
        <v>1569.8849999999998</v>
      </c>
      <c r="M44" s="19">
        <f ca="1">IF($A44-M$3&lt;2,0,OFFSET('FPSO1 Base'!M41,-'FPSO1 Otim'!M$3,0))</f>
        <v>1028.0205000000001</v>
      </c>
      <c r="N44" s="19">
        <f ca="1">IF($A44-N$3&lt;2,0,OFFSET('FPSO1 Base'!N41,-'FPSO1 Otim'!N$3,0))</f>
        <v>0</v>
      </c>
      <c r="O44" s="19">
        <f ca="1">IF($A44-O$3&lt;2,0,OFFSET('FPSO1 Base'!O41,-'FPSO1 Otim'!O$3,0))</f>
        <v>0</v>
      </c>
      <c r="P44" s="19">
        <f ca="1">IF($A44-P$3&lt;2,0,OFFSET('FPSO1 Base'!P41,-'FPSO1 Otim'!P$3,0))</f>
        <v>405.64349999999996</v>
      </c>
      <c r="Q44" s="19">
        <f ca="1">IF($A44-Q$3&lt;2,0,OFFSET('FPSO1 Base'!Q41,-'FPSO1 Otim'!Q$3,0))</f>
        <v>531.01199999999994</v>
      </c>
      <c r="R44" s="19">
        <f ca="1">IF($A44-R$3&lt;2,0,OFFSET('FPSO1 Base'!R41,-'FPSO1 Otim'!R$3,0))</f>
        <v>0</v>
      </c>
      <c r="S44" s="19">
        <f ca="1">IF($A44-S$3&lt;2,0,OFFSET('FPSO1 Base'!S41,-'FPSO1 Otim'!S$3,0))</f>
        <v>0</v>
      </c>
      <c r="T44" s="19">
        <f ca="1">IF($A44-T$3&lt;2,0,OFFSET('FPSO1 Base'!T41,-'FPSO1 Otim'!T$3,0))</f>
        <v>987.15600000000006</v>
      </c>
      <c r="U44" s="19">
        <f ca="1">IF($A44-U$3&lt;2,0,OFFSET('FPSO1 Base'!U41,-'FPSO1 Otim'!U$3,0))</f>
        <v>1024.56</v>
      </c>
      <c r="V44" s="19">
        <f ca="1">IF($A44-V$3&lt;2,0,OFFSET('FPSO1 Base'!V41,-'FPSO1 Otim'!V$3,0))</f>
        <v>1114.3064999999999</v>
      </c>
      <c r="W44" s="19">
        <f ca="1">IF($A44-W$3&lt;2,0,OFFSET('FPSO1 Base'!W41,-'FPSO1 Otim'!W$3,0))</f>
        <v>617.27549999999997</v>
      </c>
      <c r="X44" s="19">
        <f ca="1">IF($A44-X$3&lt;2,0,OFFSET('FPSO1 Base'!X41,-'FPSO1 Otim'!X$3,0))</f>
        <v>1438.9259999999999</v>
      </c>
      <c r="Y44" s="19">
        <f ca="1">IF($A44-Y$3&lt;2,0,OFFSET('FPSO1 Base'!Y41,-'FPSO1 Otim'!Y$3,0))</f>
        <v>660.38400000000001</v>
      </c>
      <c r="Z44" s="19">
        <f ca="1">IF($A44-Z$3&lt;2,0,OFFSET('FPSO1 Base'!Z41,-'FPSO1 Otim'!Z$3,0))</f>
        <v>0</v>
      </c>
      <c r="AA44" s="20">
        <v>15000</v>
      </c>
      <c r="AB44" s="19">
        <f t="shared" ca="1" si="2"/>
        <v>14639.529</v>
      </c>
      <c r="AC44" s="20">
        <f t="shared" ca="1" si="3"/>
        <v>360.47099999999955</v>
      </c>
      <c r="AD44" s="19">
        <f t="shared" ca="1" si="4"/>
        <v>10679.978590829623</v>
      </c>
    </row>
    <row r="45" spans="1:30" x14ac:dyDescent="0.25">
      <c r="A45" s="19">
        <v>41</v>
      </c>
      <c r="B45" s="31">
        <v>46844</v>
      </c>
      <c r="C45" s="19">
        <f ca="1">IF($A45-C$3&lt;2,0,OFFSET('FPSO1 Base'!C42,-'FPSO1 Otim'!C$3,0))</f>
        <v>1701.3674999999998</v>
      </c>
      <c r="D45" s="19">
        <f ca="1">IF($A45-D$3&lt;2,0,OFFSET('FPSO1 Base'!D42,-'FPSO1 Otim'!D$3,0))</f>
        <v>0</v>
      </c>
      <c r="E45" s="19">
        <f ca="1">IF($A45-E$3&lt;2,0,OFFSET('FPSO1 Base'!E42,-'FPSO1 Otim'!E$3,0))</f>
        <v>838.46399999999994</v>
      </c>
      <c r="F45" s="19">
        <f ca="1">IF($A45-F$3&lt;2,0,OFFSET('FPSO1 Base'!F42,-'FPSO1 Otim'!F$3,0))</f>
        <v>1361.3969999999999</v>
      </c>
      <c r="G45" s="19">
        <f ca="1">IF($A45-G$3&lt;2,0,OFFSET('FPSO1 Base'!G42,-'FPSO1 Otim'!G$3,0))</f>
        <v>622.07249999999999</v>
      </c>
      <c r="H45" s="19">
        <f ca="1">IF($A45-H$3&lt;2,0,OFFSET('FPSO1 Base'!H42,-'FPSO1 Otim'!H$3,0))</f>
        <v>0</v>
      </c>
      <c r="I45" s="19">
        <f ca="1">IF($A45-I$3&lt;2,0,OFFSET('FPSO1 Base'!I42,-'FPSO1 Otim'!I$3,0))</f>
        <v>0</v>
      </c>
      <c r="J45" s="19">
        <f ca="1">IF($A45-J$3&lt;2,0,OFFSET('FPSO1 Base'!J42,-'FPSO1 Otim'!J$3,0))</f>
        <v>0</v>
      </c>
      <c r="K45" s="19">
        <f ca="1">IF($A45-K$3&lt;2,0,OFFSET('FPSO1 Base'!K42,-'FPSO1 Otim'!K$3,0))</f>
        <v>666.29100000000005</v>
      </c>
      <c r="L45" s="19">
        <f ca="1">IF($A45-L$3&lt;2,0,OFFSET('FPSO1 Base'!L42,-'FPSO1 Otim'!L$3,0))</f>
        <v>1554.33</v>
      </c>
      <c r="M45" s="19">
        <f ca="1">IF($A45-M$3&lt;2,0,OFFSET('FPSO1 Base'!M42,-'FPSO1 Otim'!M$3,0))</f>
        <v>1019.8934999999999</v>
      </c>
      <c r="N45" s="19">
        <f ca="1">IF($A45-N$3&lt;2,0,OFFSET('FPSO1 Base'!N42,-'FPSO1 Otim'!N$3,0))</f>
        <v>280.69349999999997</v>
      </c>
      <c r="O45" s="19">
        <f ca="1">IF($A45-O$3&lt;2,0,OFFSET('FPSO1 Base'!O42,-'FPSO1 Otim'!O$3,0))</f>
        <v>0</v>
      </c>
      <c r="P45" s="19">
        <f ca="1">IF($A45-P$3&lt;2,0,OFFSET('FPSO1 Base'!P42,-'FPSO1 Otim'!P$3,0))</f>
        <v>403.88699999999994</v>
      </c>
      <c r="Q45" s="19">
        <f ca="1">IF($A45-Q$3&lt;2,0,OFFSET('FPSO1 Base'!Q42,-'FPSO1 Otim'!Q$3,0))</f>
        <v>528.423</v>
      </c>
      <c r="R45" s="19">
        <f ca="1">IF($A45-R$3&lt;2,0,OFFSET('FPSO1 Base'!R42,-'FPSO1 Otim'!R$3,0))</f>
        <v>0</v>
      </c>
      <c r="S45" s="19">
        <f ca="1">IF($A45-S$3&lt;2,0,OFFSET('FPSO1 Base'!S42,-'FPSO1 Otim'!S$3,0))</f>
        <v>0</v>
      </c>
      <c r="T45" s="19">
        <f ca="1">IF($A45-T$3&lt;2,0,OFFSET('FPSO1 Base'!T42,-'FPSO1 Otim'!T$3,0))</f>
        <v>973.34850000000006</v>
      </c>
      <c r="U45" s="19">
        <f ca="1">IF($A45-U$3&lt;2,0,OFFSET('FPSO1 Base'!U42,-'FPSO1 Otim'!U$3,0))</f>
        <v>1015.6455</v>
      </c>
      <c r="V45" s="19">
        <f ca="1">IF($A45-V$3&lt;2,0,OFFSET('FPSO1 Base'!V42,-'FPSO1 Otim'!V$3,0))</f>
        <v>1114.6605</v>
      </c>
      <c r="W45" s="19">
        <f ca="1">IF($A45-W$3&lt;2,0,OFFSET('FPSO1 Base'!W42,-'FPSO1 Otim'!W$3,0))</f>
        <v>617.202</v>
      </c>
      <c r="X45" s="19">
        <f ca="1">IF($A45-X$3&lt;2,0,OFFSET('FPSO1 Base'!X42,-'FPSO1 Otim'!X$3,0))</f>
        <v>1435.7535</v>
      </c>
      <c r="Y45" s="19">
        <f ca="1">IF($A45-Y$3&lt;2,0,OFFSET('FPSO1 Base'!Y42,-'FPSO1 Otim'!Y$3,0))</f>
        <v>657.85950000000003</v>
      </c>
      <c r="Z45" s="19">
        <f ca="1">IF($A45-Z$3&lt;2,0,OFFSET('FPSO1 Base'!Z42,-'FPSO1 Otim'!Z$3,0))</f>
        <v>0</v>
      </c>
      <c r="AA45" s="20">
        <v>15000</v>
      </c>
      <c r="AB45" s="19">
        <f t="shared" ca="1" si="2"/>
        <v>14791.288500000002</v>
      </c>
      <c r="AC45" s="20">
        <f t="shared" ca="1" si="3"/>
        <v>208.71149999999761</v>
      </c>
      <c r="AD45" s="19">
        <f t="shared" ca="1" si="4"/>
        <v>10701.512459462761</v>
      </c>
    </row>
    <row r="46" spans="1:30" x14ac:dyDescent="0.25">
      <c r="A46" s="19">
        <v>42</v>
      </c>
      <c r="B46" s="31">
        <v>46874</v>
      </c>
      <c r="C46" s="19">
        <f ca="1">IF($A46-C$3&lt;2,0,OFFSET('FPSO1 Base'!C43,-'FPSO1 Otim'!C$3,0))</f>
        <v>1701.2804999999998</v>
      </c>
      <c r="D46" s="19">
        <f ca="1">IF($A46-D$3&lt;2,0,OFFSET('FPSO1 Base'!D43,-'FPSO1 Otim'!D$3,0))</f>
        <v>0</v>
      </c>
      <c r="E46" s="19">
        <f ca="1">IF($A46-E$3&lt;2,0,OFFSET('FPSO1 Base'!E43,-'FPSO1 Otim'!E$3,0))</f>
        <v>835.09799999999996</v>
      </c>
      <c r="F46" s="19">
        <f ca="1">IF($A46-F$3&lt;2,0,OFFSET('FPSO1 Base'!F43,-'FPSO1 Otim'!F$3,0))</f>
        <v>1351.9904999999999</v>
      </c>
      <c r="G46" s="19">
        <f ca="1">IF($A46-G$3&lt;2,0,OFFSET('FPSO1 Base'!G43,-'FPSO1 Otim'!G$3,0))</f>
        <v>585.29100000000005</v>
      </c>
      <c r="H46" s="19">
        <f ca="1">IF($A46-H$3&lt;2,0,OFFSET('FPSO1 Base'!H43,-'FPSO1 Otim'!H$3,0))</f>
        <v>0</v>
      </c>
      <c r="I46" s="19">
        <f ca="1">IF($A46-I$3&lt;2,0,OFFSET('FPSO1 Base'!I43,-'FPSO1 Otim'!I$3,0))</f>
        <v>0</v>
      </c>
      <c r="J46" s="19">
        <f ca="1">IF($A46-J$3&lt;2,0,OFFSET('FPSO1 Base'!J43,-'FPSO1 Otim'!J$3,0))</f>
        <v>0</v>
      </c>
      <c r="K46" s="19">
        <f ca="1">IF($A46-K$3&lt;2,0,OFFSET('FPSO1 Base'!K43,-'FPSO1 Otim'!K$3,0))</f>
        <v>662.00549999999998</v>
      </c>
      <c r="L46" s="19">
        <f ca="1">IF($A46-L$3&lt;2,0,OFFSET('FPSO1 Base'!L43,-'FPSO1 Otim'!L$3,0))</f>
        <v>1539.585</v>
      </c>
      <c r="M46" s="19">
        <f ca="1">IF($A46-M$3&lt;2,0,OFFSET('FPSO1 Base'!M43,-'FPSO1 Otim'!M$3,0))</f>
        <v>1013.595</v>
      </c>
      <c r="N46" s="19">
        <f ca="1">IF($A46-N$3&lt;2,0,OFFSET('FPSO1 Base'!N43,-'FPSO1 Otim'!N$3,0))</f>
        <v>350.274</v>
      </c>
      <c r="O46" s="19">
        <f ca="1">IF($A46-O$3&lt;2,0,OFFSET('FPSO1 Base'!O43,-'FPSO1 Otim'!O$3,0))</f>
        <v>0</v>
      </c>
      <c r="P46" s="19">
        <f ca="1">IF($A46-P$3&lt;2,0,OFFSET('FPSO1 Base'!P43,-'FPSO1 Otim'!P$3,0))</f>
        <v>401.74950000000001</v>
      </c>
      <c r="Q46" s="19">
        <f ca="1">IF($A46-Q$3&lt;2,0,OFFSET('FPSO1 Base'!Q43,-'FPSO1 Otim'!Q$3,0))</f>
        <v>525.75</v>
      </c>
      <c r="R46" s="19">
        <f ca="1">IF($A46-R$3&lt;2,0,OFFSET('FPSO1 Base'!R43,-'FPSO1 Otim'!R$3,0))</f>
        <v>0</v>
      </c>
      <c r="S46" s="19">
        <f ca="1">IF($A46-S$3&lt;2,0,OFFSET('FPSO1 Base'!S43,-'FPSO1 Otim'!S$3,0))</f>
        <v>0</v>
      </c>
      <c r="T46" s="19">
        <f ca="1">IF($A46-T$3&lt;2,0,OFFSET('FPSO1 Base'!T43,-'FPSO1 Otim'!T$3,0))</f>
        <v>960.25350000000003</v>
      </c>
      <c r="U46" s="19">
        <f ca="1">IF($A46-U$3&lt;2,0,OFFSET('FPSO1 Base'!U43,-'FPSO1 Otim'!U$3,0))</f>
        <v>1006.6005</v>
      </c>
      <c r="V46" s="19">
        <f ca="1">IF($A46-V$3&lt;2,0,OFFSET('FPSO1 Base'!V43,-'FPSO1 Otim'!V$3,0))</f>
        <v>1114.7414999999999</v>
      </c>
      <c r="W46" s="19">
        <f ca="1">IF($A46-W$3&lt;2,0,OFFSET('FPSO1 Base'!W43,-'FPSO1 Otim'!W$3,0))</f>
        <v>616.68149999999991</v>
      </c>
      <c r="X46" s="19">
        <f ca="1">IF($A46-X$3&lt;2,0,OFFSET('FPSO1 Base'!X43,-'FPSO1 Otim'!X$3,0))</f>
        <v>1432.1129999999998</v>
      </c>
      <c r="Y46" s="19">
        <f ca="1">IF($A46-Y$3&lt;2,0,OFFSET('FPSO1 Base'!Y43,-'FPSO1 Otim'!Y$3,0))</f>
        <v>655.61249999999995</v>
      </c>
      <c r="Z46" s="19">
        <f ca="1">IF($A46-Z$3&lt;2,0,OFFSET('FPSO1 Base'!Z43,-'FPSO1 Otim'!Z$3,0))</f>
        <v>0</v>
      </c>
      <c r="AA46" s="20">
        <v>15000</v>
      </c>
      <c r="AB46" s="19">
        <f t="shared" ca="1" si="2"/>
        <v>14752.621500000001</v>
      </c>
      <c r="AC46" s="20">
        <f t="shared" ca="1" si="3"/>
        <v>247.37849999999889</v>
      </c>
      <c r="AD46" s="19">
        <f t="shared" ca="1" si="4"/>
        <v>10585.325796842621</v>
      </c>
    </row>
    <row r="47" spans="1:30" x14ac:dyDescent="0.25">
      <c r="A47" s="19">
        <v>43</v>
      </c>
      <c r="B47" s="31">
        <v>46905</v>
      </c>
      <c r="C47" s="19">
        <f ca="1">IF($A47-C$3&lt;2,0,OFFSET('FPSO1 Base'!C44,-'FPSO1 Otim'!C$3,0))</f>
        <v>1701.1725000000001</v>
      </c>
      <c r="D47" s="19">
        <f ca="1">IF($A47-D$3&lt;2,0,OFFSET('FPSO1 Base'!D44,-'FPSO1 Otim'!D$3,0))</f>
        <v>0</v>
      </c>
      <c r="E47" s="19">
        <f ca="1">IF($A47-E$3&lt;2,0,OFFSET('FPSO1 Base'!E44,-'FPSO1 Otim'!E$3,0))</f>
        <v>831.56850000000009</v>
      </c>
      <c r="F47" s="19">
        <f ca="1">IF($A47-F$3&lt;2,0,OFFSET('FPSO1 Base'!F44,-'FPSO1 Otim'!F$3,0))</f>
        <v>1341.2505000000001</v>
      </c>
      <c r="G47" s="19">
        <f ca="1">IF($A47-G$3&lt;2,0,OFFSET('FPSO1 Base'!G44,-'FPSO1 Otim'!G$3,0))</f>
        <v>552.91499999999996</v>
      </c>
      <c r="H47" s="19">
        <f ca="1">IF($A47-H$3&lt;2,0,OFFSET('FPSO1 Base'!H44,-'FPSO1 Otim'!H$3,0))</f>
        <v>0</v>
      </c>
      <c r="I47" s="19">
        <f ca="1">IF($A47-I$3&lt;2,0,OFFSET('FPSO1 Base'!I44,-'FPSO1 Otim'!I$3,0))</f>
        <v>0</v>
      </c>
      <c r="J47" s="19">
        <f ca="1">IF($A47-J$3&lt;2,0,OFFSET('FPSO1 Base'!J44,-'FPSO1 Otim'!J$3,0))</f>
        <v>0</v>
      </c>
      <c r="K47" s="19">
        <f ca="1">IF($A47-K$3&lt;2,0,OFFSET('FPSO1 Base'!K44,-'FPSO1 Otim'!K$3,0))</f>
        <v>658.42499999999995</v>
      </c>
      <c r="L47" s="19">
        <f ca="1">IF($A47-L$3&lt;2,0,OFFSET('FPSO1 Base'!L44,-'FPSO1 Otim'!L$3,0))</f>
        <v>1524.345</v>
      </c>
      <c r="M47" s="19">
        <f ca="1">IF($A47-M$3&lt;2,0,OFFSET('FPSO1 Base'!M44,-'FPSO1 Otim'!M$3,0))</f>
        <v>1006.4939999999999</v>
      </c>
      <c r="N47" s="19">
        <f ca="1">IF($A47-N$3&lt;2,0,OFFSET('FPSO1 Base'!N44,-'FPSO1 Otim'!N$3,0))</f>
        <v>312.762</v>
      </c>
      <c r="O47" s="19">
        <f ca="1">IF($A47-O$3&lt;2,0,OFFSET('FPSO1 Base'!O44,-'FPSO1 Otim'!O$3,0))</f>
        <v>0</v>
      </c>
      <c r="P47" s="19">
        <f ca="1">IF($A47-P$3&lt;2,0,OFFSET('FPSO1 Base'!P44,-'FPSO1 Otim'!P$3,0))</f>
        <v>399.84749999999997</v>
      </c>
      <c r="Q47" s="19">
        <f ca="1">IF($A47-Q$3&lt;2,0,OFFSET('FPSO1 Base'!Q44,-'FPSO1 Otim'!Q$3,0))</f>
        <v>523.923</v>
      </c>
      <c r="R47" s="19">
        <f ca="1">IF($A47-R$3&lt;2,0,OFFSET('FPSO1 Base'!R44,-'FPSO1 Otim'!R$3,0))</f>
        <v>0</v>
      </c>
      <c r="S47" s="19">
        <f ca="1">IF($A47-S$3&lt;2,0,OFFSET('FPSO1 Base'!S44,-'FPSO1 Otim'!S$3,0))</f>
        <v>0</v>
      </c>
      <c r="T47" s="19">
        <f ca="1">IF($A47-T$3&lt;2,0,OFFSET('FPSO1 Base'!T44,-'FPSO1 Otim'!T$3,0))</f>
        <v>946.74300000000005</v>
      </c>
      <c r="U47" s="19">
        <f ca="1">IF($A47-U$3&lt;2,0,OFFSET('FPSO1 Base'!U44,-'FPSO1 Otim'!U$3,0))</f>
        <v>998.45549999999992</v>
      </c>
      <c r="V47" s="19">
        <f ca="1">IF($A47-V$3&lt;2,0,OFFSET('FPSO1 Base'!V44,-'FPSO1 Otim'!V$3,0))</f>
        <v>1114.7505000000001</v>
      </c>
      <c r="W47" s="19">
        <f ca="1">IF($A47-W$3&lt;2,0,OFFSET('FPSO1 Base'!W44,-'FPSO1 Otim'!W$3,0))</f>
        <v>615.87</v>
      </c>
      <c r="X47" s="19">
        <f ca="1">IF($A47-X$3&lt;2,0,OFFSET('FPSO1 Base'!X44,-'FPSO1 Otim'!X$3,0))</f>
        <v>1428.6285</v>
      </c>
      <c r="Y47" s="19">
        <f ca="1">IF($A47-Y$3&lt;2,0,OFFSET('FPSO1 Base'!Y44,-'FPSO1 Otim'!Y$3,0))</f>
        <v>653.56200000000001</v>
      </c>
      <c r="Z47" s="19">
        <f ca="1">IF($A47-Z$3&lt;2,0,OFFSET('FPSO1 Base'!Z44,-'FPSO1 Otim'!Z$3,0))</f>
        <v>0</v>
      </c>
      <c r="AA47" s="20">
        <v>15000</v>
      </c>
      <c r="AB47" s="19">
        <f t="shared" ca="1" si="2"/>
        <v>14610.712500000003</v>
      </c>
      <c r="AC47" s="20">
        <f t="shared" ca="1" si="3"/>
        <v>389.28749999999673</v>
      </c>
      <c r="AD47" s="19">
        <f t="shared" ca="1" si="4"/>
        <v>10396.862491666881</v>
      </c>
    </row>
    <row r="48" spans="1:30" x14ac:dyDescent="0.25">
      <c r="A48" s="19">
        <v>44</v>
      </c>
      <c r="B48" s="31">
        <v>46935</v>
      </c>
      <c r="C48" s="19">
        <f ca="1">IF($A48-C$3&lt;2,0,OFFSET('FPSO1 Base'!C45,-'FPSO1 Otim'!C$3,0))</f>
        <v>1701.0675000000001</v>
      </c>
      <c r="D48" s="19">
        <f ca="1">IF($A48-D$3&lt;2,0,OFFSET('FPSO1 Base'!D45,-'FPSO1 Otim'!D$3,0))</f>
        <v>0</v>
      </c>
      <c r="E48" s="19">
        <f ca="1">IF($A48-E$3&lt;2,0,OFFSET('FPSO1 Base'!E45,-'FPSO1 Otim'!E$3,0))</f>
        <v>829.22849999999994</v>
      </c>
      <c r="F48" s="19">
        <f ca="1">IF($A48-F$3&lt;2,0,OFFSET('FPSO1 Base'!F45,-'FPSO1 Otim'!F$3,0))</f>
        <v>1331.7645</v>
      </c>
      <c r="G48" s="19">
        <f ca="1">IF($A48-G$3&lt;2,0,OFFSET('FPSO1 Base'!G45,-'FPSO1 Otim'!G$3,0))</f>
        <v>532.03050000000007</v>
      </c>
      <c r="H48" s="19">
        <f ca="1">IF($A48-H$3&lt;2,0,OFFSET('FPSO1 Base'!H45,-'FPSO1 Otim'!H$3,0))</f>
        <v>0</v>
      </c>
      <c r="I48" s="19">
        <f ca="1">IF($A48-I$3&lt;2,0,OFFSET('FPSO1 Base'!I45,-'FPSO1 Otim'!I$3,0))</f>
        <v>0</v>
      </c>
      <c r="J48" s="19">
        <f ca="1">IF($A48-J$3&lt;2,0,OFFSET('FPSO1 Base'!J45,-'FPSO1 Otim'!J$3,0))</f>
        <v>0</v>
      </c>
      <c r="K48" s="19">
        <f ca="1">IF($A48-K$3&lt;2,0,OFFSET('FPSO1 Base'!K45,-'FPSO1 Otim'!K$3,0))</f>
        <v>654.59699999999998</v>
      </c>
      <c r="L48" s="19">
        <f ca="1">IF($A48-L$3&lt;2,0,OFFSET('FPSO1 Base'!L45,-'FPSO1 Otim'!L$3,0))</f>
        <v>1507.635</v>
      </c>
      <c r="M48" s="19">
        <f ca="1">IF($A48-M$3&lt;2,0,OFFSET('FPSO1 Base'!M45,-'FPSO1 Otim'!M$3,0))</f>
        <v>1000.2405</v>
      </c>
      <c r="N48" s="19">
        <f ca="1">IF($A48-N$3&lt;2,0,OFFSET('FPSO1 Base'!N45,-'FPSO1 Otim'!N$3,0))</f>
        <v>293.12850000000003</v>
      </c>
      <c r="O48" s="19">
        <f ca="1">IF($A48-O$3&lt;2,0,OFFSET('FPSO1 Base'!O45,-'FPSO1 Otim'!O$3,0))</f>
        <v>0</v>
      </c>
      <c r="P48" s="19">
        <f ca="1">IF($A48-P$3&lt;2,0,OFFSET('FPSO1 Base'!P45,-'FPSO1 Otim'!P$3,0))</f>
        <v>397.72499999999997</v>
      </c>
      <c r="Q48" s="19">
        <f ca="1">IF($A48-Q$3&lt;2,0,OFFSET('FPSO1 Base'!Q45,-'FPSO1 Otim'!Q$3,0))</f>
        <v>521.02500000000009</v>
      </c>
      <c r="R48" s="19">
        <f ca="1">IF($A48-R$3&lt;2,0,OFFSET('FPSO1 Base'!R45,-'FPSO1 Otim'!R$3,0))</f>
        <v>0</v>
      </c>
      <c r="S48" s="19">
        <f ca="1">IF($A48-S$3&lt;2,0,OFFSET('FPSO1 Base'!S45,-'FPSO1 Otim'!S$3,0))</f>
        <v>0</v>
      </c>
      <c r="T48" s="19">
        <f ca="1">IF($A48-T$3&lt;2,0,OFFSET('FPSO1 Base'!T45,-'FPSO1 Otim'!T$3,0))</f>
        <v>934.44600000000014</v>
      </c>
      <c r="U48" s="19">
        <f ca="1">IF($A48-U$3&lt;2,0,OFFSET('FPSO1 Base'!U45,-'FPSO1 Otim'!U$3,0))</f>
        <v>989.6880000000001</v>
      </c>
      <c r="V48" s="19">
        <f ca="1">IF($A48-V$3&lt;2,0,OFFSET('FPSO1 Base'!V45,-'FPSO1 Otim'!V$3,0))</f>
        <v>1114.7414999999999</v>
      </c>
      <c r="W48" s="19">
        <f ca="1">IF($A48-W$3&lt;2,0,OFFSET('FPSO1 Base'!W45,-'FPSO1 Otim'!W$3,0))</f>
        <v>615.13350000000003</v>
      </c>
      <c r="X48" s="19">
        <f ca="1">IF($A48-X$3&lt;2,0,OFFSET('FPSO1 Base'!X45,-'FPSO1 Otim'!X$3,0))</f>
        <v>1424.7375000000002</v>
      </c>
      <c r="Y48" s="19">
        <f ca="1">IF($A48-Y$3&lt;2,0,OFFSET('FPSO1 Base'!Y45,-'FPSO1 Otim'!Y$3,0))</f>
        <v>651.22050000000002</v>
      </c>
      <c r="Z48" s="19">
        <f ca="1">IF($A48-Z$3&lt;2,0,OFFSET('FPSO1 Base'!Z45,-'FPSO1 Otim'!Z$3,0))</f>
        <v>0</v>
      </c>
      <c r="AA48" s="20">
        <v>15000</v>
      </c>
      <c r="AB48" s="19">
        <f t="shared" ca="1" si="2"/>
        <v>14498.409</v>
      </c>
      <c r="AC48" s="20">
        <f t="shared" ca="1" si="3"/>
        <v>501.59100000000035</v>
      </c>
      <c r="AD48" s="19">
        <f t="shared" ca="1" si="4"/>
        <v>10231.684212352176</v>
      </c>
    </row>
    <row r="49" spans="1:30" x14ac:dyDescent="0.25">
      <c r="A49" s="19">
        <v>45</v>
      </c>
      <c r="B49" s="31">
        <v>46966</v>
      </c>
      <c r="C49" s="19">
        <f ca="1">IF($A49-C$3&lt;2,0,OFFSET('FPSO1 Base'!C46,-'FPSO1 Otim'!C$3,0))</f>
        <v>1700.9670000000001</v>
      </c>
      <c r="D49" s="19">
        <f ca="1">IF($A49-D$3&lt;2,0,OFFSET('FPSO1 Base'!D46,-'FPSO1 Otim'!D$3,0))</f>
        <v>0</v>
      </c>
      <c r="E49" s="19">
        <f ca="1">IF($A49-E$3&lt;2,0,OFFSET('FPSO1 Base'!E46,-'FPSO1 Otim'!E$3,0))</f>
        <v>824.71499999999992</v>
      </c>
      <c r="F49" s="19">
        <f ca="1">IF($A49-F$3&lt;2,0,OFFSET('FPSO1 Base'!F46,-'FPSO1 Otim'!F$3,0))</f>
        <v>1321.6185</v>
      </c>
      <c r="G49" s="19">
        <f ca="1">IF($A49-G$3&lt;2,0,OFFSET('FPSO1 Base'!G46,-'FPSO1 Otim'!G$3,0))</f>
        <v>511.85250000000002</v>
      </c>
      <c r="H49" s="19">
        <f ca="1">IF($A49-H$3&lt;2,0,OFFSET('FPSO1 Base'!H46,-'FPSO1 Otim'!H$3,0))</f>
        <v>0</v>
      </c>
      <c r="I49" s="19">
        <f ca="1">IF($A49-I$3&lt;2,0,OFFSET('FPSO1 Base'!I46,-'FPSO1 Otim'!I$3,0))</f>
        <v>0</v>
      </c>
      <c r="J49" s="19">
        <f ca="1">IF($A49-J$3&lt;2,0,OFFSET('FPSO1 Base'!J46,-'FPSO1 Otim'!J$3,0))</f>
        <v>0</v>
      </c>
      <c r="K49" s="19">
        <f ca="1">IF($A49-K$3&lt;2,0,OFFSET('FPSO1 Base'!K46,-'FPSO1 Otim'!K$3,0))</f>
        <v>651.28199999999993</v>
      </c>
      <c r="L49" s="19">
        <f ca="1">IF($A49-L$3&lt;2,0,OFFSET('FPSO1 Base'!L46,-'FPSO1 Otim'!L$3,0))</f>
        <v>1491.6134999999999</v>
      </c>
      <c r="M49" s="19">
        <f ca="1">IF($A49-M$3&lt;2,0,OFFSET('FPSO1 Base'!M46,-'FPSO1 Otim'!M$3,0))</f>
        <v>993.70650000000001</v>
      </c>
      <c r="N49" s="19">
        <f ca="1">IF($A49-N$3&lt;2,0,OFFSET('FPSO1 Base'!N46,-'FPSO1 Otim'!N$3,0))</f>
        <v>281.74950000000001</v>
      </c>
      <c r="O49" s="19">
        <f ca="1">IF($A49-O$3&lt;2,0,OFFSET('FPSO1 Base'!O46,-'FPSO1 Otim'!O$3,0))</f>
        <v>0</v>
      </c>
      <c r="P49" s="19">
        <f ca="1">IF($A49-P$3&lt;2,0,OFFSET('FPSO1 Base'!P46,-'FPSO1 Otim'!P$3,0))</f>
        <v>395.68500000000006</v>
      </c>
      <c r="Q49" s="19">
        <f ca="1">IF($A49-Q$3&lt;2,0,OFFSET('FPSO1 Base'!Q46,-'FPSO1 Otim'!Q$3,0))</f>
        <v>519.423</v>
      </c>
      <c r="R49" s="19">
        <f ca="1">IF($A49-R$3&lt;2,0,OFFSET('FPSO1 Base'!R46,-'FPSO1 Otim'!R$3,0))</f>
        <v>0</v>
      </c>
      <c r="S49" s="19">
        <f ca="1">IF($A49-S$3&lt;2,0,OFFSET('FPSO1 Base'!S46,-'FPSO1 Otim'!S$3,0))</f>
        <v>0</v>
      </c>
      <c r="T49" s="19">
        <f ca="1">IF($A49-T$3&lt;2,0,OFFSET('FPSO1 Base'!T46,-'FPSO1 Otim'!T$3,0))</f>
        <v>921.53699999999992</v>
      </c>
      <c r="U49" s="19">
        <f ca="1">IF($A49-U$3&lt;2,0,OFFSET('FPSO1 Base'!U46,-'FPSO1 Otim'!U$3,0))</f>
        <v>977.89049999999997</v>
      </c>
      <c r="V49" s="19">
        <f ca="1">IF($A49-V$3&lt;2,0,OFFSET('FPSO1 Base'!V46,-'FPSO1 Otim'!V$3,0))</f>
        <v>1114.5495000000001</v>
      </c>
      <c r="W49" s="19">
        <f ca="1">IF($A49-W$3&lt;2,0,OFFSET('FPSO1 Base'!W46,-'FPSO1 Otim'!W$3,0))</f>
        <v>614.12549999999999</v>
      </c>
      <c r="X49" s="19">
        <f ca="1">IF($A49-X$3&lt;2,0,OFFSET('FPSO1 Base'!X46,-'FPSO1 Otim'!X$3,0))</f>
        <v>1420.9470000000001</v>
      </c>
      <c r="Y49" s="19">
        <f ca="1">IF($A49-Y$3&lt;2,0,OFFSET('FPSO1 Base'!Y46,-'FPSO1 Otim'!Y$3,0))</f>
        <v>649.38750000000005</v>
      </c>
      <c r="Z49" s="19">
        <f ca="1">IF($A49-Z$3&lt;2,0,OFFSET('FPSO1 Base'!Z46,-'FPSO1 Otim'!Z$3,0))</f>
        <v>0</v>
      </c>
      <c r="AA49" s="20">
        <v>15000</v>
      </c>
      <c r="AB49" s="19">
        <f t="shared" ca="1" si="2"/>
        <v>14391.049500000003</v>
      </c>
      <c r="AC49" s="20">
        <f t="shared" ca="1" si="3"/>
        <v>608.95049999999719</v>
      </c>
      <c r="AD49" s="19">
        <f t="shared" ca="1" si="4"/>
        <v>10071.986232169273</v>
      </c>
    </row>
    <row r="50" spans="1:30" x14ac:dyDescent="0.25">
      <c r="A50" s="19">
        <v>46</v>
      </c>
      <c r="B50" s="31">
        <v>46997</v>
      </c>
      <c r="C50" s="19">
        <f ca="1">IF($A50-C$3&lt;2,0,OFFSET('FPSO1 Base'!C47,-'FPSO1 Otim'!C$3,0))</f>
        <v>1700.8425</v>
      </c>
      <c r="D50" s="19">
        <f ca="1">IF($A50-D$3&lt;2,0,OFFSET('FPSO1 Base'!D47,-'FPSO1 Otim'!D$3,0))</f>
        <v>0</v>
      </c>
      <c r="E50" s="19">
        <f ca="1">IF($A50-E$3&lt;2,0,OFFSET('FPSO1 Base'!E47,-'FPSO1 Otim'!E$3,0))</f>
        <v>821.9369999999999</v>
      </c>
      <c r="F50" s="19">
        <f ca="1">IF($A50-F$3&lt;2,0,OFFSET('FPSO1 Base'!F47,-'FPSO1 Otim'!F$3,0))</f>
        <v>1312.3185000000001</v>
      </c>
      <c r="G50" s="19">
        <f ca="1">IF($A50-G$3&lt;2,0,OFFSET('FPSO1 Base'!G47,-'FPSO1 Otim'!G$3,0))</f>
        <v>492.84300000000002</v>
      </c>
      <c r="H50" s="19">
        <f ca="1">IF($A50-H$3&lt;2,0,OFFSET('FPSO1 Base'!H47,-'FPSO1 Otim'!H$3,0))</f>
        <v>0</v>
      </c>
      <c r="I50" s="19">
        <f ca="1">IF($A50-I$3&lt;2,0,OFFSET('FPSO1 Base'!I47,-'FPSO1 Otim'!I$3,0))</f>
        <v>0</v>
      </c>
      <c r="J50" s="19">
        <f ca="1">IF($A50-J$3&lt;2,0,OFFSET('FPSO1 Base'!J47,-'FPSO1 Otim'!J$3,0))</f>
        <v>0</v>
      </c>
      <c r="K50" s="19">
        <f ca="1">IF($A50-K$3&lt;2,0,OFFSET('FPSO1 Base'!K47,-'FPSO1 Otim'!K$3,0))</f>
        <v>647.8125</v>
      </c>
      <c r="L50" s="19">
        <f ca="1">IF($A50-L$3&lt;2,0,OFFSET('FPSO1 Base'!L47,-'FPSO1 Otim'!L$3,0))</f>
        <v>1473.8910000000001</v>
      </c>
      <c r="M50" s="19">
        <f ca="1">IF($A50-M$3&lt;2,0,OFFSET('FPSO1 Base'!M47,-'FPSO1 Otim'!M$3,0))</f>
        <v>987.84750000000008</v>
      </c>
      <c r="N50" s="19">
        <f ca="1">IF($A50-N$3&lt;2,0,OFFSET('FPSO1 Base'!N47,-'FPSO1 Otim'!N$3,0))</f>
        <v>272.988</v>
      </c>
      <c r="O50" s="19">
        <f ca="1">IF($A50-O$3&lt;2,0,OFFSET('FPSO1 Base'!O47,-'FPSO1 Otim'!O$3,0))</f>
        <v>0</v>
      </c>
      <c r="P50" s="19">
        <f ca="1">IF($A50-P$3&lt;2,0,OFFSET('FPSO1 Base'!P47,-'FPSO1 Otim'!P$3,0))</f>
        <v>393.702</v>
      </c>
      <c r="Q50" s="19">
        <f ca="1">IF($A50-Q$3&lt;2,0,OFFSET('FPSO1 Base'!Q47,-'FPSO1 Otim'!Q$3,0))</f>
        <v>517.125</v>
      </c>
      <c r="R50" s="19">
        <f ca="1">IF($A50-R$3&lt;2,0,OFFSET('FPSO1 Base'!R47,-'FPSO1 Otim'!R$3,0))</f>
        <v>0</v>
      </c>
      <c r="S50" s="19">
        <f ca="1">IF($A50-S$3&lt;2,0,OFFSET('FPSO1 Base'!S47,-'FPSO1 Otim'!S$3,0))</f>
        <v>0</v>
      </c>
      <c r="T50" s="19">
        <f ca="1">IF($A50-T$3&lt;2,0,OFFSET('FPSO1 Base'!T47,-'FPSO1 Otim'!T$3,0))</f>
        <v>906.32100000000014</v>
      </c>
      <c r="U50" s="19">
        <f ca="1">IF($A50-U$3&lt;2,0,OFFSET('FPSO1 Base'!U47,-'FPSO1 Otim'!U$3,0))</f>
        <v>969.73799999999994</v>
      </c>
      <c r="V50" s="19">
        <f ca="1">IF($A50-V$3&lt;2,0,OFFSET('FPSO1 Base'!V47,-'FPSO1 Otim'!V$3,0))</f>
        <v>1114.3544999999999</v>
      </c>
      <c r="W50" s="19">
        <f ca="1">IF($A50-W$3&lt;2,0,OFFSET('FPSO1 Base'!W47,-'FPSO1 Otim'!W$3,0))</f>
        <v>613.13699999999994</v>
      </c>
      <c r="X50" s="19">
        <f ca="1">IF($A50-X$3&lt;2,0,OFFSET('FPSO1 Base'!X47,-'FPSO1 Otim'!X$3,0))</f>
        <v>1417.0409999999999</v>
      </c>
      <c r="Y50" s="19">
        <f ca="1">IF($A50-Y$3&lt;2,0,OFFSET('FPSO1 Base'!Y47,-'FPSO1 Otim'!Y$3,0))</f>
        <v>647.28150000000005</v>
      </c>
      <c r="Z50" s="19">
        <f ca="1">IF($A50-Z$3&lt;2,0,OFFSET('FPSO1 Base'!Z47,-'FPSO1 Otim'!Z$3,0))</f>
        <v>0</v>
      </c>
      <c r="AA50" s="20">
        <v>15000</v>
      </c>
      <c r="AB50" s="19">
        <f ca="1">SUM(C50:Z50)</f>
        <v>14289.18</v>
      </c>
      <c r="AC50" s="20">
        <f ca="1">AA50-AB50</f>
        <v>710.81999999999971</v>
      </c>
      <c r="AD50" s="19">
        <f t="shared" ca="1" si="4"/>
        <v>9918.0396284065646</v>
      </c>
    </row>
    <row r="51" spans="1:30" x14ac:dyDescent="0.25">
      <c r="A51" s="19">
        <v>47</v>
      </c>
      <c r="B51" s="31">
        <v>47027</v>
      </c>
      <c r="C51" s="19">
        <f ca="1">IF($A51-C$3&lt;2,0,OFFSET('FPSO1 Base'!C48,-'FPSO1 Otim'!C$3,0))</f>
        <v>1700.7195000000002</v>
      </c>
      <c r="D51" s="19">
        <f ca="1">IF($A51-D$3&lt;2,0,OFFSET('FPSO1 Base'!D48,-'FPSO1 Otim'!D$3,0))</f>
        <v>0</v>
      </c>
      <c r="E51" s="19">
        <f ca="1">IF($A51-E$3&lt;2,0,OFFSET('FPSO1 Base'!E48,-'FPSO1 Otim'!E$3,0))</f>
        <v>818.24099999999999</v>
      </c>
      <c r="F51" s="19">
        <f ca="1">IF($A51-F$3&lt;2,0,OFFSET('FPSO1 Base'!F48,-'FPSO1 Otim'!F$3,0))</f>
        <v>1303.1370000000002</v>
      </c>
      <c r="G51" s="19">
        <f ca="1">IF($A51-G$3&lt;2,0,OFFSET('FPSO1 Base'!G48,-'FPSO1 Otim'!G$3,0))</f>
        <v>496.10699999999997</v>
      </c>
      <c r="H51" s="19">
        <f ca="1">IF($A51-H$3&lt;2,0,OFFSET('FPSO1 Base'!H48,-'FPSO1 Otim'!H$3,0))</f>
        <v>0</v>
      </c>
      <c r="I51" s="19">
        <f ca="1">IF($A51-I$3&lt;2,0,OFFSET('FPSO1 Base'!I48,-'FPSO1 Otim'!I$3,0))</f>
        <v>0</v>
      </c>
      <c r="J51" s="19">
        <f ca="1">IF($A51-J$3&lt;2,0,OFFSET('FPSO1 Base'!J48,-'FPSO1 Otim'!J$3,0))</f>
        <v>0</v>
      </c>
      <c r="K51" s="19">
        <f ca="1">IF($A51-K$3&lt;2,0,OFFSET('FPSO1 Base'!K48,-'FPSO1 Otim'!K$3,0))</f>
        <v>644.64300000000003</v>
      </c>
      <c r="L51" s="19">
        <f ca="1">IF($A51-L$3&lt;2,0,OFFSET('FPSO1 Base'!L48,-'FPSO1 Otim'!L$3,0))</f>
        <v>1456.0830000000001</v>
      </c>
      <c r="M51" s="19">
        <f ca="1">IF($A51-M$3&lt;2,0,OFFSET('FPSO1 Base'!M48,-'FPSO1 Otim'!M$3,0))</f>
        <v>982.23450000000003</v>
      </c>
      <c r="N51" s="19">
        <f ca="1">IF($A51-N$3&lt;2,0,OFFSET('FPSO1 Base'!N48,-'FPSO1 Otim'!N$3,0))</f>
        <v>265.137</v>
      </c>
      <c r="O51" s="19">
        <f ca="1">IF($A51-O$3&lt;2,0,OFFSET('FPSO1 Base'!O48,-'FPSO1 Otim'!O$3,0))</f>
        <v>0</v>
      </c>
      <c r="P51" s="19">
        <f ca="1">IF($A51-P$3&lt;2,0,OFFSET('FPSO1 Base'!P48,-'FPSO1 Otim'!P$3,0))</f>
        <v>391.5</v>
      </c>
      <c r="Q51" s="19">
        <f ca="1">IF($A51-Q$3&lt;2,0,OFFSET('FPSO1 Base'!Q48,-'FPSO1 Otim'!Q$3,0))</f>
        <v>514.3934999999999</v>
      </c>
      <c r="R51" s="19">
        <f ca="1">IF($A51-R$3&lt;2,0,OFFSET('FPSO1 Base'!R48,-'FPSO1 Otim'!R$3,0))</f>
        <v>0</v>
      </c>
      <c r="S51" s="19">
        <f ca="1">IF($A51-S$3&lt;2,0,OFFSET('FPSO1 Base'!S48,-'FPSO1 Otim'!S$3,0))</f>
        <v>0</v>
      </c>
      <c r="T51" s="19">
        <f ca="1">IF($A51-T$3&lt;2,0,OFFSET('FPSO1 Base'!T48,-'FPSO1 Otim'!T$3,0))</f>
        <v>895.41599999999994</v>
      </c>
      <c r="U51" s="19">
        <f ca="1">IF($A51-U$3&lt;2,0,OFFSET('FPSO1 Base'!U48,-'FPSO1 Otim'!U$3,0))</f>
        <v>961.07400000000007</v>
      </c>
      <c r="V51" s="19">
        <f ca="1">IF($A51-V$3&lt;2,0,OFFSET('FPSO1 Base'!V48,-'FPSO1 Otim'!V$3,0))</f>
        <v>1114.1610000000001</v>
      </c>
      <c r="W51" s="19">
        <f ca="1">IF($A51-W$3&lt;2,0,OFFSET('FPSO1 Base'!W48,-'FPSO1 Otim'!W$3,0))</f>
        <v>611.87549999999999</v>
      </c>
      <c r="X51" s="19">
        <f ca="1">IF($A51-X$3&lt;2,0,OFFSET('FPSO1 Base'!X48,-'FPSO1 Otim'!X$3,0))</f>
        <v>1412.9250000000002</v>
      </c>
      <c r="Y51" s="19">
        <f ca="1">IF($A51-Y$3&lt;2,0,OFFSET('FPSO1 Base'!Y48,-'FPSO1 Otim'!Y$3,0))</f>
        <v>645.38400000000001</v>
      </c>
      <c r="Z51" s="19">
        <f ca="1">IF($A51-Z$3&lt;2,0,OFFSET('FPSO1 Base'!Z48,-'FPSO1 Otim'!Z$3,0))</f>
        <v>0</v>
      </c>
      <c r="AA51" s="20">
        <v>15000</v>
      </c>
      <c r="AB51" s="19">
        <f ca="1">SUM(C51:Z51)</f>
        <v>14213.031000000001</v>
      </c>
      <c r="AC51" s="20">
        <f ca="1">AA51-AB51</f>
        <v>786.96899999999914</v>
      </c>
      <c r="AD51" s="19">
        <f t="shared" ca="1" si="4"/>
        <v>9783.6545801201573</v>
      </c>
    </row>
    <row r="52" spans="1:30" x14ac:dyDescent="0.25">
      <c r="A52" s="19">
        <v>48</v>
      </c>
      <c r="B52" s="31">
        <v>47058</v>
      </c>
      <c r="C52" s="19">
        <f ca="1">IF($A52-C$3&lt;2,0,OFFSET('FPSO1 Base'!C49,-'FPSO1 Otim'!C$3,0))</f>
        <v>1700.598</v>
      </c>
      <c r="D52" s="19">
        <f ca="1">IF($A52-D$3&lt;2,0,OFFSET('FPSO1 Base'!D49,-'FPSO1 Otim'!D$3,0))</f>
        <v>0</v>
      </c>
      <c r="E52" s="19">
        <f ca="1">IF($A52-E$3&lt;2,0,OFFSET('FPSO1 Base'!E49,-'FPSO1 Otim'!E$3,0))</f>
        <v>813.90449999999987</v>
      </c>
      <c r="F52" s="19">
        <f ca="1">IF($A52-F$3&lt;2,0,OFFSET('FPSO1 Base'!F49,-'FPSO1 Otim'!F$3,0))</f>
        <v>1293.4559999999999</v>
      </c>
      <c r="G52" s="19">
        <f ca="1">IF($A52-G$3&lt;2,0,OFFSET('FPSO1 Base'!G49,-'FPSO1 Otim'!G$3,0))</f>
        <v>484.32</v>
      </c>
      <c r="H52" s="19">
        <f ca="1">IF($A52-H$3&lt;2,0,OFFSET('FPSO1 Base'!H49,-'FPSO1 Otim'!H$3,0))</f>
        <v>0</v>
      </c>
      <c r="I52" s="19">
        <f ca="1">IF($A52-I$3&lt;2,0,OFFSET('FPSO1 Base'!I49,-'FPSO1 Otim'!I$3,0))</f>
        <v>0</v>
      </c>
      <c r="J52" s="19">
        <f ca="1">IF($A52-J$3&lt;2,0,OFFSET('FPSO1 Base'!J49,-'FPSO1 Otim'!J$3,0))</f>
        <v>0</v>
      </c>
      <c r="K52" s="19">
        <f ca="1">IF($A52-K$3&lt;2,0,OFFSET('FPSO1 Base'!K49,-'FPSO1 Otim'!K$3,0))</f>
        <v>641.56200000000001</v>
      </c>
      <c r="L52" s="19">
        <f ca="1">IF($A52-L$3&lt;2,0,OFFSET('FPSO1 Base'!L49,-'FPSO1 Otim'!L$3,0))</f>
        <v>1437.1605</v>
      </c>
      <c r="M52" s="19">
        <f ca="1">IF($A52-M$3&lt;2,0,OFFSET('FPSO1 Base'!M49,-'FPSO1 Otim'!M$3,0))</f>
        <v>976.55550000000005</v>
      </c>
      <c r="N52" s="19">
        <f ca="1">IF($A52-N$3&lt;2,0,OFFSET('FPSO1 Base'!N49,-'FPSO1 Otim'!N$3,0))</f>
        <v>257.51250000000005</v>
      </c>
      <c r="O52" s="19">
        <f ca="1">IF($A52-O$3&lt;2,0,OFFSET('FPSO1 Base'!O49,-'FPSO1 Otim'!O$3,0))</f>
        <v>0</v>
      </c>
      <c r="P52" s="19">
        <f ca="1">IF($A52-P$3&lt;2,0,OFFSET('FPSO1 Base'!P49,-'FPSO1 Otim'!P$3,0))</f>
        <v>389.51550000000003</v>
      </c>
      <c r="Q52" s="19">
        <f ca="1">IF($A52-Q$3&lt;2,0,OFFSET('FPSO1 Base'!Q49,-'FPSO1 Otim'!Q$3,0))</f>
        <v>512.38350000000003</v>
      </c>
      <c r="R52" s="19">
        <f ca="1">IF($A52-R$3&lt;2,0,OFFSET('FPSO1 Base'!R49,-'FPSO1 Otim'!R$3,0))</f>
        <v>0</v>
      </c>
      <c r="S52" s="19">
        <f ca="1">IF($A52-S$3&lt;2,0,OFFSET('FPSO1 Base'!S49,-'FPSO1 Otim'!S$3,0))</f>
        <v>0</v>
      </c>
      <c r="T52" s="19">
        <f ca="1">IF($A52-T$3&lt;2,0,OFFSET('FPSO1 Base'!T49,-'FPSO1 Otim'!T$3,0))</f>
        <v>884.08800000000008</v>
      </c>
      <c r="U52" s="19">
        <f ca="1">IF($A52-U$3&lt;2,0,OFFSET('FPSO1 Base'!U49,-'FPSO1 Otim'!U$3,0))</f>
        <v>953.54099999999994</v>
      </c>
      <c r="V52" s="19">
        <f ca="1">IF($A52-V$3&lt;2,0,OFFSET('FPSO1 Base'!V49,-'FPSO1 Otim'!V$3,0))</f>
        <v>1113.8505</v>
      </c>
      <c r="W52" s="19">
        <f ca="1">IF($A52-W$3&lt;2,0,OFFSET('FPSO1 Base'!W49,-'FPSO1 Otim'!W$3,0))</f>
        <v>610.548</v>
      </c>
      <c r="X52" s="19">
        <f ca="1">IF($A52-X$3&lt;2,0,OFFSET('FPSO1 Base'!X49,-'FPSO1 Otim'!X$3,0))</f>
        <v>1409.0805</v>
      </c>
      <c r="Y52" s="19">
        <f ca="1">IF($A52-Y$3&lt;2,0,OFFSET('FPSO1 Base'!Y49,-'FPSO1 Otim'!Y$3,0))</f>
        <v>643.33799999999997</v>
      </c>
      <c r="Z52" s="19">
        <f ca="1">IF($A52-Z$3&lt;2,0,OFFSET('FPSO1 Base'!Z49,-'FPSO1 Otim'!Z$3,0))</f>
        <v>0</v>
      </c>
      <c r="AA52" s="20">
        <v>15000</v>
      </c>
      <c r="AB52" s="19">
        <f t="shared" ca="1" si="2"/>
        <v>14121.414000000001</v>
      </c>
      <c r="AC52" s="20">
        <f t="shared" ca="1" si="3"/>
        <v>878.58599999999933</v>
      </c>
      <c r="AD52" s="19">
        <f t="shared" ca="1" si="4"/>
        <v>9640.2538302861085</v>
      </c>
    </row>
    <row r="53" spans="1:30" x14ac:dyDescent="0.25">
      <c r="A53" s="19">
        <v>49</v>
      </c>
      <c r="B53" s="31">
        <v>47088</v>
      </c>
      <c r="C53" s="19">
        <f ca="1">IF($A53-C$3&lt;2,0,OFFSET('FPSO1 Base'!C50,-'FPSO1 Otim'!C$3,0))</f>
        <v>1700.4584999999997</v>
      </c>
      <c r="D53" s="19">
        <f ca="1">IF($A53-D$3&lt;2,0,OFFSET('FPSO1 Base'!D50,-'FPSO1 Otim'!D$3,0))</f>
        <v>0</v>
      </c>
      <c r="E53" s="19">
        <f ca="1">IF($A53-E$3&lt;2,0,OFFSET('FPSO1 Base'!E50,-'FPSO1 Otim'!E$3,0))</f>
        <v>810.48450000000003</v>
      </c>
      <c r="F53" s="19">
        <f ca="1">IF($A53-F$3&lt;2,0,OFFSET('FPSO1 Base'!F50,-'FPSO1 Otim'!F$3,0))</f>
        <v>1288.6275000000001</v>
      </c>
      <c r="G53" s="19">
        <f ca="1">IF($A53-G$3&lt;2,0,OFFSET('FPSO1 Base'!G50,-'FPSO1 Otim'!G$3,0))</f>
        <v>476.08350000000002</v>
      </c>
      <c r="H53" s="19">
        <f ca="1">IF($A53-H$3&lt;2,0,OFFSET('FPSO1 Base'!H50,-'FPSO1 Otim'!H$3,0))</f>
        <v>0</v>
      </c>
      <c r="I53" s="19">
        <f ca="1">IF($A53-I$3&lt;2,0,OFFSET('FPSO1 Base'!I50,-'FPSO1 Otim'!I$3,0))</f>
        <v>0</v>
      </c>
      <c r="J53" s="19">
        <f ca="1">IF($A53-J$3&lt;2,0,OFFSET('FPSO1 Base'!J50,-'FPSO1 Otim'!J$3,0))</f>
        <v>0</v>
      </c>
      <c r="K53" s="19">
        <f ca="1">IF($A53-K$3&lt;2,0,OFFSET('FPSO1 Base'!K50,-'FPSO1 Otim'!K$3,0))</f>
        <v>638.41800000000001</v>
      </c>
      <c r="L53" s="19">
        <f ca="1">IF($A53-L$3&lt;2,0,OFFSET('FPSO1 Base'!L50,-'FPSO1 Otim'!L$3,0))</f>
        <v>1413.0674999999999</v>
      </c>
      <c r="M53" s="19">
        <f ca="1">IF($A53-M$3&lt;2,0,OFFSET('FPSO1 Base'!M50,-'FPSO1 Otim'!M$3,0))</f>
        <v>971.58299999999997</v>
      </c>
      <c r="N53" s="19">
        <f ca="1">IF($A53-N$3&lt;2,0,OFFSET('FPSO1 Base'!N50,-'FPSO1 Otim'!N$3,0))</f>
        <v>252.2415</v>
      </c>
      <c r="O53" s="19">
        <f ca="1">IF($A53-O$3&lt;2,0,OFFSET('FPSO1 Base'!O50,-'FPSO1 Otim'!O$3,0))</f>
        <v>0</v>
      </c>
      <c r="P53" s="19">
        <f ca="1">IF($A53-P$3&lt;2,0,OFFSET('FPSO1 Base'!P50,-'FPSO1 Otim'!P$3,0))</f>
        <v>387.32549999999998</v>
      </c>
      <c r="Q53" s="19">
        <f ca="1">IF($A53-Q$3&lt;2,0,OFFSET('FPSO1 Base'!Q50,-'FPSO1 Otim'!Q$3,0))</f>
        <v>510.03749999999997</v>
      </c>
      <c r="R53" s="19">
        <f ca="1">IF($A53-R$3&lt;2,0,OFFSET('FPSO1 Base'!R50,-'FPSO1 Otim'!R$3,0))</f>
        <v>342.25049999999999</v>
      </c>
      <c r="S53" s="19">
        <f ca="1">IF($A53-S$3&lt;2,0,OFFSET('FPSO1 Base'!S50,-'FPSO1 Otim'!S$3,0))</f>
        <v>0</v>
      </c>
      <c r="T53" s="19">
        <f ca="1">IF($A53-T$3&lt;2,0,OFFSET('FPSO1 Base'!T50,-'FPSO1 Otim'!T$3,0))</f>
        <v>874.66350000000011</v>
      </c>
      <c r="U53" s="19">
        <f ca="1">IF($A53-U$3&lt;2,0,OFFSET('FPSO1 Base'!U50,-'FPSO1 Otim'!U$3,0))</f>
        <v>945.11250000000007</v>
      </c>
      <c r="V53" s="19">
        <f ca="1">IF($A53-V$3&lt;2,0,OFFSET('FPSO1 Base'!V50,-'FPSO1 Otim'!V$3,0))</f>
        <v>1113.6779999999999</v>
      </c>
      <c r="W53" s="19">
        <f ca="1">IF($A53-W$3&lt;2,0,OFFSET('FPSO1 Base'!W50,-'FPSO1 Otim'!W$3,0))</f>
        <v>609.12149999999997</v>
      </c>
      <c r="X53" s="19">
        <f ca="1">IF($A53-X$3&lt;2,0,OFFSET('FPSO1 Base'!X50,-'FPSO1 Otim'!X$3,0))</f>
        <v>1404.9254999999998</v>
      </c>
      <c r="Y53" s="19">
        <f ca="1">IF($A53-Y$3&lt;2,0,OFFSET('FPSO1 Base'!Y50,-'FPSO1 Otim'!Y$3,0))</f>
        <v>641.45849999999996</v>
      </c>
      <c r="Z53" s="19">
        <f ca="1">IF($A53-Z$3&lt;2,0,OFFSET('FPSO1 Base'!Z50,-'FPSO1 Otim'!Z$3,0))</f>
        <v>0</v>
      </c>
      <c r="AA53" s="20">
        <v>15000</v>
      </c>
      <c r="AB53" s="19">
        <f t="shared" ca="1" si="2"/>
        <v>14379.536999999998</v>
      </c>
      <c r="AC53" s="20">
        <f t="shared" ca="1" si="3"/>
        <v>620.46300000000156</v>
      </c>
      <c r="AD53" s="19">
        <f t="shared" ca="1" si="4"/>
        <v>9735.3386199828201</v>
      </c>
    </row>
    <row r="54" spans="1:30" x14ac:dyDescent="0.25">
      <c r="A54" s="19">
        <v>50</v>
      </c>
      <c r="B54" s="31">
        <v>47119</v>
      </c>
      <c r="C54" s="19">
        <f ca="1">IF($A54-C$3&lt;2,0,OFFSET('FPSO1 Base'!C51,-'FPSO1 Otim'!C$3,0))</f>
        <v>1689.5325</v>
      </c>
      <c r="D54" s="19">
        <f ca="1">IF($A54-D$3&lt;2,0,OFFSET('FPSO1 Base'!D51,-'FPSO1 Otim'!D$3,0))</f>
        <v>0</v>
      </c>
      <c r="E54" s="19">
        <f ca="1">IF($A54-E$3&lt;2,0,OFFSET('FPSO1 Base'!E51,-'FPSO1 Otim'!E$3,0))</f>
        <v>806.55599999999993</v>
      </c>
      <c r="F54" s="19">
        <f ca="1">IF($A54-F$3&lt;2,0,OFFSET('FPSO1 Base'!F51,-'FPSO1 Otim'!F$3,0))</f>
        <v>1277.8004999999998</v>
      </c>
      <c r="G54" s="19">
        <f ca="1">IF($A54-G$3&lt;2,0,OFFSET('FPSO1 Base'!G51,-'FPSO1 Otim'!G$3,0))</f>
        <v>469.66800000000001</v>
      </c>
      <c r="H54" s="19">
        <f ca="1">IF($A54-H$3&lt;2,0,OFFSET('FPSO1 Base'!H51,-'FPSO1 Otim'!H$3,0))</f>
        <v>0</v>
      </c>
      <c r="I54" s="19">
        <f ca="1">IF($A54-I$3&lt;2,0,OFFSET('FPSO1 Base'!I51,-'FPSO1 Otim'!I$3,0))</f>
        <v>0</v>
      </c>
      <c r="J54" s="19">
        <f ca="1">IF($A54-J$3&lt;2,0,OFFSET('FPSO1 Base'!J51,-'FPSO1 Otim'!J$3,0))</f>
        <v>0</v>
      </c>
      <c r="K54" s="19">
        <f ca="1">IF($A54-K$3&lt;2,0,OFFSET('FPSO1 Base'!K51,-'FPSO1 Otim'!K$3,0))</f>
        <v>635.65800000000002</v>
      </c>
      <c r="L54" s="19">
        <f ca="1">IF($A54-L$3&lt;2,0,OFFSET('FPSO1 Base'!L51,-'FPSO1 Otim'!L$3,0))</f>
        <v>1392.798</v>
      </c>
      <c r="M54" s="19">
        <f ca="1">IF($A54-M$3&lt;2,0,OFFSET('FPSO1 Base'!M51,-'FPSO1 Otim'!M$3,0))</f>
        <v>966.2940000000001</v>
      </c>
      <c r="N54" s="19">
        <f ca="1">IF($A54-N$3&lt;2,0,OFFSET('FPSO1 Base'!N51,-'FPSO1 Otim'!N$3,0))</f>
        <v>247.15049999999999</v>
      </c>
      <c r="O54" s="19">
        <f ca="1">IF($A54-O$3&lt;2,0,OFFSET('FPSO1 Base'!O51,-'FPSO1 Otim'!O$3,0))</f>
        <v>0</v>
      </c>
      <c r="P54" s="19">
        <f ca="1">IF($A54-P$3&lt;2,0,OFFSET('FPSO1 Base'!P51,-'FPSO1 Otim'!P$3,0))</f>
        <v>383.51549999999997</v>
      </c>
      <c r="Q54" s="19">
        <f ca="1">IF($A54-Q$3&lt;2,0,OFFSET('FPSO1 Base'!Q51,-'FPSO1 Otim'!Q$3,0))</f>
        <v>507.94350000000003</v>
      </c>
      <c r="R54" s="19">
        <f ca="1">IF($A54-R$3&lt;2,0,OFFSET('FPSO1 Base'!R51,-'FPSO1 Otim'!R$3,0))</f>
        <v>1023.9435000000001</v>
      </c>
      <c r="S54" s="19">
        <f ca="1">IF($A54-S$3&lt;2,0,OFFSET('FPSO1 Base'!S51,-'FPSO1 Otim'!S$3,0))</f>
        <v>0</v>
      </c>
      <c r="T54" s="19">
        <f ca="1">IF($A54-T$3&lt;2,0,OFFSET('FPSO1 Base'!T51,-'FPSO1 Otim'!T$3,0))</f>
        <v>864.33750000000009</v>
      </c>
      <c r="U54" s="19">
        <f ca="1">IF($A54-U$3&lt;2,0,OFFSET('FPSO1 Base'!U51,-'FPSO1 Otim'!U$3,0))</f>
        <v>937.452</v>
      </c>
      <c r="V54" s="19">
        <f ca="1">IF($A54-V$3&lt;2,0,OFFSET('FPSO1 Base'!V51,-'FPSO1 Otim'!V$3,0))</f>
        <v>1113.3494999999998</v>
      </c>
      <c r="W54" s="19">
        <f ca="1">IF($A54-W$3&lt;2,0,OFFSET('FPSO1 Base'!W51,-'FPSO1 Otim'!W$3,0))</f>
        <v>607.48800000000006</v>
      </c>
      <c r="X54" s="19">
        <f ca="1">IF($A54-X$3&lt;2,0,OFFSET('FPSO1 Base'!X51,-'FPSO1 Otim'!X$3,0))</f>
        <v>1391.3835000000001</v>
      </c>
      <c r="Y54" s="19">
        <f ca="1">IF($A54-Y$3&lt;2,0,OFFSET('FPSO1 Base'!Y51,-'FPSO1 Otim'!Y$3,0))</f>
        <v>639.59249999999997</v>
      </c>
      <c r="Z54" s="19">
        <f ca="1">IF($A54-Z$3&lt;2,0,OFFSET('FPSO1 Base'!Z51,-'FPSO1 Otim'!Z$3,0))</f>
        <v>0</v>
      </c>
      <c r="AA54" s="20">
        <v>15000</v>
      </c>
      <c r="AB54" s="19">
        <f t="shared" ca="1" si="2"/>
        <v>14954.462999999998</v>
      </c>
      <c r="AC54" s="20">
        <f t="shared" ca="1" si="3"/>
        <v>45.537000000002081</v>
      </c>
      <c r="AD54" s="19">
        <f t="shared" ca="1" si="4"/>
        <v>10040.904989609497</v>
      </c>
    </row>
    <row r="55" spans="1:30" x14ac:dyDescent="0.25">
      <c r="A55" s="19">
        <v>51</v>
      </c>
      <c r="B55" s="31">
        <v>47150</v>
      </c>
      <c r="C55" s="19">
        <f ca="1">IF($A55-C$3&lt;2,0,OFFSET('FPSO1 Base'!C52,-'FPSO1 Otim'!C$3,0))</f>
        <v>1689.4094999999998</v>
      </c>
      <c r="D55" s="19">
        <f ca="1">IF($A55-D$3&lt;2,0,OFFSET('FPSO1 Base'!D52,-'FPSO1 Otim'!D$3,0))</f>
        <v>0</v>
      </c>
      <c r="E55" s="19">
        <f ca="1">IF($A55-E$3&lt;2,0,OFFSET('FPSO1 Base'!E52,-'FPSO1 Otim'!E$3,0))</f>
        <v>803.02649999999994</v>
      </c>
      <c r="F55" s="19">
        <f ca="1">IF($A55-F$3&lt;2,0,OFFSET('FPSO1 Base'!F52,-'FPSO1 Otim'!F$3,0))</f>
        <v>1269.297</v>
      </c>
      <c r="G55" s="19">
        <f ca="1">IF($A55-G$3&lt;2,0,OFFSET('FPSO1 Base'!G52,-'FPSO1 Otim'!G$3,0))</f>
        <v>465.09449999999998</v>
      </c>
      <c r="H55" s="19">
        <f ca="1">IF($A55-H$3&lt;2,0,OFFSET('FPSO1 Base'!H52,-'FPSO1 Otim'!H$3,0))</f>
        <v>0</v>
      </c>
      <c r="I55" s="19">
        <f ca="1">IF($A55-I$3&lt;2,0,OFFSET('FPSO1 Base'!I52,-'FPSO1 Otim'!I$3,0))</f>
        <v>0</v>
      </c>
      <c r="J55" s="19">
        <f ca="1">IF($A55-J$3&lt;2,0,OFFSET('FPSO1 Base'!J52,-'FPSO1 Otim'!J$3,0))</f>
        <v>0</v>
      </c>
      <c r="K55" s="19">
        <f ca="1">IF($A55-K$3&lt;2,0,OFFSET('FPSO1 Base'!K52,-'FPSO1 Otim'!K$3,0))</f>
        <v>632.74950000000001</v>
      </c>
      <c r="L55" s="19">
        <f ca="1">IF($A55-L$3&lt;2,0,OFFSET('FPSO1 Base'!L52,-'FPSO1 Otim'!L$3,0))</f>
        <v>1368.6089999999999</v>
      </c>
      <c r="M55" s="19">
        <f ca="1">IF($A55-M$3&lt;2,0,OFFSET('FPSO1 Base'!M52,-'FPSO1 Otim'!M$3,0))</f>
        <v>956.80049999999994</v>
      </c>
      <c r="N55" s="19">
        <f ca="1">IF($A55-N$3&lt;2,0,OFFSET('FPSO1 Base'!N52,-'FPSO1 Otim'!N$3,0))</f>
        <v>240.06</v>
      </c>
      <c r="O55" s="19">
        <f ca="1">IF($A55-O$3&lt;2,0,OFFSET('FPSO1 Base'!O52,-'FPSO1 Otim'!O$3,0))</f>
        <v>0</v>
      </c>
      <c r="P55" s="19">
        <f ca="1">IF($A55-P$3&lt;2,0,OFFSET('FPSO1 Base'!P52,-'FPSO1 Otim'!P$3,0))</f>
        <v>381.48450000000003</v>
      </c>
      <c r="Q55" s="19">
        <f ca="1">IF($A55-Q$3&lt;2,0,OFFSET('FPSO1 Base'!Q52,-'FPSO1 Otim'!Q$3,0))</f>
        <v>505.6875</v>
      </c>
      <c r="R55" s="19">
        <f ca="1">IF($A55-R$3&lt;2,0,OFFSET('FPSO1 Base'!R52,-'FPSO1 Otim'!R$3,0))</f>
        <v>952.39949999999999</v>
      </c>
      <c r="S55" s="19">
        <f ca="1">IF($A55-S$3&lt;2,0,OFFSET('FPSO1 Base'!S52,-'FPSO1 Otim'!S$3,0))</f>
        <v>0</v>
      </c>
      <c r="T55" s="19">
        <f ca="1">IF($A55-T$3&lt;2,0,OFFSET('FPSO1 Base'!T52,-'FPSO1 Otim'!T$3,0))</f>
        <v>855.27150000000006</v>
      </c>
      <c r="U55" s="19">
        <f ca="1">IF($A55-U$3&lt;2,0,OFFSET('FPSO1 Base'!U52,-'FPSO1 Otim'!U$3,0))</f>
        <v>929.23799999999994</v>
      </c>
      <c r="V55" s="19">
        <f ca="1">IF($A55-V$3&lt;2,0,OFFSET('FPSO1 Base'!V52,-'FPSO1 Otim'!V$3,0))</f>
        <v>1115.8064999999999</v>
      </c>
      <c r="W55" s="19">
        <f ca="1">IF($A55-W$3&lt;2,0,OFFSET('FPSO1 Base'!W52,-'FPSO1 Otim'!W$3,0))</f>
        <v>604.803</v>
      </c>
      <c r="X55" s="19">
        <f ca="1">IF($A55-X$3&lt;2,0,OFFSET('FPSO1 Base'!X52,-'FPSO1 Otim'!X$3,0))</f>
        <v>1386.81</v>
      </c>
      <c r="Y55" s="19">
        <f ca="1">IF($A55-Y$3&lt;2,0,OFFSET('FPSO1 Base'!Y52,-'FPSO1 Otim'!Y$3,0))</f>
        <v>637.65899999999999</v>
      </c>
      <c r="Z55" s="19">
        <f ca="1">IF($A55-Z$3&lt;2,0,OFFSET('FPSO1 Base'!Z52,-'FPSO1 Otim'!Z$3,0))</f>
        <v>0</v>
      </c>
      <c r="AA55" s="20">
        <v>15000</v>
      </c>
      <c r="AB55" s="19">
        <f t="shared" ca="1" si="2"/>
        <v>14794.206</v>
      </c>
      <c r="AC55" s="20">
        <f t="shared" ca="1" si="3"/>
        <v>205.79399999999987</v>
      </c>
      <c r="AD55" s="19">
        <f t="shared" ca="1" si="4"/>
        <v>9851.209895908496</v>
      </c>
    </row>
    <row r="56" spans="1:30" x14ac:dyDescent="0.25">
      <c r="A56" s="19">
        <v>52</v>
      </c>
      <c r="B56" s="31">
        <v>47178</v>
      </c>
      <c r="C56" s="19">
        <f ca="1">IF($A56-C$3&lt;2,0,OFFSET('FPSO1 Base'!C53,-'FPSO1 Otim'!C$3,0))</f>
        <v>1689.2655</v>
      </c>
      <c r="D56" s="19">
        <f ca="1">IF($A56-D$3&lt;2,0,OFFSET('FPSO1 Base'!D53,-'FPSO1 Otim'!D$3,0))</f>
        <v>0</v>
      </c>
      <c r="E56" s="19">
        <f ca="1">IF($A56-E$3&lt;2,0,OFFSET('FPSO1 Base'!E53,-'FPSO1 Otim'!E$3,0))</f>
        <v>799.28699999999992</v>
      </c>
      <c r="F56" s="19">
        <f ca="1">IF($A56-F$3&lt;2,0,OFFSET('FPSO1 Base'!F53,-'FPSO1 Otim'!F$3,0))</f>
        <v>1260.8039999999999</v>
      </c>
      <c r="G56" s="19">
        <f ca="1">IF($A56-G$3&lt;2,0,OFFSET('FPSO1 Base'!G53,-'FPSO1 Otim'!G$3,0))</f>
        <v>461.13900000000001</v>
      </c>
      <c r="H56" s="19">
        <f ca="1">IF($A56-H$3&lt;2,0,OFFSET('FPSO1 Base'!H53,-'FPSO1 Otim'!H$3,0))</f>
        <v>0</v>
      </c>
      <c r="I56" s="19">
        <f ca="1">IF($A56-I$3&lt;2,0,OFFSET('FPSO1 Base'!I53,-'FPSO1 Otim'!I$3,0))</f>
        <v>0</v>
      </c>
      <c r="J56" s="19">
        <f ca="1">IF($A56-J$3&lt;2,0,OFFSET('FPSO1 Base'!J53,-'FPSO1 Otim'!J$3,0))</f>
        <v>0</v>
      </c>
      <c r="K56" s="19">
        <f ca="1">IF($A56-K$3&lt;2,0,OFFSET('FPSO1 Base'!K53,-'FPSO1 Otim'!K$3,0))</f>
        <v>626.94299999999998</v>
      </c>
      <c r="L56" s="19">
        <f ca="1">IF($A56-L$3&lt;2,0,OFFSET('FPSO1 Base'!L53,-'FPSO1 Otim'!L$3,0))</f>
        <v>1346.289</v>
      </c>
      <c r="M56" s="19">
        <f ca="1">IF($A56-M$3&lt;2,0,OFFSET('FPSO1 Base'!M53,-'FPSO1 Otim'!M$3,0))</f>
        <v>951.72600000000011</v>
      </c>
      <c r="N56" s="19">
        <f ca="1">IF($A56-N$3&lt;2,0,OFFSET('FPSO1 Base'!N53,-'FPSO1 Otim'!N$3,0))</f>
        <v>235.791</v>
      </c>
      <c r="O56" s="19">
        <f ca="1">IF($A56-O$3&lt;2,0,OFFSET('FPSO1 Base'!O53,-'FPSO1 Otim'!O$3,0))</f>
        <v>0</v>
      </c>
      <c r="P56" s="19">
        <f ca="1">IF($A56-P$3&lt;2,0,OFFSET('FPSO1 Base'!P53,-'FPSO1 Otim'!P$3,0))</f>
        <v>379.42200000000003</v>
      </c>
      <c r="Q56" s="19">
        <f ca="1">IF($A56-Q$3&lt;2,0,OFFSET('FPSO1 Base'!Q53,-'FPSO1 Otim'!Q$3,0))</f>
        <v>503.577</v>
      </c>
      <c r="R56" s="19">
        <f ca="1">IF($A56-R$3&lt;2,0,OFFSET('FPSO1 Base'!R53,-'FPSO1 Otim'!R$3,0))</f>
        <v>874.33049999999992</v>
      </c>
      <c r="S56" s="19">
        <f ca="1">IF($A56-S$3&lt;2,0,OFFSET('FPSO1 Base'!S53,-'FPSO1 Otim'!S$3,0))</f>
        <v>0</v>
      </c>
      <c r="T56" s="19">
        <f ca="1">IF($A56-T$3&lt;2,0,OFFSET('FPSO1 Base'!T53,-'FPSO1 Otim'!T$3,0))</f>
        <v>845.76900000000001</v>
      </c>
      <c r="U56" s="19">
        <f ca="1">IF($A56-U$3&lt;2,0,OFFSET('FPSO1 Base'!U53,-'FPSO1 Otim'!U$3,0))</f>
        <v>921.59249999999997</v>
      </c>
      <c r="V56" s="19">
        <f ca="1">IF($A56-V$3&lt;2,0,OFFSET('FPSO1 Base'!V53,-'FPSO1 Otim'!V$3,0))</f>
        <v>1115.5155</v>
      </c>
      <c r="W56" s="19">
        <f ca="1">IF($A56-W$3&lt;2,0,OFFSET('FPSO1 Base'!W53,-'FPSO1 Otim'!W$3,0))</f>
        <v>581.52449999999999</v>
      </c>
      <c r="X56" s="19">
        <f ca="1">IF($A56-X$3&lt;2,0,OFFSET('FPSO1 Base'!X53,-'FPSO1 Otim'!X$3,0))</f>
        <v>1383.402</v>
      </c>
      <c r="Y56" s="19">
        <f ca="1">IF($A56-Y$3&lt;2,0,OFFSET('FPSO1 Base'!Y53,-'FPSO1 Otim'!Y$3,0))</f>
        <v>635.92200000000003</v>
      </c>
      <c r="Z56" s="19">
        <f ca="1">IF($A56-Z$3&lt;2,0,OFFSET('FPSO1 Base'!Z53,-'FPSO1 Otim'!Z$3,0))</f>
        <v>0</v>
      </c>
      <c r="AA56" s="20">
        <v>15000</v>
      </c>
      <c r="AB56" s="19">
        <f t="shared" ca="1" si="2"/>
        <v>14612.299499999999</v>
      </c>
      <c r="AC56" s="20">
        <f t="shared" ca="1" si="3"/>
        <v>387.70050000000083</v>
      </c>
      <c r="AD56" s="19">
        <f t="shared" ca="1" si="4"/>
        <v>9649.6675582975295</v>
      </c>
    </row>
    <row r="57" spans="1:30" x14ac:dyDescent="0.25">
      <c r="A57" s="19">
        <v>53</v>
      </c>
      <c r="B57" s="31">
        <v>47209</v>
      </c>
      <c r="C57" s="19">
        <f ca="1">IF($A57-C$3&lt;2,0,OFFSET('FPSO1 Base'!C54,-'FPSO1 Otim'!C$3,0))</f>
        <v>1689.123</v>
      </c>
      <c r="D57" s="19">
        <f ca="1">IF($A57-D$3&lt;2,0,OFFSET('FPSO1 Base'!D54,-'FPSO1 Otim'!D$3,0))</f>
        <v>0</v>
      </c>
      <c r="E57" s="19">
        <f ca="1">IF($A57-E$3&lt;2,0,OFFSET('FPSO1 Base'!E54,-'FPSO1 Otim'!E$3,0))</f>
        <v>795.87750000000005</v>
      </c>
      <c r="F57" s="19">
        <f ca="1">IF($A57-F$3&lt;2,0,OFFSET('FPSO1 Base'!F54,-'FPSO1 Otim'!F$3,0))</f>
        <v>1250.2905000000001</v>
      </c>
      <c r="G57" s="19">
        <f ca="1">IF($A57-G$3&lt;2,0,OFFSET('FPSO1 Base'!G54,-'FPSO1 Otim'!G$3,0))</f>
        <v>455.60250000000002</v>
      </c>
      <c r="H57" s="19">
        <f ca="1">IF($A57-H$3&lt;2,0,OFFSET('FPSO1 Base'!H54,-'FPSO1 Otim'!H$3,0))</f>
        <v>0</v>
      </c>
      <c r="I57" s="19">
        <f ca="1">IF($A57-I$3&lt;2,0,OFFSET('FPSO1 Base'!I54,-'FPSO1 Otim'!I$3,0))</f>
        <v>0</v>
      </c>
      <c r="J57" s="19">
        <f ca="1">IF($A57-J$3&lt;2,0,OFFSET('FPSO1 Base'!J54,-'FPSO1 Otim'!J$3,0))</f>
        <v>0</v>
      </c>
      <c r="K57" s="19">
        <f ca="1">IF($A57-K$3&lt;2,0,OFFSET('FPSO1 Base'!K54,-'FPSO1 Otim'!K$3,0))</f>
        <v>624.2115</v>
      </c>
      <c r="L57" s="19">
        <f ca="1">IF($A57-L$3&lt;2,0,OFFSET('FPSO1 Base'!L54,-'FPSO1 Otim'!L$3,0))</f>
        <v>1322.3879999999999</v>
      </c>
      <c r="M57" s="19">
        <f ca="1">IF($A57-M$3&lt;2,0,OFFSET('FPSO1 Base'!M54,-'FPSO1 Otim'!M$3,0))</f>
        <v>946.64850000000001</v>
      </c>
      <c r="N57" s="19">
        <f ca="1">IF($A57-N$3&lt;2,0,OFFSET('FPSO1 Base'!N54,-'FPSO1 Otim'!N$3,0))</f>
        <v>231.21449999999999</v>
      </c>
      <c r="O57" s="19">
        <f ca="1">IF($A57-O$3&lt;2,0,OFFSET('FPSO1 Base'!O54,-'FPSO1 Otim'!O$3,0))</f>
        <v>0</v>
      </c>
      <c r="P57" s="19">
        <f ca="1">IF($A57-P$3&lt;2,0,OFFSET('FPSO1 Base'!P54,-'FPSO1 Otim'!P$3,0))</f>
        <v>377.685</v>
      </c>
      <c r="Q57" s="19">
        <f ca="1">IF($A57-Q$3&lt;2,0,OFFSET('FPSO1 Base'!Q54,-'FPSO1 Otim'!Q$3,0))</f>
        <v>501.53250000000003</v>
      </c>
      <c r="R57" s="19">
        <f ca="1">IF($A57-R$3&lt;2,0,OFFSET('FPSO1 Base'!R54,-'FPSO1 Otim'!R$3,0))</f>
        <v>817.79099999999994</v>
      </c>
      <c r="S57" s="19">
        <f ca="1">IF($A57-S$3&lt;2,0,OFFSET('FPSO1 Base'!S54,-'FPSO1 Otim'!S$3,0))</f>
        <v>0</v>
      </c>
      <c r="T57" s="19">
        <f ca="1">IF($A57-T$3&lt;2,0,OFFSET('FPSO1 Base'!T54,-'FPSO1 Otim'!T$3,0))</f>
        <v>837.1395</v>
      </c>
      <c r="U57" s="19">
        <f ca="1">IF($A57-U$3&lt;2,0,OFFSET('FPSO1 Base'!U54,-'FPSO1 Otim'!U$3,0))</f>
        <v>914.04450000000008</v>
      </c>
      <c r="V57" s="19">
        <f ca="1">IF($A57-V$3&lt;2,0,OFFSET('FPSO1 Base'!V54,-'FPSO1 Otim'!V$3,0))</f>
        <v>1114.7684999999999</v>
      </c>
      <c r="W57" s="19">
        <f ca="1">IF($A57-W$3&lt;2,0,OFFSET('FPSO1 Base'!W54,-'FPSO1 Otim'!W$3,0))</f>
        <v>572.85450000000003</v>
      </c>
      <c r="X57" s="19">
        <f ca="1">IF($A57-X$3&lt;2,0,OFFSET('FPSO1 Base'!X54,-'FPSO1 Otim'!X$3,0))</f>
        <v>1380.7139999999999</v>
      </c>
      <c r="Y57" s="19">
        <f ca="1">IF($A57-Y$3&lt;2,0,OFFSET('FPSO1 Base'!Y54,-'FPSO1 Otim'!Y$3,0))</f>
        <v>634.04700000000003</v>
      </c>
      <c r="Z57" s="19">
        <f ca="1">IF($A57-Z$3&lt;2,0,OFFSET('FPSO1 Base'!Z54,-'FPSO1 Otim'!Z$3,0))</f>
        <v>0</v>
      </c>
      <c r="AA57" s="20">
        <v>15000</v>
      </c>
      <c r="AB57" s="19">
        <f t="shared" ca="1" si="2"/>
        <v>14465.932499999999</v>
      </c>
      <c r="AC57" s="20">
        <f t="shared" ca="1" si="3"/>
        <v>534.06750000000102</v>
      </c>
      <c r="AD57" s="19">
        <f t="shared" ca="1" si="4"/>
        <v>9474.0592529644637</v>
      </c>
    </row>
    <row r="58" spans="1:30" x14ac:dyDescent="0.25">
      <c r="A58" s="19">
        <v>54</v>
      </c>
      <c r="B58" s="31">
        <v>47239</v>
      </c>
      <c r="C58" s="19">
        <f ca="1">IF($A58-C$3&lt;2,0,OFFSET('FPSO1 Base'!C55,-'FPSO1 Otim'!C$3,0))</f>
        <v>1688.9715000000001</v>
      </c>
      <c r="D58" s="19">
        <f ca="1">IF($A58-D$3&lt;2,0,OFFSET('FPSO1 Base'!D55,-'FPSO1 Otim'!D$3,0))</f>
        <v>0</v>
      </c>
      <c r="E58" s="19">
        <f ca="1">IF($A58-E$3&lt;2,0,OFFSET('FPSO1 Base'!E55,-'FPSO1 Otim'!E$3,0))</f>
        <v>792.55049999999994</v>
      </c>
      <c r="F58" s="19">
        <f ca="1">IF($A58-F$3&lt;2,0,OFFSET('FPSO1 Base'!F55,-'FPSO1 Otim'!F$3,0))</f>
        <v>1241.934</v>
      </c>
      <c r="G58" s="19">
        <f ca="1">IF($A58-G$3&lt;2,0,OFFSET('FPSO1 Base'!G55,-'FPSO1 Otim'!G$3,0))</f>
        <v>451.21350000000007</v>
      </c>
      <c r="H58" s="19">
        <f ca="1">IF($A58-H$3&lt;2,0,OFFSET('FPSO1 Base'!H55,-'FPSO1 Otim'!H$3,0))</f>
        <v>0</v>
      </c>
      <c r="I58" s="19">
        <f ca="1">IF($A58-I$3&lt;2,0,OFFSET('FPSO1 Base'!I55,-'FPSO1 Otim'!I$3,0))</f>
        <v>0</v>
      </c>
      <c r="J58" s="19">
        <f ca="1">IF($A58-J$3&lt;2,0,OFFSET('FPSO1 Base'!J55,-'FPSO1 Otim'!J$3,0))</f>
        <v>0</v>
      </c>
      <c r="K58" s="19">
        <f ca="1">IF($A58-K$3&lt;2,0,OFFSET('FPSO1 Base'!K55,-'FPSO1 Otim'!K$3,0))</f>
        <v>621.56850000000009</v>
      </c>
      <c r="L58" s="19">
        <f ca="1">IF($A58-L$3&lt;2,0,OFFSET('FPSO1 Base'!L55,-'FPSO1 Otim'!L$3,0))</f>
        <v>1300.4159999999999</v>
      </c>
      <c r="M58" s="19">
        <f ca="1">IF($A58-M$3&lt;2,0,OFFSET('FPSO1 Base'!M55,-'FPSO1 Otim'!M$3,0))</f>
        <v>942.32100000000014</v>
      </c>
      <c r="N58" s="19">
        <f ca="1">IF($A58-N$3&lt;2,0,OFFSET('FPSO1 Base'!N55,-'FPSO1 Otim'!N$3,0))</f>
        <v>228.5085</v>
      </c>
      <c r="O58" s="19">
        <f ca="1">IF($A58-O$3&lt;2,0,OFFSET('FPSO1 Base'!O55,-'FPSO1 Otim'!O$3,0))</f>
        <v>0</v>
      </c>
      <c r="P58" s="19">
        <f ca="1">IF($A58-P$3&lt;2,0,OFFSET('FPSO1 Base'!P55,-'FPSO1 Otim'!P$3,0))</f>
        <v>375.75</v>
      </c>
      <c r="Q58" s="19">
        <f ca="1">IF($A58-Q$3&lt;2,0,OFFSET('FPSO1 Base'!Q55,-'FPSO1 Otim'!Q$3,0))</f>
        <v>499.43700000000001</v>
      </c>
      <c r="R58" s="19">
        <f ca="1">IF($A58-R$3&lt;2,0,OFFSET('FPSO1 Base'!R55,-'FPSO1 Otim'!R$3,0))</f>
        <v>766.02449999999999</v>
      </c>
      <c r="S58" s="19">
        <f ca="1">IF($A58-S$3&lt;2,0,OFFSET('FPSO1 Base'!S55,-'FPSO1 Otim'!S$3,0))</f>
        <v>0</v>
      </c>
      <c r="T58" s="19">
        <f ca="1">IF($A58-T$3&lt;2,0,OFFSET('FPSO1 Base'!T55,-'FPSO1 Otim'!T$3,0))</f>
        <v>828.79200000000003</v>
      </c>
      <c r="U58" s="19">
        <f ca="1">IF($A58-U$3&lt;2,0,OFFSET('FPSO1 Base'!U55,-'FPSO1 Otim'!U$3,0))</f>
        <v>906.27449999999999</v>
      </c>
      <c r="V58" s="19">
        <f ca="1">IF($A58-V$3&lt;2,0,OFFSET('FPSO1 Base'!V55,-'FPSO1 Otim'!V$3,0))</f>
        <v>1114.1129999999998</v>
      </c>
      <c r="W58" s="19">
        <f ca="1">IF($A58-W$3&lt;2,0,OFFSET('FPSO1 Base'!W55,-'FPSO1 Otim'!W$3,0))</f>
        <v>568.25850000000003</v>
      </c>
      <c r="X58" s="19">
        <f ca="1">IF($A58-X$3&lt;2,0,OFFSET('FPSO1 Base'!X55,-'FPSO1 Otim'!X$3,0))</f>
        <v>1377.5880000000002</v>
      </c>
      <c r="Y58" s="19">
        <f ca="1">IF($A58-Y$3&lt;2,0,OFFSET('FPSO1 Base'!Y55,-'FPSO1 Otim'!Y$3,0))</f>
        <v>632.34300000000007</v>
      </c>
      <c r="Z58" s="19">
        <f ca="1">IF($A58-Z$3&lt;2,0,OFFSET('FPSO1 Base'!Z55,-'FPSO1 Otim'!Z$3,0))</f>
        <v>0</v>
      </c>
      <c r="AA58" s="20">
        <v>15000</v>
      </c>
      <c r="AB58" s="19">
        <f t="shared" ca="1" si="2"/>
        <v>14336.063999999998</v>
      </c>
      <c r="AC58" s="20">
        <f t="shared" ca="1" si="3"/>
        <v>663.93600000000151</v>
      </c>
      <c r="AD58" s="19">
        <f t="shared" ca="1" si="4"/>
        <v>9311.4104122058998</v>
      </c>
    </row>
    <row r="59" spans="1:30" x14ac:dyDescent="0.25">
      <c r="A59" s="19">
        <v>55</v>
      </c>
      <c r="B59" s="31">
        <v>47270</v>
      </c>
      <c r="C59" s="19">
        <f ca="1">IF($A59-C$3&lt;2,0,OFFSET('FPSO1 Base'!C56,-'FPSO1 Otim'!C$3,0))</f>
        <v>1688.8125</v>
      </c>
      <c r="D59" s="19">
        <f ca="1">IF($A59-D$3&lt;2,0,OFFSET('FPSO1 Base'!D56,-'FPSO1 Otim'!D$3,0))</f>
        <v>0</v>
      </c>
      <c r="E59" s="19">
        <f ca="1">IF($A59-E$3&lt;2,0,OFFSET('FPSO1 Base'!E56,-'FPSO1 Otim'!E$3,0))</f>
        <v>789.1244999999999</v>
      </c>
      <c r="F59" s="19">
        <f ca="1">IF($A59-F$3&lt;2,0,OFFSET('FPSO1 Base'!F56,-'FPSO1 Otim'!F$3,0))</f>
        <v>1232.1495</v>
      </c>
      <c r="G59" s="19">
        <f ca="1">IF($A59-G$3&lt;2,0,OFFSET('FPSO1 Base'!G56,-'FPSO1 Otim'!G$3,0))</f>
        <v>446.46900000000005</v>
      </c>
      <c r="H59" s="19">
        <f ca="1">IF($A59-H$3&lt;2,0,OFFSET('FPSO1 Base'!H56,-'FPSO1 Otim'!H$3,0))</f>
        <v>0</v>
      </c>
      <c r="I59" s="19">
        <f ca="1">IF($A59-I$3&lt;2,0,OFFSET('FPSO1 Base'!I56,-'FPSO1 Otim'!I$3,0))</f>
        <v>0</v>
      </c>
      <c r="J59" s="19">
        <f ca="1">IF($A59-J$3&lt;2,0,OFFSET('FPSO1 Base'!J56,-'FPSO1 Otim'!J$3,0))</f>
        <v>0</v>
      </c>
      <c r="K59" s="19">
        <f ca="1">IF($A59-K$3&lt;2,0,OFFSET('FPSO1 Base'!K56,-'FPSO1 Otim'!K$3,0))</f>
        <v>619.30949999999996</v>
      </c>
      <c r="L59" s="19">
        <f ca="1">IF($A59-L$3&lt;2,0,OFFSET('FPSO1 Base'!L56,-'FPSO1 Otim'!L$3,0))</f>
        <v>1279.2705000000001</v>
      </c>
      <c r="M59" s="19">
        <f ca="1">IF($A59-M$3&lt;2,0,OFFSET('FPSO1 Base'!M56,-'FPSO1 Otim'!M$3,0))</f>
        <v>937.29299999999989</v>
      </c>
      <c r="N59" s="19">
        <f ca="1">IF($A59-N$3&lt;2,0,OFFSET('FPSO1 Base'!N56,-'FPSO1 Otim'!N$3,0))</f>
        <v>225.58799999999999</v>
      </c>
      <c r="O59" s="19">
        <f ca="1">IF($A59-O$3&lt;2,0,OFFSET('FPSO1 Base'!O56,-'FPSO1 Otim'!O$3,0))</f>
        <v>0</v>
      </c>
      <c r="P59" s="19">
        <f ca="1">IF($A59-P$3&lt;2,0,OFFSET('FPSO1 Base'!P56,-'FPSO1 Otim'!P$3,0))</f>
        <v>373.428</v>
      </c>
      <c r="Q59" s="19">
        <f ca="1">IF($A59-Q$3&lt;2,0,OFFSET('FPSO1 Base'!Q56,-'FPSO1 Otim'!Q$3,0))</f>
        <v>497.577</v>
      </c>
      <c r="R59" s="19">
        <f ca="1">IF($A59-R$3&lt;2,0,OFFSET('FPSO1 Base'!R56,-'FPSO1 Otim'!R$3,0))</f>
        <v>731.61300000000006</v>
      </c>
      <c r="S59" s="19">
        <f ca="1">IF($A59-S$3&lt;2,0,OFFSET('FPSO1 Base'!S56,-'FPSO1 Otim'!S$3,0))</f>
        <v>0</v>
      </c>
      <c r="T59" s="19">
        <f ca="1">IF($A59-T$3&lt;2,0,OFFSET('FPSO1 Base'!T56,-'FPSO1 Otim'!T$3,0))</f>
        <v>820.34999999999991</v>
      </c>
      <c r="U59" s="19">
        <f ca="1">IF($A59-U$3&lt;2,0,OFFSET('FPSO1 Base'!U56,-'FPSO1 Otim'!U$3,0))</f>
        <v>899.23799999999994</v>
      </c>
      <c r="V59" s="19">
        <f ca="1">IF($A59-V$3&lt;2,0,OFFSET('FPSO1 Base'!V56,-'FPSO1 Otim'!V$3,0))</f>
        <v>1113.4499999999998</v>
      </c>
      <c r="W59" s="19">
        <f ca="1">IF($A59-W$3&lt;2,0,OFFSET('FPSO1 Base'!W56,-'FPSO1 Otim'!W$3,0))</f>
        <v>564.05399999999997</v>
      </c>
      <c r="X59" s="19">
        <f ca="1">IF($A59-X$3&lt;2,0,OFFSET('FPSO1 Base'!X56,-'FPSO1 Otim'!X$3,0))</f>
        <v>1374.7379999999998</v>
      </c>
      <c r="Y59" s="19">
        <f ca="1">IF($A59-Y$3&lt;2,0,OFFSET('FPSO1 Base'!Y56,-'FPSO1 Otim'!Y$3,0))</f>
        <v>630.77099999999996</v>
      </c>
      <c r="Z59" s="19">
        <f ca="1">IF($A59-Z$3&lt;2,0,OFFSET('FPSO1 Base'!Z56,-'FPSO1 Otim'!Z$3,0))</f>
        <v>0</v>
      </c>
      <c r="AA59" s="20">
        <v>15000</v>
      </c>
      <c r="AB59" s="19">
        <f t="shared" ca="1" si="2"/>
        <v>14223.235500000001</v>
      </c>
      <c r="AC59" s="20">
        <f t="shared" ca="1" si="3"/>
        <v>776.76449999999932</v>
      </c>
      <c r="AD59" s="19">
        <f t="shared" ca="1" si="4"/>
        <v>9161.7790655770987</v>
      </c>
    </row>
    <row r="60" spans="1:30" x14ac:dyDescent="0.25">
      <c r="A60" s="19">
        <v>56</v>
      </c>
      <c r="B60" s="31">
        <v>47300</v>
      </c>
      <c r="C60" s="19">
        <f ca="1">IF($A60-C$3&lt;2,0,OFFSET('FPSO1 Base'!C57,-'FPSO1 Otim'!C$3,0))</f>
        <v>1688.652</v>
      </c>
      <c r="D60" s="19">
        <f ca="1">IF($A60-D$3&lt;2,0,OFFSET('FPSO1 Base'!D57,-'FPSO1 Otim'!D$3,0))</f>
        <v>0</v>
      </c>
      <c r="E60" s="19">
        <f ca="1">IF($A60-E$3&lt;2,0,OFFSET('FPSO1 Base'!E57,-'FPSO1 Otim'!E$3,0))</f>
        <v>786.09750000000008</v>
      </c>
      <c r="F60" s="19">
        <f ca="1">IF($A60-F$3&lt;2,0,OFFSET('FPSO1 Base'!F57,-'FPSO1 Otim'!F$3,0))</f>
        <v>1223.3595</v>
      </c>
      <c r="G60" s="19">
        <f ca="1">IF($A60-G$3&lt;2,0,OFFSET('FPSO1 Base'!G57,-'FPSO1 Otim'!G$3,0))</f>
        <v>441.36750000000001</v>
      </c>
      <c r="H60" s="19">
        <f ca="1">IF($A60-H$3&lt;2,0,OFFSET('FPSO1 Base'!H57,-'FPSO1 Otim'!H$3,0))</f>
        <v>0</v>
      </c>
      <c r="I60" s="19">
        <f ca="1">IF($A60-I$3&lt;2,0,OFFSET('FPSO1 Base'!I57,-'FPSO1 Otim'!I$3,0))</f>
        <v>0</v>
      </c>
      <c r="J60" s="19">
        <f ca="1">IF($A60-J$3&lt;2,0,OFFSET('FPSO1 Base'!J57,-'FPSO1 Otim'!J$3,0))</f>
        <v>0</v>
      </c>
      <c r="K60" s="19">
        <f ca="1">IF($A60-K$3&lt;2,0,OFFSET('FPSO1 Base'!K57,-'FPSO1 Otim'!K$3,0))</f>
        <v>616.803</v>
      </c>
      <c r="L60" s="19">
        <f ca="1">IF($A60-L$3&lt;2,0,OFFSET('FPSO1 Base'!L57,-'FPSO1 Otim'!L$3,0))</f>
        <v>1257.3195000000001</v>
      </c>
      <c r="M60" s="19">
        <f ca="1">IF($A60-M$3&lt;2,0,OFFSET('FPSO1 Base'!M57,-'FPSO1 Otim'!M$3,0))</f>
        <v>932.83049999999992</v>
      </c>
      <c r="N60" s="19">
        <f ca="1">IF($A60-N$3&lt;2,0,OFFSET('FPSO1 Base'!N57,-'FPSO1 Otim'!N$3,0))</f>
        <v>223.089</v>
      </c>
      <c r="O60" s="19">
        <f ca="1">IF($A60-O$3&lt;2,0,OFFSET('FPSO1 Base'!O57,-'FPSO1 Otim'!O$3,0))</f>
        <v>0</v>
      </c>
      <c r="P60" s="19">
        <f ca="1">IF($A60-P$3&lt;2,0,OFFSET('FPSO1 Base'!P57,-'FPSO1 Otim'!P$3,0))</f>
        <v>370.3245</v>
      </c>
      <c r="Q60" s="19">
        <f ca="1">IF($A60-Q$3&lt;2,0,OFFSET('FPSO1 Base'!Q57,-'FPSO1 Otim'!Q$3,0))</f>
        <v>495.61200000000002</v>
      </c>
      <c r="R60" s="19">
        <f ca="1">IF($A60-R$3&lt;2,0,OFFSET('FPSO1 Base'!R57,-'FPSO1 Otim'!R$3,0))</f>
        <v>698.07449999999994</v>
      </c>
      <c r="S60" s="19">
        <f ca="1">IF($A60-S$3&lt;2,0,OFFSET('FPSO1 Base'!S57,-'FPSO1 Otim'!S$3,0))</f>
        <v>0</v>
      </c>
      <c r="T60" s="19">
        <f ca="1">IF($A60-T$3&lt;2,0,OFFSET('FPSO1 Base'!T57,-'FPSO1 Otim'!T$3,0))</f>
        <v>812.77049999999997</v>
      </c>
      <c r="U60" s="19">
        <f ca="1">IF($A60-U$3&lt;2,0,OFFSET('FPSO1 Base'!U57,-'FPSO1 Otim'!U$3,0))</f>
        <v>891.75</v>
      </c>
      <c r="V60" s="19">
        <f ca="1">IF($A60-V$3&lt;2,0,OFFSET('FPSO1 Base'!V57,-'FPSO1 Otim'!V$3,0))</f>
        <v>1112.8064999999999</v>
      </c>
      <c r="W60" s="19">
        <f ca="1">IF($A60-W$3&lt;2,0,OFFSET('FPSO1 Base'!W57,-'FPSO1 Otim'!W$3,0))</f>
        <v>560.96399999999994</v>
      </c>
      <c r="X60" s="19">
        <f ca="1">IF($A60-X$3&lt;2,0,OFFSET('FPSO1 Base'!X57,-'FPSO1 Otim'!X$3,0))</f>
        <v>1371.6495</v>
      </c>
      <c r="Y60" s="19">
        <f ca="1">IF($A60-Y$3&lt;2,0,OFFSET('FPSO1 Base'!Y57,-'FPSO1 Otim'!Y$3,0))</f>
        <v>628.9425</v>
      </c>
      <c r="Z60" s="19">
        <f ca="1">IF($A60-Z$3&lt;2,0,OFFSET('FPSO1 Base'!Z57,-'FPSO1 Otim'!Z$3,0))</f>
        <v>0</v>
      </c>
      <c r="AA60" s="20">
        <v>15000</v>
      </c>
      <c r="AB60" s="19">
        <f t="shared" ca="1" si="2"/>
        <v>14112.4125</v>
      </c>
      <c r="AC60" s="20">
        <f t="shared" ca="1" si="3"/>
        <v>887.58749999999964</v>
      </c>
      <c r="AD60" s="19">
        <f t="shared" ca="1" si="4"/>
        <v>9015.2661324130167</v>
      </c>
    </row>
    <row r="61" spans="1:30" x14ac:dyDescent="0.25">
      <c r="A61" s="19">
        <v>57</v>
      </c>
      <c r="B61" s="31">
        <v>47331</v>
      </c>
      <c r="C61" s="19">
        <f ca="1">IF($A61-C$3&lt;2,0,OFFSET('FPSO1 Base'!C58,-'FPSO1 Otim'!C$3,0))</f>
        <v>1688.4869999999999</v>
      </c>
      <c r="D61" s="19">
        <f ca="1">IF($A61-D$3&lt;2,0,OFFSET('FPSO1 Base'!D58,-'FPSO1 Otim'!D$3,0))</f>
        <v>0</v>
      </c>
      <c r="E61" s="19">
        <f ca="1">IF($A61-E$3&lt;2,0,OFFSET('FPSO1 Base'!E58,-'FPSO1 Otim'!E$3,0))</f>
        <v>782.85599999999999</v>
      </c>
      <c r="F61" s="19">
        <f ca="1">IF($A61-F$3&lt;2,0,OFFSET('FPSO1 Base'!F58,-'FPSO1 Otim'!F$3,0))</f>
        <v>1213.8945000000001</v>
      </c>
      <c r="G61" s="19">
        <f ca="1">IF($A61-G$3&lt;2,0,OFFSET('FPSO1 Base'!G58,-'FPSO1 Otim'!G$3,0))</f>
        <v>433.82849999999996</v>
      </c>
      <c r="H61" s="19">
        <f ca="1">IF($A61-H$3&lt;2,0,OFFSET('FPSO1 Base'!H58,-'FPSO1 Otim'!H$3,0))</f>
        <v>0</v>
      </c>
      <c r="I61" s="19">
        <f ca="1">IF($A61-I$3&lt;2,0,OFFSET('FPSO1 Base'!I58,-'FPSO1 Otim'!I$3,0))</f>
        <v>0</v>
      </c>
      <c r="J61" s="19">
        <f ca="1">IF($A61-J$3&lt;2,0,OFFSET('FPSO1 Base'!J58,-'FPSO1 Otim'!J$3,0))</f>
        <v>0</v>
      </c>
      <c r="K61" s="19">
        <f ca="1">IF($A61-K$3&lt;2,0,OFFSET('FPSO1 Base'!K58,-'FPSO1 Otim'!K$3,0))</f>
        <v>614.55600000000004</v>
      </c>
      <c r="L61" s="19">
        <f ca="1">IF($A61-L$3&lt;2,0,OFFSET('FPSO1 Base'!L58,-'FPSO1 Otim'!L$3,0))</f>
        <v>1244.1224999999999</v>
      </c>
      <c r="M61" s="19">
        <f ca="1">IF($A61-M$3&lt;2,0,OFFSET('FPSO1 Base'!M58,-'FPSO1 Otim'!M$3,0))</f>
        <v>928.21800000000007</v>
      </c>
      <c r="N61" s="19">
        <f ca="1">IF($A61-N$3&lt;2,0,OFFSET('FPSO1 Base'!N58,-'FPSO1 Otim'!N$3,0))</f>
        <v>220.52549999999999</v>
      </c>
      <c r="O61" s="19">
        <f ca="1">IF($A61-O$3&lt;2,0,OFFSET('FPSO1 Base'!O58,-'FPSO1 Otim'!O$3,0))</f>
        <v>0</v>
      </c>
      <c r="P61" s="19">
        <f ca="1">IF($A61-P$3&lt;2,0,OFFSET('FPSO1 Base'!P58,-'FPSO1 Otim'!P$3,0))</f>
        <v>367.33050000000003</v>
      </c>
      <c r="Q61" s="19">
        <f ca="1">IF($A61-Q$3&lt;2,0,OFFSET('FPSO1 Base'!Q58,-'FPSO1 Otim'!Q$3,0))</f>
        <v>491.661</v>
      </c>
      <c r="R61" s="19">
        <f ca="1">IF($A61-R$3&lt;2,0,OFFSET('FPSO1 Base'!R58,-'FPSO1 Otim'!R$3,0))</f>
        <v>657.60450000000003</v>
      </c>
      <c r="S61" s="19">
        <f ca="1">IF($A61-S$3&lt;2,0,OFFSET('FPSO1 Base'!S58,-'FPSO1 Otim'!S$3,0))</f>
        <v>0</v>
      </c>
      <c r="T61" s="19">
        <f ca="1">IF($A61-T$3&lt;2,0,OFFSET('FPSO1 Base'!T58,-'FPSO1 Otim'!T$3,0))</f>
        <v>804.75600000000009</v>
      </c>
      <c r="U61" s="19">
        <f ca="1">IF($A61-U$3&lt;2,0,OFFSET('FPSO1 Base'!U58,-'FPSO1 Otim'!U$3,0))</f>
        <v>878.38350000000014</v>
      </c>
      <c r="V61" s="19">
        <f ca="1">IF($A61-V$3&lt;2,0,OFFSET('FPSO1 Base'!V58,-'FPSO1 Otim'!V$3,0))</f>
        <v>1112.2004999999999</v>
      </c>
      <c r="W61" s="19">
        <f ca="1">IF($A61-W$3&lt;2,0,OFFSET('FPSO1 Base'!W58,-'FPSO1 Otim'!W$3,0))</f>
        <v>557.41200000000003</v>
      </c>
      <c r="X61" s="19">
        <f ca="1">IF($A61-X$3&lt;2,0,OFFSET('FPSO1 Base'!X58,-'FPSO1 Otim'!X$3,0))</f>
        <v>1368.81</v>
      </c>
      <c r="Y61" s="19">
        <f ca="1">IF($A61-Y$3&lt;2,0,OFFSET('FPSO1 Base'!Y58,-'FPSO1 Otim'!Y$3,0))</f>
        <v>627.48450000000003</v>
      </c>
      <c r="Z61" s="19">
        <f ca="1">IF($A61-Z$3&lt;2,0,OFFSET('FPSO1 Base'!Z58,-'FPSO1 Otim'!Z$3,0))</f>
        <v>0</v>
      </c>
      <c r="AA61" s="20">
        <v>15000</v>
      </c>
      <c r="AB61" s="19">
        <f t="shared" ca="1" si="2"/>
        <v>13992.130499999999</v>
      </c>
      <c r="AC61" s="20">
        <f t="shared" ca="1" si="3"/>
        <v>1007.8695000000007</v>
      </c>
      <c r="AD61" s="19">
        <f t="shared" ca="1" si="4"/>
        <v>8864.5564960002848</v>
      </c>
    </row>
    <row r="62" spans="1:30" x14ac:dyDescent="0.25">
      <c r="A62" s="19">
        <v>58</v>
      </c>
      <c r="B62" s="31">
        <v>47362</v>
      </c>
      <c r="C62" s="19">
        <f ca="1">IF($A62-C$3&lt;2,0,OFFSET('FPSO1 Base'!C59,-'FPSO1 Otim'!C$3,0))</f>
        <v>1688.3235</v>
      </c>
      <c r="D62" s="19">
        <f ca="1">IF($A62-D$3&lt;2,0,OFFSET('FPSO1 Base'!D59,-'FPSO1 Otim'!D$3,0))</f>
        <v>0</v>
      </c>
      <c r="E62" s="19">
        <f ca="1">IF($A62-E$3&lt;2,0,OFFSET('FPSO1 Base'!E59,-'FPSO1 Otim'!E$3,0))</f>
        <v>776.78250000000003</v>
      </c>
      <c r="F62" s="19">
        <f ca="1">IF($A62-F$3&lt;2,0,OFFSET('FPSO1 Base'!F59,-'FPSO1 Otim'!F$3,0))</f>
        <v>1205.0925</v>
      </c>
      <c r="G62" s="19">
        <f ca="1">IF($A62-G$3&lt;2,0,OFFSET('FPSO1 Base'!G59,-'FPSO1 Otim'!G$3,0))</f>
        <v>430.52249999999998</v>
      </c>
      <c r="H62" s="19">
        <f ca="1">IF($A62-H$3&lt;2,0,OFFSET('FPSO1 Base'!H59,-'FPSO1 Otim'!H$3,0))</f>
        <v>0</v>
      </c>
      <c r="I62" s="19">
        <f ca="1">IF($A62-I$3&lt;2,0,OFFSET('FPSO1 Base'!I59,-'FPSO1 Otim'!I$3,0))</f>
        <v>0</v>
      </c>
      <c r="J62" s="19">
        <f ca="1">IF($A62-J$3&lt;2,0,OFFSET('FPSO1 Base'!J59,-'FPSO1 Otim'!J$3,0))</f>
        <v>0</v>
      </c>
      <c r="K62" s="19">
        <f ca="1">IF($A62-K$3&lt;2,0,OFFSET('FPSO1 Base'!K59,-'FPSO1 Otim'!K$3,0))</f>
        <v>612.15300000000002</v>
      </c>
      <c r="L62" s="19">
        <f ca="1">IF($A62-L$3&lt;2,0,OFFSET('FPSO1 Base'!L59,-'FPSO1 Otim'!L$3,0))</f>
        <v>1220.9069999999999</v>
      </c>
      <c r="M62" s="19">
        <f ca="1">IF($A62-M$3&lt;2,0,OFFSET('FPSO1 Base'!M59,-'FPSO1 Otim'!M$3,0))</f>
        <v>924.08999999999992</v>
      </c>
      <c r="N62" s="19">
        <f ca="1">IF($A62-N$3&lt;2,0,OFFSET('FPSO1 Base'!N59,-'FPSO1 Otim'!N$3,0))</f>
        <v>218.39550000000003</v>
      </c>
      <c r="O62" s="19">
        <f ca="1">IF($A62-O$3&lt;2,0,OFFSET('FPSO1 Base'!O59,-'FPSO1 Otim'!O$3,0))</f>
        <v>0</v>
      </c>
      <c r="P62" s="19">
        <f ca="1">IF($A62-P$3&lt;2,0,OFFSET('FPSO1 Base'!P59,-'FPSO1 Otim'!P$3,0))</f>
        <v>364.37850000000003</v>
      </c>
      <c r="Q62" s="19">
        <f ca="1">IF($A62-Q$3&lt;2,0,OFFSET('FPSO1 Base'!Q59,-'FPSO1 Otim'!Q$3,0))</f>
        <v>489.702</v>
      </c>
      <c r="R62" s="19">
        <f ca="1">IF($A62-R$3&lt;2,0,OFFSET('FPSO1 Base'!R59,-'FPSO1 Otim'!R$3,0))</f>
        <v>630.29100000000005</v>
      </c>
      <c r="S62" s="19">
        <f ca="1">IF($A62-S$3&lt;2,0,OFFSET('FPSO1 Base'!S59,-'FPSO1 Otim'!S$3,0))</f>
        <v>0</v>
      </c>
      <c r="T62" s="19">
        <f ca="1">IF($A62-T$3&lt;2,0,OFFSET('FPSO1 Base'!T59,-'FPSO1 Otim'!T$3,0))</f>
        <v>791.33999999999992</v>
      </c>
      <c r="U62" s="19">
        <f ca="1">IF($A62-U$3&lt;2,0,OFFSET('FPSO1 Base'!U59,-'FPSO1 Otim'!U$3,0))</f>
        <v>871.86299999999994</v>
      </c>
      <c r="V62" s="19">
        <f ca="1">IF($A62-V$3&lt;2,0,OFFSET('FPSO1 Base'!V59,-'FPSO1 Otim'!V$3,0))</f>
        <v>1111.548</v>
      </c>
      <c r="W62" s="19">
        <f ca="1">IF($A62-W$3&lt;2,0,OFFSET('FPSO1 Base'!W59,-'FPSO1 Otim'!W$3,0))</f>
        <v>554.14049999999997</v>
      </c>
      <c r="X62" s="19">
        <f ca="1">IF($A62-X$3&lt;2,0,OFFSET('FPSO1 Base'!X59,-'FPSO1 Otim'!X$3,0))</f>
        <v>1365.9435000000001</v>
      </c>
      <c r="Y62" s="19">
        <f ca="1">IF($A62-Y$3&lt;2,0,OFFSET('FPSO1 Base'!Y59,-'FPSO1 Otim'!Y$3,0))</f>
        <v>625.78499999999997</v>
      </c>
      <c r="Z62" s="19">
        <f ca="1">IF($A62-Z$3&lt;2,0,OFFSET('FPSO1 Base'!Z59,-'FPSO1 Otim'!Z$3,0))</f>
        <v>0</v>
      </c>
      <c r="AA62" s="20">
        <v>15000</v>
      </c>
      <c r="AB62" s="19">
        <f t="shared" ca="1" si="2"/>
        <v>13881.257999999998</v>
      </c>
      <c r="AC62" s="20">
        <f t="shared" ca="1" si="3"/>
        <v>1118.742000000002</v>
      </c>
      <c r="AD62" s="19">
        <f t="shared" ca="1" si="4"/>
        <v>8721.6341889710584</v>
      </c>
    </row>
    <row r="63" spans="1:30" x14ac:dyDescent="0.25">
      <c r="A63" s="19">
        <v>59</v>
      </c>
      <c r="B63" s="31">
        <v>47392</v>
      </c>
      <c r="C63" s="19">
        <f ca="1">IF($A63-C$3&lt;2,0,OFFSET('FPSO1 Base'!C60,-'FPSO1 Otim'!C$3,0))</f>
        <v>1688.1554999999998</v>
      </c>
      <c r="D63" s="19">
        <f ca="1">IF($A63-D$3&lt;2,0,OFFSET('FPSO1 Base'!D60,-'FPSO1 Otim'!D$3,0))</f>
        <v>0</v>
      </c>
      <c r="E63" s="19">
        <f ca="1">IF($A63-E$3&lt;2,0,OFFSET('FPSO1 Base'!E60,-'FPSO1 Otim'!E$3,0))</f>
        <v>773.64299999999992</v>
      </c>
      <c r="F63" s="19">
        <f ca="1">IF($A63-F$3&lt;2,0,OFFSET('FPSO1 Base'!F60,-'FPSO1 Otim'!F$3,0))</f>
        <v>1196.4675</v>
      </c>
      <c r="G63" s="19">
        <f ca="1">IF($A63-G$3&lt;2,0,OFFSET('FPSO1 Base'!G60,-'FPSO1 Otim'!G$3,0))</f>
        <v>415.98599999999999</v>
      </c>
      <c r="H63" s="19">
        <f ca="1">IF($A63-H$3&lt;2,0,OFFSET('FPSO1 Base'!H60,-'FPSO1 Otim'!H$3,0))</f>
        <v>0</v>
      </c>
      <c r="I63" s="19">
        <f ca="1">IF($A63-I$3&lt;2,0,OFFSET('FPSO1 Base'!I60,-'FPSO1 Otim'!I$3,0))</f>
        <v>0</v>
      </c>
      <c r="J63" s="19">
        <f ca="1">IF($A63-J$3&lt;2,0,OFFSET('FPSO1 Base'!J60,-'FPSO1 Otim'!J$3,0))</f>
        <v>0</v>
      </c>
      <c r="K63" s="19">
        <f ca="1">IF($A63-K$3&lt;2,0,OFFSET('FPSO1 Base'!K60,-'FPSO1 Otim'!K$3,0))</f>
        <v>609.9375</v>
      </c>
      <c r="L63" s="19">
        <f ca="1">IF($A63-L$3&lt;2,0,OFFSET('FPSO1 Base'!L60,-'FPSO1 Otim'!L$3,0))</f>
        <v>1202.643</v>
      </c>
      <c r="M63" s="19">
        <f ca="1">IF($A63-M$3&lt;2,0,OFFSET('FPSO1 Base'!M60,-'FPSO1 Otim'!M$3,0))</f>
        <v>920.0625</v>
      </c>
      <c r="N63" s="19">
        <f ca="1">IF($A63-N$3&lt;2,0,OFFSET('FPSO1 Base'!N60,-'FPSO1 Otim'!N$3,0))</f>
        <v>216.315</v>
      </c>
      <c r="O63" s="19">
        <f ca="1">IF($A63-O$3&lt;2,0,OFFSET('FPSO1 Base'!O60,-'FPSO1 Otim'!O$3,0))</f>
        <v>0</v>
      </c>
      <c r="P63" s="19">
        <f ca="1">IF($A63-P$3&lt;2,0,OFFSET('FPSO1 Base'!P60,-'FPSO1 Otim'!P$3,0))</f>
        <v>361.35</v>
      </c>
      <c r="Q63" s="19">
        <f ca="1">IF($A63-Q$3&lt;2,0,OFFSET('FPSO1 Base'!Q60,-'FPSO1 Otim'!Q$3,0))</f>
        <v>487.91399999999999</v>
      </c>
      <c r="R63" s="19">
        <f ca="1">IF($A63-R$3&lt;2,0,OFFSET('FPSO1 Base'!R60,-'FPSO1 Otim'!R$3,0))</f>
        <v>599.25</v>
      </c>
      <c r="S63" s="19">
        <f ca="1">IF($A63-S$3&lt;2,0,OFFSET('FPSO1 Base'!S60,-'FPSO1 Otim'!S$3,0))</f>
        <v>0</v>
      </c>
      <c r="T63" s="19">
        <f ca="1">IF($A63-T$3&lt;2,0,OFFSET('FPSO1 Base'!T60,-'FPSO1 Otim'!T$3,0))</f>
        <v>784.51200000000006</v>
      </c>
      <c r="U63" s="19">
        <f ca="1">IF($A63-U$3&lt;2,0,OFFSET('FPSO1 Base'!U60,-'FPSO1 Otim'!U$3,0))</f>
        <v>865.07100000000014</v>
      </c>
      <c r="V63" s="19">
        <f ca="1">IF($A63-V$3&lt;2,0,OFFSET('FPSO1 Base'!V60,-'FPSO1 Otim'!V$3,0))</f>
        <v>1110.8715</v>
      </c>
      <c r="W63" s="19">
        <f ca="1">IF($A63-W$3&lt;2,0,OFFSET('FPSO1 Base'!W60,-'FPSO1 Otim'!W$3,0))</f>
        <v>550.57500000000005</v>
      </c>
      <c r="X63" s="19">
        <f ca="1">IF($A63-X$3&lt;2,0,OFFSET('FPSO1 Base'!X60,-'FPSO1 Otim'!X$3,0))</f>
        <v>1363.0245</v>
      </c>
      <c r="Y63" s="19">
        <f ca="1">IF($A63-Y$3&lt;2,0,OFFSET('FPSO1 Base'!Y60,-'FPSO1 Otim'!Y$3,0))</f>
        <v>624.23849999999993</v>
      </c>
      <c r="Z63" s="19">
        <f ca="1">IF($A63-Z$3&lt;2,0,OFFSET('FPSO1 Base'!Z60,-'FPSO1 Otim'!Z$3,0))</f>
        <v>0</v>
      </c>
      <c r="AA63" s="20">
        <v>15000</v>
      </c>
      <c r="AB63" s="19">
        <f t="shared" ca="1" si="2"/>
        <v>13770.016499999998</v>
      </c>
      <c r="AC63" s="20">
        <f t="shared" ca="1" si="3"/>
        <v>1229.9835000000021</v>
      </c>
      <c r="AD63" s="19">
        <f t="shared" ca="1" si="4"/>
        <v>8580.2388452943305</v>
      </c>
    </row>
    <row r="64" spans="1:30" x14ac:dyDescent="0.25">
      <c r="A64" s="19">
        <v>60</v>
      </c>
      <c r="B64" s="31">
        <v>47423</v>
      </c>
      <c r="C64" s="19">
        <f ca="1">IF($A64-C$3&lt;2,0,OFFSET('FPSO1 Base'!C61,-'FPSO1 Otim'!C$3,0))</f>
        <v>1687.9949999999999</v>
      </c>
      <c r="D64" s="19">
        <f ca="1">IF($A64-D$3&lt;2,0,OFFSET('FPSO1 Base'!D61,-'FPSO1 Otim'!D$3,0))</f>
        <v>0</v>
      </c>
      <c r="E64" s="19">
        <f ca="1">IF($A64-E$3&lt;2,0,OFFSET('FPSO1 Base'!E61,-'FPSO1 Otim'!E$3,0))</f>
        <v>770.41199999999992</v>
      </c>
      <c r="F64" s="19">
        <f ca="1">IF($A64-F$3&lt;2,0,OFFSET('FPSO1 Base'!F61,-'FPSO1 Otim'!F$3,0))</f>
        <v>1187.5815</v>
      </c>
      <c r="G64" s="19">
        <f ca="1">IF($A64-G$3&lt;2,0,OFFSET('FPSO1 Base'!G61,-'FPSO1 Otim'!G$3,0))</f>
        <v>413.80799999999999</v>
      </c>
      <c r="H64" s="19">
        <f ca="1">IF($A64-H$3&lt;2,0,OFFSET('FPSO1 Base'!H61,-'FPSO1 Otim'!H$3,0))</f>
        <v>0</v>
      </c>
      <c r="I64" s="19">
        <f ca="1">IF($A64-I$3&lt;2,0,OFFSET('FPSO1 Base'!I61,-'FPSO1 Otim'!I$3,0))</f>
        <v>0</v>
      </c>
      <c r="J64" s="19">
        <f ca="1">IF($A64-J$3&lt;2,0,OFFSET('FPSO1 Base'!J61,-'FPSO1 Otim'!J$3,0))</f>
        <v>0</v>
      </c>
      <c r="K64" s="19">
        <f ca="1">IF($A64-K$3&lt;2,0,OFFSET('FPSO1 Base'!K61,-'FPSO1 Otim'!K$3,0))</f>
        <v>607.76250000000005</v>
      </c>
      <c r="L64" s="19">
        <f ca="1">IF($A64-L$3&lt;2,0,OFFSET('FPSO1 Base'!L61,-'FPSO1 Otim'!L$3,0))</f>
        <v>1186.1849999999999</v>
      </c>
      <c r="M64" s="19">
        <f ca="1">IF($A64-M$3&lt;2,0,OFFSET('FPSO1 Base'!M61,-'FPSO1 Otim'!M$3,0))</f>
        <v>915.77550000000008</v>
      </c>
      <c r="N64" s="19">
        <f ca="1">IF($A64-N$3&lt;2,0,OFFSET('FPSO1 Base'!N61,-'FPSO1 Otim'!N$3,0))</f>
        <v>214.24950000000001</v>
      </c>
      <c r="O64" s="19">
        <f ca="1">IF($A64-O$3&lt;2,0,OFFSET('FPSO1 Base'!O61,-'FPSO1 Otim'!O$3,0))</f>
        <v>0</v>
      </c>
      <c r="P64" s="19">
        <f ca="1">IF($A64-P$3&lt;2,0,OFFSET('FPSO1 Base'!P61,-'FPSO1 Otim'!P$3,0))</f>
        <v>358.572</v>
      </c>
      <c r="Q64" s="19">
        <f ca="1">IF($A64-Q$3&lt;2,0,OFFSET('FPSO1 Base'!Q61,-'FPSO1 Otim'!Q$3,0))</f>
        <v>486.43500000000006</v>
      </c>
      <c r="R64" s="19">
        <f ca="1">IF($A64-R$3&lt;2,0,OFFSET('FPSO1 Base'!R61,-'FPSO1 Otim'!R$3,0))</f>
        <v>581.44350000000009</v>
      </c>
      <c r="S64" s="19">
        <f ca="1">IF($A64-S$3&lt;2,0,OFFSET('FPSO1 Base'!S61,-'FPSO1 Otim'!S$3,0))</f>
        <v>0</v>
      </c>
      <c r="T64" s="19">
        <f ca="1">IF($A64-T$3&lt;2,0,OFFSET('FPSO1 Base'!T61,-'FPSO1 Otim'!T$3,0))</f>
        <v>777.16049999999996</v>
      </c>
      <c r="U64" s="19">
        <f ca="1">IF($A64-U$3&lt;2,0,OFFSET('FPSO1 Base'!U61,-'FPSO1 Otim'!U$3,0))</f>
        <v>859.572</v>
      </c>
      <c r="V64" s="19">
        <f ca="1">IF($A64-V$3&lt;2,0,OFFSET('FPSO1 Base'!V61,-'FPSO1 Otim'!V$3,0))</f>
        <v>1110.2505000000001</v>
      </c>
      <c r="W64" s="19">
        <f ca="1">IF($A64-W$3&lt;2,0,OFFSET('FPSO1 Base'!W61,-'FPSO1 Otim'!W$3,0))</f>
        <v>547.125</v>
      </c>
      <c r="X64" s="19">
        <f ca="1">IF($A64-X$3&lt;2,0,OFFSET('FPSO1 Base'!X61,-'FPSO1 Otim'!X$3,0))</f>
        <v>1360.2585000000001</v>
      </c>
      <c r="Y64" s="19">
        <f ca="1">IF($A64-Y$3&lt;2,0,OFFSET('FPSO1 Base'!Y61,-'FPSO1 Otim'!Y$3,0))</f>
        <v>622.57500000000005</v>
      </c>
      <c r="Z64" s="19">
        <f ca="1">IF($A64-Z$3&lt;2,0,OFFSET('FPSO1 Base'!Z61,-'FPSO1 Otim'!Z$3,0))</f>
        <v>0</v>
      </c>
      <c r="AA64" s="20">
        <v>15000</v>
      </c>
      <c r="AB64" s="19">
        <f t="shared" ca="1" si="2"/>
        <v>13687.161</v>
      </c>
      <c r="AC64" s="20">
        <f t="shared" ca="1" si="3"/>
        <v>1312.8389999999999</v>
      </c>
      <c r="AD64" s="19">
        <f t="shared" ca="1" si="4"/>
        <v>8458.1263452291569</v>
      </c>
    </row>
    <row r="65" spans="1:30" x14ac:dyDescent="0.25">
      <c r="A65" s="19">
        <v>61</v>
      </c>
      <c r="B65" s="31">
        <v>47453</v>
      </c>
      <c r="C65" s="19">
        <f ca="1">IF($A65-C$3&lt;2,0,OFFSET('FPSO1 Base'!C62,-'FPSO1 Otim'!C$3,0))</f>
        <v>1687.8255000000001</v>
      </c>
      <c r="D65" s="19">
        <f ca="1">IF($A65-D$3&lt;2,0,OFFSET('FPSO1 Base'!D62,-'FPSO1 Otim'!D$3,0))</f>
        <v>0</v>
      </c>
      <c r="E65" s="19">
        <f ca="1">IF($A65-E$3&lt;2,0,OFFSET('FPSO1 Base'!E62,-'FPSO1 Otim'!E$3,0))</f>
        <v>767.64300000000003</v>
      </c>
      <c r="F65" s="19">
        <f ca="1">IF($A65-F$3&lt;2,0,OFFSET('FPSO1 Base'!F62,-'FPSO1 Otim'!F$3,0))</f>
        <v>1179.6164999999999</v>
      </c>
      <c r="G65" s="19">
        <f ca="1">IF($A65-G$3&lt;2,0,OFFSET('FPSO1 Base'!G62,-'FPSO1 Otim'!G$3,0))</f>
        <v>409.60650000000004</v>
      </c>
      <c r="H65" s="19">
        <f ca="1">IF($A65-H$3&lt;2,0,OFFSET('FPSO1 Base'!H62,-'FPSO1 Otim'!H$3,0))</f>
        <v>0</v>
      </c>
      <c r="I65" s="19">
        <f ca="1">IF($A65-I$3&lt;2,0,OFFSET('FPSO1 Base'!I62,-'FPSO1 Otim'!I$3,0))</f>
        <v>0</v>
      </c>
      <c r="J65" s="19">
        <f ca="1">IF($A65-J$3&lt;2,0,OFFSET('FPSO1 Base'!J62,-'FPSO1 Otim'!J$3,0))</f>
        <v>0</v>
      </c>
      <c r="K65" s="19">
        <f ca="1">IF($A65-K$3&lt;2,0,OFFSET('FPSO1 Base'!K62,-'FPSO1 Otim'!K$3,0))</f>
        <v>605.50350000000003</v>
      </c>
      <c r="L65" s="19">
        <f ca="1">IF($A65-L$3&lt;2,0,OFFSET('FPSO1 Base'!L62,-'FPSO1 Otim'!L$3,0))</f>
        <v>1167.6569999999999</v>
      </c>
      <c r="M65" s="19">
        <f ca="1">IF($A65-M$3&lt;2,0,OFFSET('FPSO1 Base'!M62,-'FPSO1 Otim'!M$3,0))</f>
        <v>911.70299999999997</v>
      </c>
      <c r="N65" s="19">
        <f ca="1">IF($A65-N$3&lt;2,0,OFFSET('FPSO1 Base'!N62,-'FPSO1 Otim'!N$3,0))</f>
        <v>212.3475</v>
      </c>
      <c r="O65" s="19">
        <f ca="1">IF($A65-O$3&lt;2,0,OFFSET('FPSO1 Base'!O62,-'FPSO1 Otim'!O$3,0))</f>
        <v>0</v>
      </c>
      <c r="P65" s="19">
        <f ca="1">IF($A65-P$3&lt;2,0,OFFSET('FPSO1 Base'!P62,-'FPSO1 Otim'!P$3,0))</f>
        <v>355.57500000000005</v>
      </c>
      <c r="Q65" s="19">
        <f ca="1">IF($A65-Q$3&lt;2,0,OFFSET('FPSO1 Base'!Q62,-'FPSO1 Otim'!Q$3,0))</f>
        <v>484.73700000000002</v>
      </c>
      <c r="R65" s="19">
        <f ca="1">IF($A65-R$3&lt;2,0,OFFSET('FPSO1 Base'!R62,-'FPSO1 Otim'!R$3,0))</f>
        <v>562.09950000000003</v>
      </c>
      <c r="S65" s="19">
        <f ca="1">IF($A65-S$3&lt;2,0,OFFSET('FPSO1 Base'!S62,-'FPSO1 Otim'!S$3,0))</f>
        <v>0</v>
      </c>
      <c r="T65" s="19">
        <f ca="1">IF($A65-T$3&lt;2,0,OFFSET('FPSO1 Base'!T62,-'FPSO1 Otim'!T$3,0))</f>
        <v>771.28500000000008</v>
      </c>
      <c r="U65" s="19">
        <f ca="1">IF($A65-U$3&lt;2,0,OFFSET('FPSO1 Base'!U62,-'FPSO1 Otim'!U$3,0))</f>
        <v>853.30049999999994</v>
      </c>
      <c r="V65" s="19">
        <f ca="1">IF($A65-V$3&lt;2,0,OFFSET('FPSO1 Base'!V62,-'FPSO1 Otim'!V$3,0))</f>
        <v>1109.5650000000001</v>
      </c>
      <c r="W65" s="19">
        <f ca="1">IF($A65-W$3&lt;2,0,OFFSET('FPSO1 Base'!W62,-'FPSO1 Otim'!W$3,0))</f>
        <v>543.64049999999997</v>
      </c>
      <c r="X65" s="19">
        <f ca="1">IF($A65-X$3&lt;2,0,OFFSET('FPSO1 Base'!X62,-'FPSO1 Otim'!X$3,0))</f>
        <v>1357.3245000000002</v>
      </c>
      <c r="Y65" s="19">
        <f ca="1">IF($A65-Y$3&lt;2,0,OFFSET('FPSO1 Base'!Y62,-'FPSO1 Otim'!Y$3,0))</f>
        <v>621.00900000000001</v>
      </c>
      <c r="Z65" s="19">
        <f ca="1">IF($A65-Z$3&lt;2,0,OFFSET('FPSO1 Base'!Z62,-'FPSO1 Otim'!Z$3,0))</f>
        <v>0</v>
      </c>
      <c r="AA65" s="20">
        <v>15000</v>
      </c>
      <c r="AB65" s="19">
        <f t="shared" ca="1" si="2"/>
        <v>13600.4385</v>
      </c>
      <c r="AC65" s="20">
        <f t="shared" ca="1" si="3"/>
        <v>1399.5614999999998</v>
      </c>
      <c r="AD65" s="19">
        <f t="shared" ca="1" si="4"/>
        <v>8335.0762872660835</v>
      </c>
    </row>
    <row r="66" spans="1:30" x14ac:dyDescent="0.25">
      <c r="A66" s="19">
        <v>62</v>
      </c>
      <c r="B66" s="31">
        <v>47484</v>
      </c>
      <c r="C66" s="19">
        <f ca="1">IF($A66-C$3&lt;2,0,OFFSET('FPSO1 Base'!C63,-'FPSO1 Otim'!C$3,0))</f>
        <v>1678.6695</v>
      </c>
      <c r="D66" s="19">
        <f ca="1">IF($A66-D$3&lt;2,0,OFFSET('FPSO1 Base'!D63,-'FPSO1 Otim'!D$3,0))</f>
        <v>0</v>
      </c>
      <c r="E66" s="19">
        <f ca="1">IF($A66-E$3&lt;2,0,OFFSET('FPSO1 Base'!E63,-'FPSO1 Otim'!E$3,0))</f>
        <v>764.55600000000004</v>
      </c>
      <c r="F66" s="19">
        <f ca="1">IF($A66-F$3&lt;2,0,OFFSET('FPSO1 Base'!F63,-'FPSO1 Otim'!F$3,0))</f>
        <v>1171.038</v>
      </c>
      <c r="G66" s="19">
        <f ca="1">IF($A66-G$3&lt;2,0,OFFSET('FPSO1 Base'!G63,-'FPSO1 Otim'!G$3,0))</f>
        <v>406.51800000000003</v>
      </c>
      <c r="H66" s="19">
        <f ca="1">IF($A66-H$3&lt;2,0,OFFSET('FPSO1 Base'!H63,-'FPSO1 Otim'!H$3,0))</f>
        <v>0</v>
      </c>
      <c r="I66" s="19">
        <f ca="1">IF($A66-I$3&lt;2,0,OFFSET('FPSO1 Base'!I63,-'FPSO1 Otim'!I$3,0))</f>
        <v>0</v>
      </c>
      <c r="J66" s="19">
        <f ca="1">IF($A66-J$3&lt;2,0,OFFSET('FPSO1 Base'!J63,-'FPSO1 Otim'!J$3,0))</f>
        <v>0</v>
      </c>
      <c r="K66" s="19">
        <f ca="1">IF($A66-K$3&lt;2,0,OFFSET('FPSO1 Base'!K63,-'FPSO1 Otim'!K$3,0))</f>
        <v>603.4559999999999</v>
      </c>
      <c r="L66" s="19">
        <f ca="1">IF($A66-L$3&lt;2,0,OFFSET('FPSO1 Base'!L63,-'FPSO1 Otim'!L$3,0))</f>
        <v>1153.3485000000001</v>
      </c>
      <c r="M66" s="19">
        <f ca="1">IF($A66-M$3&lt;2,0,OFFSET('FPSO1 Base'!M63,-'FPSO1 Otim'!M$3,0))</f>
        <v>907.3755000000001</v>
      </c>
      <c r="N66" s="19">
        <f ca="1">IF($A66-N$3&lt;2,0,OFFSET('FPSO1 Base'!N63,-'FPSO1 Otim'!N$3,0))</f>
        <v>210.40049999999999</v>
      </c>
      <c r="O66" s="19">
        <f ca="1">IF($A66-O$3&lt;2,0,OFFSET('FPSO1 Base'!O63,-'FPSO1 Otim'!O$3,0))</f>
        <v>0</v>
      </c>
      <c r="P66" s="19">
        <f ca="1">IF($A66-P$3&lt;2,0,OFFSET('FPSO1 Base'!P63,-'FPSO1 Otim'!P$3,0))</f>
        <v>349.37850000000003</v>
      </c>
      <c r="Q66" s="19">
        <f ca="1">IF($A66-Q$3&lt;2,0,OFFSET('FPSO1 Base'!Q63,-'FPSO1 Otim'!Q$3,0))</f>
        <v>483.22950000000003</v>
      </c>
      <c r="R66" s="19">
        <f ca="1">IF($A66-R$3&lt;2,0,OFFSET('FPSO1 Base'!R63,-'FPSO1 Otim'!R$3,0))</f>
        <v>545.85450000000003</v>
      </c>
      <c r="S66" s="19">
        <f ca="1">IF($A66-S$3&lt;2,0,OFFSET('FPSO1 Base'!S63,-'FPSO1 Otim'!S$3,0))</f>
        <v>0</v>
      </c>
      <c r="T66" s="19">
        <f ca="1">IF($A66-T$3&lt;2,0,OFFSET('FPSO1 Base'!T63,-'FPSO1 Otim'!T$3,0))</f>
        <v>764.59349999999995</v>
      </c>
      <c r="U66" s="19">
        <f ca="1">IF($A66-U$3&lt;2,0,OFFSET('FPSO1 Base'!U63,-'FPSO1 Otim'!U$3,0))</f>
        <v>847.62149999999997</v>
      </c>
      <c r="V66" s="19">
        <f ca="1">IF($A66-V$3&lt;2,0,OFFSET('FPSO1 Base'!V63,-'FPSO1 Otim'!V$3,0))</f>
        <v>1108.8494999999998</v>
      </c>
      <c r="W66" s="19">
        <f ca="1">IF($A66-W$3&lt;2,0,OFFSET('FPSO1 Base'!W63,-'FPSO1 Otim'!W$3,0))</f>
        <v>539.93700000000001</v>
      </c>
      <c r="X66" s="19">
        <f ca="1">IF($A66-X$3&lt;2,0,OFFSET('FPSO1 Base'!X63,-'FPSO1 Otim'!X$3,0))</f>
        <v>1354.6695</v>
      </c>
      <c r="Y66" s="19">
        <f ca="1">IF($A66-Y$3&lt;2,0,OFFSET('FPSO1 Base'!Y63,-'FPSO1 Otim'!Y$3,0))</f>
        <v>619.47300000000007</v>
      </c>
      <c r="Z66" s="19">
        <f ca="1">IF($A66-Z$3&lt;2,0,OFFSET('FPSO1 Base'!Z63,-'FPSO1 Otim'!Z$3,0))</f>
        <v>0</v>
      </c>
      <c r="AA66" s="20">
        <v>15000</v>
      </c>
      <c r="AB66" s="19">
        <f t="shared" ca="1" si="2"/>
        <v>13508.968500000001</v>
      </c>
      <c r="AC66" s="20">
        <f t="shared" ca="1" si="3"/>
        <v>1491.0314999999991</v>
      </c>
      <c r="AD66" s="19">
        <f t="shared" ca="1" si="4"/>
        <v>8210.5969368105034</v>
      </c>
    </row>
    <row r="67" spans="1:30" x14ac:dyDescent="0.25">
      <c r="A67" s="19">
        <v>63</v>
      </c>
      <c r="B67" s="31">
        <v>47515</v>
      </c>
      <c r="C67" s="19">
        <f ca="1">IF($A67-C$3&lt;2,0,OFFSET('FPSO1 Base'!C64,-'FPSO1 Otim'!C$3,0))</f>
        <v>1678.5209999999997</v>
      </c>
      <c r="D67" s="19">
        <f ca="1">IF($A67-D$3&lt;2,0,OFFSET('FPSO1 Base'!D64,-'FPSO1 Otim'!D$3,0))</f>
        <v>0</v>
      </c>
      <c r="E67" s="19">
        <f ca="1">IF($A67-E$3&lt;2,0,OFFSET('FPSO1 Base'!E64,-'FPSO1 Otim'!E$3,0))</f>
        <v>761.75850000000003</v>
      </c>
      <c r="F67" s="19">
        <f ca="1">IF($A67-F$3&lt;2,0,OFFSET('FPSO1 Base'!F64,-'FPSO1 Otim'!F$3,0))</f>
        <v>1159.0035</v>
      </c>
      <c r="G67" s="19">
        <f ca="1">IF($A67-G$3&lt;2,0,OFFSET('FPSO1 Base'!G64,-'FPSO1 Otim'!G$3,0))</f>
        <v>402.44550000000004</v>
      </c>
      <c r="H67" s="19">
        <f ca="1">IF($A67-H$3&lt;2,0,OFFSET('FPSO1 Base'!H64,-'FPSO1 Otim'!H$3,0))</f>
        <v>0</v>
      </c>
      <c r="I67" s="19">
        <f ca="1">IF($A67-I$3&lt;2,0,OFFSET('FPSO1 Base'!I64,-'FPSO1 Otim'!I$3,0))</f>
        <v>0</v>
      </c>
      <c r="J67" s="19">
        <f ca="1">IF($A67-J$3&lt;2,0,OFFSET('FPSO1 Base'!J64,-'FPSO1 Otim'!J$3,0))</f>
        <v>0</v>
      </c>
      <c r="K67" s="19">
        <f ca="1">IF($A67-K$3&lt;2,0,OFFSET('FPSO1 Base'!K64,-'FPSO1 Otim'!K$3,0))</f>
        <v>601.2405</v>
      </c>
      <c r="L67" s="19">
        <f ca="1">IF($A67-L$3&lt;2,0,OFFSET('FPSO1 Base'!L64,-'FPSO1 Otim'!L$3,0))</f>
        <v>1137.144</v>
      </c>
      <c r="M67" s="19">
        <f ca="1">IF($A67-M$3&lt;2,0,OFFSET('FPSO1 Base'!M64,-'FPSO1 Otim'!M$3,0))</f>
        <v>894.55649999999991</v>
      </c>
      <c r="N67" s="19">
        <f ca="1">IF($A67-N$3&lt;2,0,OFFSET('FPSO1 Base'!N64,-'FPSO1 Otim'!N$3,0))</f>
        <v>208.69349999999997</v>
      </c>
      <c r="O67" s="19">
        <f ca="1">IF($A67-O$3&lt;2,0,OFFSET('FPSO1 Base'!O64,-'FPSO1 Otim'!O$3,0))</f>
        <v>0</v>
      </c>
      <c r="P67" s="19">
        <f ca="1">IF($A67-P$3&lt;2,0,OFFSET('FPSO1 Base'!P64,-'FPSO1 Otim'!P$3,0))</f>
        <v>346.35449999999997</v>
      </c>
      <c r="Q67" s="19">
        <f ca="1">IF($A67-Q$3&lt;2,0,OFFSET('FPSO1 Base'!Q64,-'FPSO1 Otim'!Q$3,0))</f>
        <v>481.58699999999999</v>
      </c>
      <c r="R67" s="19">
        <f ca="1">IF($A67-R$3&lt;2,0,OFFSET('FPSO1 Base'!R64,-'FPSO1 Otim'!R$3,0))</f>
        <v>529.20000000000005</v>
      </c>
      <c r="S67" s="19">
        <f ca="1">IF($A67-S$3&lt;2,0,OFFSET('FPSO1 Base'!S64,-'FPSO1 Otim'!S$3,0))</f>
        <v>0</v>
      </c>
      <c r="T67" s="19">
        <f ca="1">IF($A67-T$3&lt;2,0,OFFSET('FPSO1 Base'!T64,-'FPSO1 Otim'!T$3,0))</f>
        <v>758.66100000000006</v>
      </c>
      <c r="U67" s="19">
        <f ca="1">IF($A67-U$3&lt;2,0,OFFSET('FPSO1 Base'!U64,-'FPSO1 Otim'!U$3,0))</f>
        <v>841.54950000000008</v>
      </c>
      <c r="V67" s="19">
        <f ca="1">IF($A67-V$3&lt;2,0,OFFSET('FPSO1 Base'!V64,-'FPSO1 Otim'!V$3,0))</f>
        <v>1103.3715</v>
      </c>
      <c r="W67" s="19">
        <f ca="1">IF($A67-W$3&lt;2,0,OFFSET('FPSO1 Base'!W64,-'FPSO1 Otim'!W$3,0))</f>
        <v>536.49149999999997</v>
      </c>
      <c r="X67" s="19">
        <f ca="1">IF($A67-X$3&lt;2,0,OFFSET('FPSO1 Base'!X64,-'FPSO1 Otim'!X$3,0))</f>
        <v>1352.2739999999999</v>
      </c>
      <c r="Y67" s="19">
        <f ca="1">IF($A67-Y$3&lt;2,0,OFFSET('FPSO1 Base'!Y64,-'FPSO1 Otim'!Y$3,0))</f>
        <v>617.87250000000006</v>
      </c>
      <c r="Z67" s="19">
        <f ca="1">IF($A67-Z$3&lt;2,0,OFFSET('FPSO1 Base'!Z64,-'FPSO1 Otim'!Z$3,0))</f>
        <v>0</v>
      </c>
      <c r="AA67" s="20">
        <v>15000</v>
      </c>
      <c r="AB67" s="19">
        <f t="shared" ca="1" si="2"/>
        <v>13410.724499999998</v>
      </c>
      <c r="AC67" s="20">
        <f t="shared" ca="1" si="3"/>
        <v>1589.2755000000016</v>
      </c>
      <c r="AD67" s="19">
        <f t="shared" ca="1" si="4"/>
        <v>8083.5226655506603</v>
      </c>
    </row>
    <row r="68" spans="1:30" x14ac:dyDescent="0.25">
      <c r="A68" s="19">
        <v>64</v>
      </c>
      <c r="B68" s="31">
        <v>47543</v>
      </c>
      <c r="C68" s="19">
        <f ca="1">IF($A68-C$3&lt;2,0,OFFSET('FPSO1 Base'!C65,-'FPSO1 Otim'!C$3,0))</f>
        <v>1678.356</v>
      </c>
      <c r="D68" s="19">
        <f ca="1">IF($A68-D$3&lt;2,0,OFFSET('FPSO1 Base'!D65,-'FPSO1 Otim'!D$3,0))</f>
        <v>0</v>
      </c>
      <c r="E68" s="19">
        <f ca="1">IF($A68-E$3&lt;2,0,OFFSET('FPSO1 Base'!E65,-'FPSO1 Otim'!E$3,0))</f>
        <v>758.71199999999999</v>
      </c>
      <c r="F68" s="19">
        <f ca="1">IF($A68-F$3&lt;2,0,OFFSET('FPSO1 Base'!F65,-'FPSO1 Otim'!F$3,0))</f>
        <v>1151.1960000000001</v>
      </c>
      <c r="G68" s="19">
        <f ca="1">IF($A68-G$3&lt;2,0,OFFSET('FPSO1 Base'!G65,-'FPSO1 Otim'!G$3,0))</f>
        <v>399.95100000000002</v>
      </c>
      <c r="H68" s="19">
        <f ca="1">IF($A68-H$3&lt;2,0,OFFSET('FPSO1 Base'!H65,-'FPSO1 Otim'!H$3,0))</f>
        <v>0</v>
      </c>
      <c r="I68" s="19">
        <f ca="1">IF($A68-I$3&lt;2,0,OFFSET('FPSO1 Base'!I65,-'FPSO1 Otim'!I$3,0))</f>
        <v>0</v>
      </c>
      <c r="J68" s="19">
        <f ca="1">IF($A68-J$3&lt;2,0,OFFSET('FPSO1 Base'!J65,-'FPSO1 Otim'!J$3,0))</f>
        <v>0</v>
      </c>
      <c r="K68" s="19">
        <f ca="1">IF($A68-K$3&lt;2,0,OFFSET('FPSO1 Base'!K65,-'FPSO1 Otim'!K$3,0))</f>
        <v>593.16</v>
      </c>
      <c r="L68" s="19">
        <f ca="1">IF($A68-L$3&lt;2,0,OFFSET('FPSO1 Base'!L65,-'FPSO1 Otim'!L$3,0))</f>
        <v>1122.828</v>
      </c>
      <c r="M68" s="19">
        <f ca="1">IF($A68-M$3&lt;2,0,OFFSET('FPSO1 Base'!M65,-'FPSO1 Otim'!M$3,0))</f>
        <v>890.10450000000003</v>
      </c>
      <c r="N68" s="19">
        <f ca="1">IF($A68-N$3&lt;2,0,OFFSET('FPSO1 Base'!N65,-'FPSO1 Otim'!N$3,0))</f>
        <v>206.976</v>
      </c>
      <c r="O68" s="19">
        <f ca="1">IF($A68-O$3&lt;2,0,OFFSET('FPSO1 Base'!O65,-'FPSO1 Otim'!O$3,0))</f>
        <v>0</v>
      </c>
      <c r="P68" s="19">
        <f ca="1">IF($A68-P$3&lt;2,0,OFFSET('FPSO1 Base'!P65,-'FPSO1 Otim'!P$3,0))</f>
        <v>343.71449999999999</v>
      </c>
      <c r="Q68" s="19">
        <f ca="1">IF($A68-Q$3&lt;2,0,OFFSET('FPSO1 Base'!Q65,-'FPSO1 Otim'!Q$3,0))</f>
        <v>480.08399999999995</v>
      </c>
      <c r="R68" s="19">
        <f ca="1">IF($A68-R$3&lt;2,0,OFFSET('FPSO1 Base'!R65,-'FPSO1 Otim'!R$3,0))</f>
        <v>514.452</v>
      </c>
      <c r="S68" s="19">
        <f ca="1">IF($A68-S$3&lt;2,0,OFFSET('FPSO1 Base'!S65,-'FPSO1 Otim'!S$3,0))</f>
        <v>0</v>
      </c>
      <c r="T68" s="19">
        <f ca="1">IF($A68-T$3&lt;2,0,OFFSET('FPSO1 Base'!T65,-'FPSO1 Otim'!T$3,0))</f>
        <v>752.37450000000001</v>
      </c>
      <c r="U68" s="19">
        <f ca="1">IF($A68-U$3&lt;2,0,OFFSET('FPSO1 Base'!U65,-'FPSO1 Otim'!U$3,0))</f>
        <v>835.93499999999995</v>
      </c>
      <c r="V68" s="19">
        <f ca="1">IF($A68-V$3&lt;2,0,OFFSET('FPSO1 Base'!V65,-'FPSO1 Otim'!V$3,0))</f>
        <v>1102.2585000000001</v>
      </c>
      <c r="W68" s="19">
        <f ca="1">IF($A68-W$3&lt;2,0,OFFSET('FPSO1 Base'!W65,-'FPSO1 Otim'!W$3,0))</f>
        <v>532.71299999999997</v>
      </c>
      <c r="X68" s="19">
        <f ca="1">IF($A68-X$3&lt;2,0,OFFSET('FPSO1 Base'!X65,-'FPSO1 Otim'!X$3,0))</f>
        <v>1349.598</v>
      </c>
      <c r="Y68" s="19">
        <f ca="1">IF($A68-Y$3&lt;2,0,OFFSET('FPSO1 Base'!Y65,-'FPSO1 Otim'!Y$3,0))</f>
        <v>616.42499999999995</v>
      </c>
      <c r="Z68" s="19">
        <f ca="1">IF($A68-Z$3&lt;2,0,OFFSET('FPSO1 Base'!Z65,-'FPSO1 Otim'!Z$3,0))</f>
        <v>0</v>
      </c>
      <c r="AA68" s="20">
        <v>15000</v>
      </c>
      <c r="AB68" s="19">
        <f t="shared" ca="1" si="2"/>
        <v>13328.837999999998</v>
      </c>
      <c r="AC68" s="20">
        <f t="shared" ca="1" si="3"/>
        <v>1671.1620000000021</v>
      </c>
      <c r="AD68" s="19">
        <f t="shared" ca="1" si="4"/>
        <v>7967.7662526236718</v>
      </c>
    </row>
    <row r="69" spans="1:30" x14ac:dyDescent="0.25">
      <c r="A69" s="19">
        <v>65</v>
      </c>
      <c r="B69" s="31">
        <v>47574</v>
      </c>
      <c r="C69" s="19">
        <f ca="1">IF($A69-C$3&lt;2,0,OFFSET('FPSO1 Base'!C66,-'FPSO1 Otim'!C$3,0))</f>
        <v>1678.2105000000001</v>
      </c>
      <c r="D69" s="19">
        <f ca="1">IF($A69-D$3&lt;2,0,OFFSET('FPSO1 Base'!D66,-'FPSO1 Otim'!D$3,0))</f>
        <v>0</v>
      </c>
      <c r="E69" s="19">
        <f ca="1">IF($A69-E$3&lt;2,0,OFFSET('FPSO1 Base'!E66,-'FPSO1 Otim'!E$3,0))</f>
        <v>755.85450000000003</v>
      </c>
      <c r="F69" s="19">
        <f ca="1">IF($A69-F$3&lt;2,0,OFFSET('FPSO1 Base'!F66,-'FPSO1 Otim'!F$3,0))</f>
        <v>1143.0060000000001</v>
      </c>
      <c r="G69" s="19">
        <f ca="1">IF($A69-G$3&lt;2,0,OFFSET('FPSO1 Base'!G66,-'FPSO1 Otim'!G$3,0))</f>
        <v>397.15049999999997</v>
      </c>
      <c r="H69" s="19">
        <f ca="1">IF($A69-H$3&lt;2,0,OFFSET('FPSO1 Base'!H66,-'FPSO1 Otim'!H$3,0))</f>
        <v>0</v>
      </c>
      <c r="I69" s="19">
        <f ca="1">IF($A69-I$3&lt;2,0,OFFSET('FPSO1 Base'!I66,-'FPSO1 Otim'!I$3,0))</f>
        <v>0</v>
      </c>
      <c r="J69" s="19">
        <f ca="1">IF($A69-J$3&lt;2,0,OFFSET('FPSO1 Base'!J66,-'FPSO1 Otim'!J$3,0))</f>
        <v>0</v>
      </c>
      <c r="K69" s="19">
        <f ca="1">IF($A69-K$3&lt;2,0,OFFSET('FPSO1 Base'!K66,-'FPSO1 Otim'!K$3,0))</f>
        <v>590.70899999999995</v>
      </c>
      <c r="L69" s="19">
        <f ca="1">IF($A69-L$3&lt;2,0,OFFSET('FPSO1 Base'!L66,-'FPSO1 Otim'!L$3,0))</f>
        <v>1107.7620000000002</v>
      </c>
      <c r="M69" s="19">
        <f ca="1">IF($A69-M$3&lt;2,0,OFFSET('FPSO1 Base'!M66,-'FPSO1 Otim'!M$3,0))</f>
        <v>885.99749999999995</v>
      </c>
      <c r="N69" s="19">
        <f ca="1">IF($A69-N$3&lt;2,0,OFFSET('FPSO1 Base'!N66,-'FPSO1 Otim'!N$3,0))</f>
        <v>204.8835</v>
      </c>
      <c r="O69" s="19">
        <f ca="1">IF($A69-O$3&lt;2,0,OFFSET('FPSO1 Base'!O66,-'FPSO1 Otim'!O$3,0))</f>
        <v>0</v>
      </c>
      <c r="P69" s="19">
        <f ca="1">IF($A69-P$3&lt;2,0,OFFSET('FPSO1 Base'!P66,-'FPSO1 Otim'!P$3,0))</f>
        <v>341.51549999999997</v>
      </c>
      <c r="Q69" s="19">
        <f ca="1">IF($A69-Q$3&lt;2,0,OFFSET('FPSO1 Base'!Q66,-'FPSO1 Otim'!Q$3,0))</f>
        <v>478.60949999999997</v>
      </c>
      <c r="R69" s="19">
        <f ca="1">IF($A69-R$3&lt;2,0,OFFSET('FPSO1 Base'!R66,-'FPSO1 Otim'!R$3,0))</f>
        <v>499.524</v>
      </c>
      <c r="S69" s="19">
        <f ca="1">IF($A69-S$3&lt;2,0,OFFSET('FPSO1 Base'!S66,-'FPSO1 Otim'!S$3,0))</f>
        <v>0</v>
      </c>
      <c r="T69" s="19">
        <f ca="1">IF($A69-T$3&lt;2,0,OFFSET('FPSO1 Base'!T66,-'FPSO1 Otim'!T$3,0))</f>
        <v>746.60699999999997</v>
      </c>
      <c r="U69" s="19">
        <f ca="1">IF($A69-U$3&lt;2,0,OFFSET('FPSO1 Base'!U66,-'FPSO1 Otim'!U$3,0))</f>
        <v>830.37149999999997</v>
      </c>
      <c r="V69" s="19">
        <f ca="1">IF($A69-V$3&lt;2,0,OFFSET('FPSO1 Base'!V66,-'FPSO1 Otim'!V$3,0))</f>
        <v>1101.672</v>
      </c>
      <c r="W69" s="19">
        <f ca="1">IF($A69-W$3&lt;2,0,OFFSET('FPSO1 Base'!W66,-'FPSO1 Otim'!W$3,0))</f>
        <v>526.70550000000003</v>
      </c>
      <c r="X69" s="19">
        <f ca="1">IF($A69-X$3&lt;2,0,OFFSET('FPSO1 Base'!X66,-'FPSO1 Otim'!X$3,0))</f>
        <v>1347.4590000000001</v>
      </c>
      <c r="Y69" s="19">
        <f ca="1">IF($A69-Y$3&lt;2,0,OFFSET('FPSO1 Base'!Y66,-'FPSO1 Otim'!Y$3,0))</f>
        <v>614.84699999999998</v>
      </c>
      <c r="Z69" s="19">
        <f ca="1">IF($A69-Z$3&lt;2,0,OFFSET('FPSO1 Base'!Z66,-'FPSO1 Otim'!Z$3,0))</f>
        <v>0</v>
      </c>
      <c r="AA69" s="20">
        <v>15000</v>
      </c>
      <c r="AB69" s="19">
        <f t="shared" ca="1" si="2"/>
        <v>13250.884499999998</v>
      </c>
      <c r="AC69" s="20">
        <f t="shared" ca="1" si="3"/>
        <v>1749.1155000000017</v>
      </c>
      <c r="AD69" s="19">
        <f t="shared" ca="1" si="4"/>
        <v>7855.7027074291909</v>
      </c>
    </row>
    <row r="70" spans="1:30" x14ac:dyDescent="0.25">
      <c r="A70" s="19">
        <v>66</v>
      </c>
      <c r="B70" s="31">
        <v>47604</v>
      </c>
      <c r="C70" s="19">
        <f ca="1">IF($A70-C$3&lt;2,0,OFFSET('FPSO1 Base'!C67,-'FPSO1 Otim'!C$3,0))</f>
        <v>1678.038</v>
      </c>
      <c r="D70" s="19">
        <f ca="1">IF($A70-D$3&lt;2,0,OFFSET('FPSO1 Base'!D67,-'FPSO1 Otim'!D$3,0))</f>
        <v>0</v>
      </c>
      <c r="E70" s="19">
        <f ca="1">IF($A70-E$3&lt;2,0,OFFSET('FPSO1 Base'!E67,-'FPSO1 Otim'!E$3,0))</f>
        <v>753.00600000000009</v>
      </c>
      <c r="F70" s="19">
        <f ca="1">IF($A70-F$3&lt;2,0,OFFSET('FPSO1 Base'!F67,-'FPSO1 Otim'!F$3,0))</f>
        <v>1136.1224999999999</v>
      </c>
      <c r="G70" s="19">
        <f ca="1">IF($A70-G$3&lt;2,0,OFFSET('FPSO1 Base'!G67,-'FPSO1 Otim'!G$3,0))</f>
        <v>395.78550000000007</v>
      </c>
      <c r="H70" s="19">
        <f ca="1">IF($A70-H$3&lt;2,0,OFFSET('FPSO1 Base'!H67,-'FPSO1 Otim'!H$3,0))</f>
        <v>0</v>
      </c>
      <c r="I70" s="19">
        <f ca="1">IF($A70-I$3&lt;2,0,OFFSET('FPSO1 Base'!I67,-'FPSO1 Otim'!I$3,0))</f>
        <v>0</v>
      </c>
      <c r="J70" s="19">
        <f ca="1">IF($A70-J$3&lt;2,0,OFFSET('FPSO1 Base'!J67,-'FPSO1 Otim'!J$3,0))</f>
        <v>0</v>
      </c>
      <c r="K70" s="19">
        <f ca="1">IF($A70-K$3&lt;2,0,OFFSET('FPSO1 Base'!K67,-'FPSO1 Otim'!K$3,0))</f>
        <v>588.55200000000002</v>
      </c>
      <c r="L70" s="19">
        <f ca="1">IF($A70-L$3&lt;2,0,OFFSET('FPSO1 Base'!L67,-'FPSO1 Otim'!L$3,0))</f>
        <v>1093.9965</v>
      </c>
      <c r="M70" s="19">
        <f ca="1">IF($A70-M$3&lt;2,0,OFFSET('FPSO1 Base'!M67,-'FPSO1 Otim'!M$3,0))</f>
        <v>882.34500000000003</v>
      </c>
      <c r="N70" s="19">
        <f ca="1">IF($A70-N$3&lt;2,0,OFFSET('FPSO1 Base'!N67,-'FPSO1 Otim'!N$3,0))</f>
        <v>203.226</v>
      </c>
      <c r="O70" s="19">
        <f ca="1">IF($A70-O$3&lt;2,0,OFFSET('FPSO1 Base'!O67,-'FPSO1 Otim'!O$3,0))</f>
        <v>0</v>
      </c>
      <c r="P70" s="19">
        <f ca="1">IF($A70-P$3&lt;2,0,OFFSET('FPSO1 Base'!P67,-'FPSO1 Otim'!P$3,0))</f>
        <v>339.02549999999997</v>
      </c>
      <c r="Q70" s="19">
        <f ca="1">IF($A70-Q$3&lt;2,0,OFFSET('FPSO1 Base'!Q67,-'FPSO1 Otim'!Q$3,0))</f>
        <v>477.08699999999999</v>
      </c>
      <c r="R70" s="19">
        <f ca="1">IF($A70-R$3&lt;2,0,OFFSET('FPSO1 Base'!R67,-'FPSO1 Otim'!R$3,0))</f>
        <v>484.67550000000006</v>
      </c>
      <c r="S70" s="19">
        <f ca="1">IF($A70-S$3&lt;2,0,OFFSET('FPSO1 Base'!S67,-'FPSO1 Otim'!S$3,0))</f>
        <v>0</v>
      </c>
      <c r="T70" s="19">
        <f ca="1">IF($A70-T$3&lt;2,0,OFFSET('FPSO1 Base'!T67,-'FPSO1 Otim'!T$3,0))</f>
        <v>741.00600000000009</v>
      </c>
      <c r="U70" s="19">
        <f ca="1">IF($A70-U$3&lt;2,0,OFFSET('FPSO1 Base'!U67,-'FPSO1 Otim'!U$3,0))</f>
        <v>824.625</v>
      </c>
      <c r="V70" s="19">
        <f ca="1">IF($A70-V$3&lt;2,0,OFFSET('FPSO1 Base'!V67,-'FPSO1 Otim'!V$3,0))</f>
        <v>1101</v>
      </c>
      <c r="W70" s="19">
        <f ca="1">IF($A70-W$3&lt;2,0,OFFSET('FPSO1 Base'!W67,-'FPSO1 Otim'!W$3,0))</f>
        <v>522.99149999999997</v>
      </c>
      <c r="X70" s="19">
        <f ca="1">IF($A70-X$3&lt;2,0,OFFSET('FPSO1 Base'!X67,-'FPSO1 Otim'!X$3,0))</f>
        <v>1345.0245</v>
      </c>
      <c r="Y70" s="19">
        <f ca="1">IF($A70-Y$3&lt;2,0,OFFSET('FPSO1 Base'!Y67,-'FPSO1 Otim'!Y$3,0))</f>
        <v>613.428</v>
      </c>
      <c r="Z70" s="19">
        <f ca="1">IF($A70-Z$3&lt;2,0,OFFSET('FPSO1 Base'!Z67,-'FPSO1 Otim'!Z$3,0))</f>
        <v>0</v>
      </c>
      <c r="AA70" s="20">
        <v>15000</v>
      </c>
      <c r="AB70" s="19">
        <f t="shared" ca="1" si="2"/>
        <v>13179.934499999999</v>
      </c>
      <c r="AC70" s="20">
        <f t="shared" ca="1" si="3"/>
        <v>1820.0655000000006</v>
      </c>
      <c r="AD70" s="19">
        <f t="shared" ca="1" si="4"/>
        <v>7749.0649096830211</v>
      </c>
    </row>
    <row r="71" spans="1:30" x14ac:dyDescent="0.25">
      <c r="A71" s="19">
        <v>67</v>
      </c>
      <c r="B71" s="31">
        <v>47635</v>
      </c>
      <c r="C71" s="19">
        <f ca="1">IF($A71-C$3&lt;2,0,OFFSET('FPSO1 Base'!C68,-'FPSO1 Otim'!C$3,0))</f>
        <v>1677.8685</v>
      </c>
      <c r="D71" s="19">
        <f ca="1">IF($A71-D$3&lt;2,0,OFFSET('FPSO1 Base'!D68,-'FPSO1 Otim'!D$3,0))</f>
        <v>0</v>
      </c>
      <c r="E71" s="19">
        <f ca="1">IF($A71-E$3&lt;2,0,OFFSET('FPSO1 Base'!E68,-'FPSO1 Otim'!E$3,0))</f>
        <v>750.03749999999991</v>
      </c>
      <c r="F71" s="19">
        <f ca="1">IF($A71-F$3&lt;2,0,OFFSET('FPSO1 Base'!F68,-'FPSO1 Otim'!F$3,0))</f>
        <v>1128.4304999999999</v>
      </c>
      <c r="G71" s="19">
        <f ca="1">IF($A71-G$3&lt;2,0,OFFSET('FPSO1 Base'!G68,-'FPSO1 Otim'!G$3,0))</f>
        <v>394.5795</v>
      </c>
      <c r="H71" s="19">
        <f ca="1">IF($A71-H$3&lt;2,0,OFFSET('FPSO1 Base'!H68,-'FPSO1 Otim'!H$3,0))</f>
        <v>0</v>
      </c>
      <c r="I71" s="19">
        <f ca="1">IF($A71-I$3&lt;2,0,OFFSET('FPSO1 Base'!I68,-'FPSO1 Otim'!I$3,0))</f>
        <v>0</v>
      </c>
      <c r="J71" s="19">
        <f ca="1">IF($A71-J$3&lt;2,0,OFFSET('FPSO1 Base'!J68,-'FPSO1 Otim'!J$3,0))</f>
        <v>0</v>
      </c>
      <c r="K71" s="19">
        <f ca="1">IF($A71-K$3&lt;2,0,OFFSET('FPSO1 Base'!K68,-'FPSO1 Otim'!K$3,0))</f>
        <v>586.75649999999996</v>
      </c>
      <c r="L71" s="19">
        <f ca="1">IF($A71-L$3&lt;2,0,OFFSET('FPSO1 Base'!L68,-'FPSO1 Otim'!L$3,0))</f>
        <v>1080.672</v>
      </c>
      <c r="M71" s="19">
        <f ca="1">IF($A71-M$3&lt;2,0,OFFSET('FPSO1 Base'!M68,-'FPSO1 Otim'!M$3,0))</f>
        <v>877.34999999999991</v>
      </c>
      <c r="N71" s="19">
        <f ca="1">IF($A71-N$3&lt;2,0,OFFSET('FPSO1 Base'!N68,-'FPSO1 Otim'!N$3,0))</f>
        <v>201.32550000000003</v>
      </c>
      <c r="O71" s="19">
        <f ca="1">IF($A71-O$3&lt;2,0,OFFSET('FPSO1 Base'!O68,-'FPSO1 Otim'!O$3,0))</f>
        <v>0</v>
      </c>
      <c r="P71" s="19">
        <f ca="1">IF($A71-P$3&lt;2,0,OFFSET('FPSO1 Base'!P68,-'FPSO1 Otim'!P$3,0))</f>
        <v>336.726</v>
      </c>
      <c r="Q71" s="19">
        <f ca="1">IF($A71-Q$3&lt;2,0,OFFSET('FPSO1 Base'!Q68,-'FPSO1 Otim'!Q$3,0))</f>
        <v>475.72950000000003</v>
      </c>
      <c r="R71" s="19">
        <f ca="1">IF($A71-R$3&lt;2,0,OFFSET('FPSO1 Base'!R68,-'FPSO1 Otim'!R$3,0))</f>
        <v>472.04100000000005</v>
      </c>
      <c r="S71" s="19">
        <f ca="1">IF($A71-S$3&lt;2,0,OFFSET('FPSO1 Base'!S68,-'FPSO1 Otim'!S$3,0))</f>
        <v>0</v>
      </c>
      <c r="T71" s="19">
        <f ca="1">IF($A71-T$3&lt;2,0,OFFSET('FPSO1 Base'!T68,-'FPSO1 Otim'!T$3,0))</f>
        <v>735.21900000000005</v>
      </c>
      <c r="U71" s="19">
        <f ca="1">IF($A71-U$3&lt;2,0,OFFSET('FPSO1 Base'!U68,-'FPSO1 Otim'!U$3,0))</f>
        <v>819.45900000000006</v>
      </c>
      <c r="V71" s="19">
        <f ca="1">IF($A71-V$3&lt;2,0,OFFSET('FPSO1 Base'!V68,-'FPSO1 Otim'!V$3,0))</f>
        <v>1100.0999999999999</v>
      </c>
      <c r="W71" s="19">
        <f ca="1">IF($A71-W$3&lt;2,0,OFFSET('FPSO1 Base'!W68,-'FPSO1 Otim'!W$3,0))</f>
        <v>519.15449999999998</v>
      </c>
      <c r="X71" s="19">
        <f ca="1">IF($A71-X$3&lt;2,0,OFFSET('FPSO1 Base'!X68,-'FPSO1 Otim'!X$3,0))</f>
        <v>1342.7909999999999</v>
      </c>
      <c r="Y71" s="19">
        <f ca="1">IF($A71-Y$3&lt;2,0,OFFSET('FPSO1 Base'!Y68,-'FPSO1 Otim'!Y$3,0))</f>
        <v>612.07500000000005</v>
      </c>
      <c r="Z71" s="19">
        <f ca="1">IF($A71-Z$3&lt;2,0,OFFSET('FPSO1 Base'!Z68,-'FPSO1 Otim'!Z$3,0))</f>
        <v>0</v>
      </c>
      <c r="AA71" s="20">
        <v>15000</v>
      </c>
      <c r="AB71" s="19">
        <f t="shared" ref="AB71:AB134" ca="1" si="7">SUM(C71:Z71)</f>
        <v>13110.315000000001</v>
      </c>
      <c r="AC71" s="20">
        <f t="shared" ref="AC71:AC134" ca="1" si="8">AA71-AB71</f>
        <v>1889.6849999999995</v>
      </c>
      <c r="AD71" s="19">
        <f t="shared" ref="AD71:AD134" ca="1" si="9">AB71/(1+$AD$2)^(A71-2)</f>
        <v>7644.4289597867019</v>
      </c>
    </row>
    <row r="72" spans="1:30" x14ac:dyDescent="0.25">
      <c r="A72" s="19">
        <v>68</v>
      </c>
      <c r="B72" s="31">
        <v>47665</v>
      </c>
      <c r="C72" s="19">
        <f ca="1">IF($A72-C$3&lt;2,0,OFFSET('FPSO1 Base'!C69,-'FPSO1 Otim'!C$3,0))</f>
        <v>1677.7305000000001</v>
      </c>
      <c r="D72" s="19">
        <f ca="1">IF($A72-D$3&lt;2,0,OFFSET('FPSO1 Base'!D69,-'FPSO1 Otim'!D$3,0))</f>
        <v>0</v>
      </c>
      <c r="E72" s="19">
        <f ca="1">IF($A72-E$3&lt;2,0,OFFSET('FPSO1 Base'!E69,-'FPSO1 Otim'!E$3,0))</f>
        <v>747.303</v>
      </c>
      <c r="F72" s="19">
        <f ca="1">IF($A72-F$3&lt;2,0,OFFSET('FPSO1 Base'!F69,-'FPSO1 Otim'!F$3,0))</f>
        <v>1121.4555</v>
      </c>
      <c r="G72" s="19">
        <f ca="1">IF($A72-G$3&lt;2,0,OFFSET('FPSO1 Base'!G69,-'FPSO1 Otim'!G$3,0))</f>
        <v>395.05949999999996</v>
      </c>
      <c r="H72" s="19">
        <f ca="1">IF($A72-H$3&lt;2,0,OFFSET('FPSO1 Base'!H69,-'FPSO1 Otim'!H$3,0))</f>
        <v>0</v>
      </c>
      <c r="I72" s="19">
        <f ca="1">IF($A72-I$3&lt;2,0,OFFSET('FPSO1 Base'!I69,-'FPSO1 Otim'!I$3,0))</f>
        <v>0</v>
      </c>
      <c r="J72" s="19">
        <f ca="1">IF($A72-J$3&lt;2,0,OFFSET('FPSO1 Base'!J69,-'FPSO1 Otim'!J$3,0))</f>
        <v>0</v>
      </c>
      <c r="K72" s="19">
        <f ca="1">IF($A72-K$3&lt;2,0,OFFSET('FPSO1 Base'!K69,-'FPSO1 Otim'!K$3,0))</f>
        <v>584.61899999999991</v>
      </c>
      <c r="L72" s="19">
        <f ca="1">IF($A72-L$3&lt;2,0,OFFSET('FPSO1 Base'!L69,-'FPSO1 Otim'!L$3,0))</f>
        <v>1067.0564999999999</v>
      </c>
      <c r="M72" s="19">
        <f ca="1">IF($A72-M$3&lt;2,0,OFFSET('FPSO1 Base'!M69,-'FPSO1 Otim'!M$3,0))</f>
        <v>873.13350000000014</v>
      </c>
      <c r="N72" s="19">
        <f ca="1">IF($A72-N$3&lt;2,0,OFFSET('FPSO1 Base'!N69,-'FPSO1 Otim'!N$3,0))</f>
        <v>199.548</v>
      </c>
      <c r="O72" s="19">
        <f ca="1">IF($A72-O$3&lt;2,0,OFFSET('FPSO1 Base'!O69,-'FPSO1 Otim'!O$3,0))</f>
        <v>0</v>
      </c>
      <c r="P72" s="19">
        <f ca="1">IF($A72-P$3&lt;2,0,OFFSET('FPSO1 Base'!P69,-'FPSO1 Otim'!P$3,0))</f>
        <v>334.27499999999998</v>
      </c>
      <c r="Q72" s="19">
        <f ca="1">IF($A72-Q$3&lt;2,0,OFFSET('FPSO1 Base'!Q69,-'FPSO1 Otim'!Q$3,0))</f>
        <v>474.26250000000005</v>
      </c>
      <c r="R72" s="19">
        <f ca="1">IF($A72-R$3&lt;2,0,OFFSET('FPSO1 Base'!R69,-'FPSO1 Otim'!R$3,0))</f>
        <v>459.32549999999998</v>
      </c>
      <c r="S72" s="19">
        <f ca="1">IF($A72-S$3&lt;2,0,OFFSET('FPSO1 Base'!S69,-'FPSO1 Otim'!S$3,0))</f>
        <v>0</v>
      </c>
      <c r="T72" s="19">
        <f ca="1">IF($A72-T$3&lt;2,0,OFFSET('FPSO1 Base'!T69,-'FPSO1 Otim'!T$3,0))</f>
        <v>729.702</v>
      </c>
      <c r="U72" s="19">
        <f ca="1">IF($A72-U$3&lt;2,0,OFFSET('FPSO1 Base'!U69,-'FPSO1 Otim'!U$3,0))</f>
        <v>813.97499999999991</v>
      </c>
      <c r="V72" s="19">
        <f ca="1">IF($A72-V$3&lt;2,0,OFFSET('FPSO1 Base'!V69,-'FPSO1 Otim'!V$3,0))</f>
        <v>1099.2090000000001</v>
      </c>
      <c r="W72" s="19">
        <f ca="1">IF($A72-W$3&lt;2,0,OFFSET('FPSO1 Base'!W69,-'FPSO1 Otim'!W$3,0))</f>
        <v>515.85450000000003</v>
      </c>
      <c r="X72" s="19">
        <f ca="1">IF($A72-X$3&lt;2,0,OFFSET('FPSO1 Base'!X69,-'FPSO1 Otim'!X$3,0))</f>
        <v>1340.4</v>
      </c>
      <c r="Y72" s="19">
        <f ca="1">IF($A72-Y$3&lt;2,0,OFFSET('FPSO1 Base'!Y69,-'FPSO1 Otim'!Y$3,0))</f>
        <v>610.58399999999995</v>
      </c>
      <c r="Z72" s="19">
        <f ca="1">IF($A72-Z$3&lt;2,0,OFFSET('FPSO1 Base'!Z69,-'FPSO1 Otim'!Z$3,0))</f>
        <v>0</v>
      </c>
      <c r="AA72" s="20">
        <v>15000</v>
      </c>
      <c r="AB72" s="19">
        <f t="shared" ca="1" si="7"/>
        <v>13043.492999999999</v>
      </c>
      <c r="AC72" s="20">
        <f t="shared" ca="1" si="8"/>
        <v>1956.5070000000014</v>
      </c>
      <c r="AD72" s="19">
        <f t="shared" ca="1" si="9"/>
        <v>7542.6109578205751</v>
      </c>
    </row>
    <row r="73" spans="1:30" x14ac:dyDescent="0.25">
      <c r="A73" s="19">
        <v>69</v>
      </c>
      <c r="B73" s="31">
        <v>47696</v>
      </c>
      <c r="C73" s="19">
        <f ca="1">IF($A73-C$3&lt;2,0,OFFSET('FPSO1 Base'!C70,-'FPSO1 Otim'!C$3,0))</f>
        <v>1677.5535</v>
      </c>
      <c r="D73" s="19">
        <f ca="1">IF($A73-D$3&lt;2,0,OFFSET('FPSO1 Base'!D70,-'FPSO1 Otim'!D$3,0))</f>
        <v>0</v>
      </c>
      <c r="E73" s="19">
        <f ca="1">IF($A73-E$3&lt;2,0,OFFSET('FPSO1 Base'!E70,-'FPSO1 Otim'!E$3,0))</f>
        <v>744.33150000000001</v>
      </c>
      <c r="F73" s="19">
        <f ca="1">IF($A73-F$3&lt;2,0,OFFSET('FPSO1 Base'!F70,-'FPSO1 Otim'!F$3,0))</f>
        <v>1113.8820000000001</v>
      </c>
      <c r="G73" s="19">
        <f ca="1">IF($A73-G$3&lt;2,0,OFFSET('FPSO1 Base'!G70,-'FPSO1 Otim'!G$3,0))</f>
        <v>395.54999999999995</v>
      </c>
      <c r="H73" s="19">
        <f ca="1">IF($A73-H$3&lt;2,0,OFFSET('FPSO1 Base'!H70,-'FPSO1 Otim'!H$3,0))</f>
        <v>0</v>
      </c>
      <c r="I73" s="19">
        <f ca="1">IF($A73-I$3&lt;2,0,OFFSET('FPSO1 Base'!I70,-'FPSO1 Otim'!I$3,0))</f>
        <v>0</v>
      </c>
      <c r="J73" s="19">
        <f ca="1">IF($A73-J$3&lt;2,0,OFFSET('FPSO1 Base'!J70,-'FPSO1 Otim'!J$3,0))</f>
        <v>0</v>
      </c>
      <c r="K73" s="19">
        <f ca="1">IF($A73-K$3&lt;2,0,OFFSET('FPSO1 Base'!K70,-'FPSO1 Otim'!K$3,0))</f>
        <v>582.62850000000003</v>
      </c>
      <c r="L73" s="19">
        <f ca="1">IF($A73-L$3&lt;2,0,OFFSET('FPSO1 Base'!L70,-'FPSO1 Otim'!L$3,0))</f>
        <v>1054.8689999999999</v>
      </c>
      <c r="M73" s="19">
        <f ca="1">IF($A73-M$3&lt;2,0,OFFSET('FPSO1 Base'!M70,-'FPSO1 Otim'!M$3,0))</f>
        <v>868.77449999999999</v>
      </c>
      <c r="N73" s="19">
        <f ca="1">IF($A73-N$3&lt;2,0,OFFSET('FPSO1 Base'!N70,-'FPSO1 Otim'!N$3,0))</f>
        <v>197.65049999999999</v>
      </c>
      <c r="O73" s="19">
        <f ca="1">IF($A73-O$3&lt;2,0,OFFSET('FPSO1 Base'!O70,-'FPSO1 Otim'!O$3,0))</f>
        <v>0</v>
      </c>
      <c r="P73" s="19">
        <f ca="1">IF($A73-P$3&lt;2,0,OFFSET('FPSO1 Base'!P70,-'FPSO1 Otim'!P$3,0))</f>
        <v>331.959</v>
      </c>
      <c r="Q73" s="19">
        <f ca="1">IF($A73-Q$3&lt;2,0,OFFSET('FPSO1 Base'!Q70,-'FPSO1 Otim'!Q$3,0))</f>
        <v>468.798</v>
      </c>
      <c r="R73" s="19">
        <f ca="1">IF($A73-R$3&lt;2,0,OFFSET('FPSO1 Base'!R70,-'FPSO1 Otim'!R$3,0))</f>
        <v>448.69350000000003</v>
      </c>
      <c r="S73" s="19">
        <f ca="1">IF($A73-S$3&lt;2,0,OFFSET('FPSO1 Base'!S70,-'FPSO1 Otim'!S$3,0))</f>
        <v>0</v>
      </c>
      <c r="T73" s="19">
        <f ca="1">IF($A73-T$3&lt;2,0,OFFSET('FPSO1 Base'!T70,-'FPSO1 Otim'!T$3,0))</f>
        <v>723.85050000000001</v>
      </c>
      <c r="U73" s="19">
        <f ca="1">IF($A73-U$3&lt;2,0,OFFSET('FPSO1 Base'!U70,-'FPSO1 Otim'!U$3,0))</f>
        <v>808.88700000000006</v>
      </c>
      <c r="V73" s="19">
        <f ca="1">IF($A73-V$3&lt;2,0,OFFSET('FPSO1 Base'!V70,-'FPSO1 Otim'!V$3,0))</f>
        <v>1098.1995000000002</v>
      </c>
      <c r="W73" s="19">
        <f ca="1">IF($A73-W$3&lt;2,0,OFFSET('FPSO1 Base'!W70,-'FPSO1 Otim'!W$3,0))</f>
        <v>512.16300000000001</v>
      </c>
      <c r="X73" s="19">
        <f ca="1">IF($A73-X$3&lt;2,0,OFFSET('FPSO1 Base'!X70,-'FPSO1 Otim'!X$3,0))</f>
        <v>1338.1935000000001</v>
      </c>
      <c r="Y73" s="19">
        <f ca="1">IF($A73-Y$3&lt;2,0,OFFSET('FPSO1 Base'!Y70,-'FPSO1 Otim'!Y$3,0))</f>
        <v>609.327</v>
      </c>
      <c r="Z73" s="19">
        <f ca="1">IF($A73-Z$3&lt;2,0,OFFSET('FPSO1 Base'!Z70,-'FPSO1 Otim'!Z$3,0))</f>
        <v>0</v>
      </c>
      <c r="AA73" s="20">
        <v>15000</v>
      </c>
      <c r="AB73" s="19">
        <f t="shared" ca="1" si="7"/>
        <v>12975.3105</v>
      </c>
      <c r="AC73" s="20">
        <f t="shared" ca="1" si="8"/>
        <v>2024.6895000000004</v>
      </c>
      <c r="AD73" s="19">
        <f t="shared" ca="1" si="9"/>
        <v>7441.1735440152534</v>
      </c>
    </row>
    <row r="74" spans="1:30" x14ac:dyDescent="0.25">
      <c r="A74" s="19">
        <v>70</v>
      </c>
      <c r="B74" s="31">
        <v>47727</v>
      </c>
      <c r="C74" s="19">
        <f ca="1">IF($A74-C$3&lt;2,0,OFFSET('FPSO1 Base'!C71,-'FPSO1 Otim'!C$3,0))</f>
        <v>1677.405</v>
      </c>
      <c r="D74" s="19">
        <f ca="1">IF($A74-D$3&lt;2,0,OFFSET('FPSO1 Base'!D71,-'FPSO1 Otim'!D$3,0))</f>
        <v>0</v>
      </c>
      <c r="E74" s="19">
        <f ca="1">IF($A74-E$3&lt;2,0,OFFSET('FPSO1 Base'!E71,-'FPSO1 Otim'!E$3,0))</f>
        <v>735.66</v>
      </c>
      <c r="F74" s="19">
        <f ca="1">IF($A74-F$3&lt;2,0,OFFSET('FPSO1 Base'!F71,-'FPSO1 Otim'!F$3,0))</f>
        <v>1106.8125</v>
      </c>
      <c r="G74" s="19">
        <f ca="1">IF($A74-G$3&lt;2,0,OFFSET('FPSO1 Base'!G71,-'FPSO1 Otim'!G$3,0))</f>
        <v>395.05649999999997</v>
      </c>
      <c r="H74" s="19">
        <f ca="1">IF($A74-H$3&lt;2,0,OFFSET('FPSO1 Base'!H71,-'FPSO1 Otim'!H$3,0))</f>
        <v>0</v>
      </c>
      <c r="I74" s="19">
        <f ca="1">IF($A74-I$3&lt;2,0,OFFSET('FPSO1 Base'!I71,-'FPSO1 Otim'!I$3,0))</f>
        <v>0</v>
      </c>
      <c r="J74" s="19">
        <f ca="1">IF($A74-J$3&lt;2,0,OFFSET('FPSO1 Base'!J71,-'FPSO1 Otim'!J$3,0))</f>
        <v>0</v>
      </c>
      <c r="K74" s="19">
        <f ca="1">IF($A74-K$3&lt;2,0,OFFSET('FPSO1 Base'!K71,-'FPSO1 Otim'!K$3,0))</f>
        <v>580.48800000000006</v>
      </c>
      <c r="L74" s="19">
        <f ca="1">IF($A74-L$3&lt;2,0,OFFSET('FPSO1 Base'!L71,-'FPSO1 Otim'!L$3,0))</f>
        <v>1041.9870000000001</v>
      </c>
      <c r="M74" s="19">
        <f ca="1">IF($A74-M$3&lt;2,0,OFFSET('FPSO1 Base'!M71,-'FPSO1 Otim'!M$3,0))</f>
        <v>864.74399999999991</v>
      </c>
      <c r="N74" s="19">
        <f ca="1">IF($A74-N$3&lt;2,0,OFFSET('FPSO1 Base'!N71,-'FPSO1 Otim'!N$3,0))</f>
        <v>195.798</v>
      </c>
      <c r="O74" s="19">
        <f ca="1">IF($A74-O$3&lt;2,0,OFFSET('FPSO1 Base'!O71,-'FPSO1 Otim'!O$3,0))</f>
        <v>0</v>
      </c>
      <c r="P74" s="19">
        <f ca="1">IF($A74-P$3&lt;2,0,OFFSET('FPSO1 Base'!P71,-'FPSO1 Otim'!P$3,0))</f>
        <v>329.637</v>
      </c>
      <c r="Q74" s="19">
        <f ca="1">IF($A74-Q$3&lt;2,0,OFFSET('FPSO1 Base'!Q71,-'FPSO1 Otim'!Q$3,0))</f>
        <v>467.15250000000003</v>
      </c>
      <c r="R74" s="19">
        <f ca="1">IF($A74-R$3&lt;2,0,OFFSET('FPSO1 Base'!R71,-'FPSO1 Otim'!R$3,0))</f>
        <v>438.96749999999997</v>
      </c>
      <c r="S74" s="19">
        <f ca="1">IF($A74-S$3&lt;2,0,OFFSET('FPSO1 Base'!S71,-'FPSO1 Otim'!S$3,0))</f>
        <v>0</v>
      </c>
      <c r="T74" s="19">
        <f ca="1">IF($A74-T$3&lt;2,0,OFFSET('FPSO1 Base'!T71,-'FPSO1 Otim'!T$3,0))</f>
        <v>718.476</v>
      </c>
      <c r="U74" s="19">
        <f ca="1">IF($A74-U$3&lt;2,0,OFFSET('FPSO1 Base'!U71,-'FPSO1 Otim'!U$3,0))</f>
        <v>804.24149999999986</v>
      </c>
      <c r="V74" s="19">
        <f ca="1">IF($A74-V$3&lt;2,0,OFFSET('FPSO1 Base'!V71,-'FPSO1 Otim'!V$3,0))</f>
        <v>1096.9349999999999</v>
      </c>
      <c r="W74" s="19">
        <f ca="1">IF($A74-W$3&lt;2,0,OFFSET('FPSO1 Base'!W71,-'FPSO1 Otim'!W$3,0))</f>
        <v>508.79100000000005</v>
      </c>
      <c r="X74" s="19">
        <f ca="1">IF($A74-X$3&lt;2,0,OFFSET('FPSO1 Base'!X71,-'FPSO1 Otim'!X$3,0))</f>
        <v>1335.9914999999999</v>
      </c>
      <c r="Y74" s="19">
        <f ca="1">IF($A74-Y$3&lt;2,0,OFFSET('FPSO1 Base'!Y71,-'FPSO1 Otim'!Y$3,0))</f>
        <v>607.91249999999991</v>
      </c>
      <c r="Z74" s="19">
        <f ca="1">IF($A74-Z$3&lt;2,0,OFFSET('FPSO1 Base'!Z71,-'FPSO1 Otim'!Z$3,0))</f>
        <v>0</v>
      </c>
      <c r="AA74" s="20">
        <v>15000</v>
      </c>
      <c r="AB74" s="19">
        <f t="shared" ca="1" si="7"/>
        <v>12906.055499999999</v>
      </c>
      <c r="AC74" s="20">
        <f t="shared" ca="1" si="8"/>
        <v>2093.9445000000014</v>
      </c>
      <c r="AD74" s="19">
        <f t="shared" ca="1" si="9"/>
        <v>7340.2876294378721</v>
      </c>
    </row>
    <row r="75" spans="1:30" x14ac:dyDescent="0.25">
      <c r="A75" s="19">
        <v>71</v>
      </c>
      <c r="B75" s="31">
        <v>47757</v>
      </c>
      <c r="C75" s="19">
        <f ca="1">IF($A75-C$3&lt;2,0,OFFSET('FPSO1 Base'!C72,-'FPSO1 Otim'!C$3,0))</f>
        <v>1677.258</v>
      </c>
      <c r="D75" s="19">
        <f ca="1">IF($A75-D$3&lt;2,0,OFFSET('FPSO1 Base'!D72,-'FPSO1 Otim'!D$3,0))</f>
        <v>0</v>
      </c>
      <c r="E75" s="19">
        <f ca="1">IF($A75-E$3&lt;2,0,OFFSET('FPSO1 Base'!E72,-'FPSO1 Otim'!E$3,0))</f>
        <v>732.678</v>
      </c>
      <c r="F75" s="19">
        <f ca="1">IF($A75-F$3&lt;2,0,OFFSET('FPSO1 Base'!F72,-'FPSO1 Otim'!F$3,0))</f>
        <v>1099.845</v>
      </c>
      <c r="G75" s="19">
        <f ca="1">IF($A75-G$3&lt;2,0,OFFSET('FPSO1 Base'!G72,-'FPSO1 Otim'!G$3,0))</f>
        <v>394.89300000000003</v>
      </c>
      <c r="H75" s="19">
        <f ca="1">IF($A75-H$3&lt;2,0,OFFSET('FPSO1 Base'!H72,-'FPSO1 Otim'!H$3,0))</f>
        <v>0</v>
      </c>
      <c r="I75" s="19">
        <f ca="1">IF($A75-I$3&lt;2,0,OFFSET('FPSO1 Base'!I72,-'FPSO1 Otim'!I$3,0))</f>
        <v>0</v>
      </c>
      <c r="J75" s="19">
        <f ca="1">IF($A75-J$3&lt;2,0,OFFSET('FPSO1 Base'!J72,-'FPSO1 Otim'!J$3,0))</f>
        <v>0</v>
      </c>
      <c r="K75" s="19">
        <f ca="1">IF($A75-K$3&lt;2,0,OFFSET('FPSO1 Base'!K72,-'FPSO1 Otim'!K$3,0))</f>
        <v>578.47950000000003</v>
      </c>
      <c r="L75" s="19">
        <f ca="1">IF($A75-L$3&lt;2,0,OFFSET('FPSO1 Base'!L72,-'FPSO1 Otim'!L$3,0))</f>
        <v>1025.3475000000001</v>
      </c>
      <c r="M75" s="19">
        <f ca="1">IF($A75-M$3&lt;2,0,OFFSET('FPSO1 Base'!M72,-'FPSO1 Otim'!M$3,0))</f>
        <v>860.44350000000009</v>
      </c>
      <c r="N75" s="19">
        <f ca="1">IF($A75-N$3&lt;2,0,OFFSET('FPSO1 Base'!N72,-'FPSO1 Otim'!N$3,0))</f>
        <v>193.98450000000003</v>
      </c>
      <c r="O75" s="19">
        <f ca="1">IF($A75-O$3&lt;2,0,OFFSET('FPSO1 Base'!O72,-'FPSO1 Otim'!O$3,0))</f>
        <v>0</v>
      </c>
      <c r="P75" s="19">
        <f ca="1">IF($A75-P$3&lt;2,0,OFFSET('FPSO1 Base'!P72,-'FPSO1 Otim'!P$3,0))</f>
        <v>327.25049999999999</v>
      </c>
      <c r="Q75" s="19">
        <f ca="1">IF($A75-Q$3&lt;2,0,OFFSET('FPSO1 Base'!Q72,-'FPSO1 Otim'!Q$3,0))</f>
        <v>466.005</v>
      </c>
      <c r="R75" s="19">
        <f ca="1">IF($A75-R$3&lt;2,0,OFFSET('FPSO1 Base'!R72,-'FPSO1 Otim'!R$3,0))</f>
        <v>428.38350000000003</v>
      </c>
      <c r="S75" s="19">
        <f ca="1">IF($A75-S$3&lt;2,0,OFFSET('FPSO1 Base'!S72,-'FPSO1 Otim'!S$3,0))</f>
        <v>0</v>
      </c>
      <c r="T75" s="19">
        <f ca="1">IF($A75-T$3&lt;2,0,OFFSET('FPSO1 Base'!T72,-'FPSO1 Otim'!T$3,0))</f>
        <v>713.52149999999995</v>
      </c>
      <c r="U75" s="19">
        <f ca="1">IF($A75-U$3&lt;2,0,OFFSET('FPSO1 Base'!U72,-'FPSO1 Otim'!U$3,0))</f>
        <v>798.88350000000014</v>
      </c>
      <c r="V75" s="19">
        <f ca="1">IF($A75-V$3&lt;2,0,OFFSET('FPSO1 Base'!V72,-'FPSO1 Otim'!V$3,0))</f>
        <v>1095.6779999999999</v>
      </c>
      <c r="W75" s="19">
        <f ca="1">IF($A75-W$3&lt;2,0,OFFSET('FPSO1 Base'!W72,-'FPSO1 Otim'!W$3,0))</f>
        <v>505.16249999999997</v>
      </c>
      <c r="X75" s="19">
        <f ca="1">IF($A75-X$3&lt;2,0,OFFSET('FPSO1 Base'!X72,-'FPSO1 Otim'!X$3,0))</f>
        <v>1333.6995000000002</v>
      </c>
      <c r="Y75" s="19">
        <f ca="1">IF($A75-Y$3&lt;2,0,OFFSET('FPSO1 Base'!Y72,-'FPSO1 Otim'!Y$3,0))</f>
        <v>606.63149999999996</v>
      </c>
      <c r="Z75" s="19">
        <f ca="1">IF($A75-Z$3&lt;2,0,OFFSET('FPSO1 Base'!Z72,-'FPSO1 Otim'!Z$3,0))</f>
        <v>0</v>
      </c>
      <c r="AA75" s="20">
        <v>15000</v>
      </c>
      <c r="AB75" s="19">
        <f t="shared" ca="1" si="7"/>
        <v>12838.1445</v>
      </c>
      <c r="AC75" s="20">
        <f t="shared" ca="1" si="8"/>
        <v>2161.8554999999997</v>
      </c>
      <c r="AD75" s="19">
        <f t="shared" ca="1" si="9"/>
        <v>7241.319087871213</v>
      </c>
    </row>
    <row r="76" spans="1:30" x14ac:dyDescent="0.25">
      <c r="A76" s="19">
        <v>72</v>
      </c>
      <c r="B76" s="31">
        <v>47788</v>
      </c>
      <c r="C76" s="19">
        <f ca="1">IF($A76-C$3&lt;2,0,OFFSET('FPSO1 Base'!C73,-'FPSO1 Otim'!C$3,0))</f>
        <v>1677.0990000000002</v>
      </c>
      <c r="D76" s="19">
        <f ca="1">IF($A76-D$3&lt;2,0,OFFSET('FPSO1 Base'!D73,-'FPSO1 Otim'!D$3,0))</f>
        <v>0</v>
      </c>
      <c r="E76" s="19">
        <f ca="1">IF($A76-E$3&lt;2,0,OFFSET('FPSO1 Base'!E73,-'FPSO1 Otim'!E$3,0))</f>
        <v>729.77699999999993</v>
      </c>
      <c r="F76" s="19">
        <f ca="1">IF($A76-F$3&lt;2,0,OFFSET('FPSO1 Base'!F73,-'FPSO1 Otim'!F$3,0))</f>
        <v>1092.6374999999998</v>
      </c>
      <c r="G76" s="19">
        <f ca="1">IF($A76-G$3&lt;2,0,OFFSET('FPSO1 Base'!G73,-'FPSO1 Otim'!G$3,0))</f>
        <v>394.81499999999994</v>
      </c>
      <c r="H76" s="19">
        <f ca="1">IF($A76-H$3&lt;2,0,OFFSET('FPSO1 Base'!H73,-'FPSO1 Otim'!H$3,0))</f>
        <v>0</v>
      </c>
      <c r="I76" s="19">
        <f ca="1">IF($A76-I$3&lt;2,0,OFFSET('FPSO1 Base'!I73,-'FPSO1 Otim'!I$3,0))</f>
        <v>0</v>
      </c>
      <c r="J76" s="19">
        <f ca="1">IF($A76-J$3&lt;2,0,OFFSET('FPSO1 Base'!J73,-'FPSO1 Otim'!J$3,0))</f>
        <v>0</v>
      </c>
      <c r="K76" s="19">
        <f ca="1">IF($A76-K$3&lt;2,0,OFFSET('FPSO1 Base'!K73,-'FPSO1 Otim'!K$3,0))</f>
        <v>576.47249999999997</v>
      </c>
      <c r="L76" s="19">
        <f ca="1">IF($A76-L$3&lt;2,0,OFFSET('FPSO1 Base'!L73,-'FPSO1 Otim'!L$3,0))</f>
        <v>1013.673</v>
      </c>
      <c r="M76" s="19">
        <f ca="1">IF($A76-M$3&lt;2,0,OFFSET('FPSO1 Base'!M73,-'FPSO1 Otim'!M$3,0))</f>
        <v>854.89949999999999</v>
      </c>
      <c r="N76" s="19">
        <f ca="1">IF($A76-N$3&lt;2,0,OFFSET('FPSO1 Base'!N73,-'FPSO1 Otim'!N$3,0))</f>
        <v>192</v>
      </c>
      <c r="O76" s="19">
        <f ca="1">IF($A76-O$3&lt;2,0,OFFSET('FPSO1 Base'!O73,-'FPSO1 Otim'!O$3,0))</f>
        <v>0</v>
      </c>
      <c r="P76" s="19">
        <f ca="1">IF($A76-P$3&lt;2,0,OFFSET('FPSO1 Base'!P73,-'FPSO1 Otim'!P$3,0))</f>
        <v>325.089</v>
      </c>
      <c r="Q76" s="19">
        <f ca="1">IF($A76-Q$3&lt;2,0,OFFSET('FPSO1 Base'!Q73,-'FPSO1 Otim'!Q$3,0))</f>
        <v>465.10949999999997</v>
      </c>
      <c r="R76" s="19">
        <f ca="1">IF($A76-R$3&lt;2,0,OFFSET('FPSO1 Base'!R73,-'FPSO1 Otim'!R$3,0))</f>
        <v>420.411</v>
      </c>
      <c r="S76" s="19">
        <f ca="1">IF($A76-S$3&lt;2,0,OFFSET('FPSO1 Base'!S73,-'FPSO1 Otim'!S$3,0))</f>
        <v>0</v>
      </c>
      <c r="T76" s="19">
        <f ca="1">IF($A76-T$3&lt;2,0,OFFSET('FPSO1 Base'!T73,-'FPSO1 Otim'!T$3,0))</f>
        <v>707.9190000000001</v>
      </c>
      <c r="U76" s="19">
        <f ca="1">IF($A76-U$3&lt;2,0,OFFSET('FPSO1 Base'!U73,-'FPSO1 Otim'!U$3,0))</f>
        <v>794.66100000000006</v>
      </c>
      <c r="V76" s="19">
        <f ca="1">IF($A76-V$3&lt;2,0,OFFSET('FPSO1 Base'!V73,-'FPSO1 Otim'!V$3,0))</f>
        <v>1094.2004999999999</v>
      </c>
      <c r="W76" s="19">
        <f ca="1">IF($A76-W$3&lt;2,0,OFFSET('FPSO1 Base'!W73,-'FPSO1 Otim'!W$3,0))</f>
        <v>501.73800000000006</v>
      </c>
      <c r="X76" s="19">
        <f ca="1">IF($A76-X$3&lt;2,0,OFFSET('FPSO1 Base'!X73,-'FPSO1 Otim'!X$3,0))</f>
        <v>1331.6370000000002</v>
      </c>
      <c r="Y76" s="19">
        <f ca="1">IF($A76-Y$3&lt;2,0,OFFSET('FPSO1 Base'!Y73,-'FPSO1 Otim'!Y$3,0))</f>
        <v>605.24699999999996</v>
      </c>
      <c r="Z76" s="19">
        <f ca="1">IF($A76-Z$3&lt;2,0,OFFSET('FPSO1 Base'!Z73,-'FPSO1 Otim'!Z$3,0))</f>
        <v>0</v>
      </c>
      <c r="AA76" s="20">
        <v>15000</v>
      </c>
      <c r="AB76" s="19">
        <f t="shared" ca="1" si="7"/>
        <v>12777.3855</v>
      </c>
      <c r="AC76" s="20">
        <f t="shared" ca="1" si="8"/>
        <v>2222.6144999999997</v>
      </c>
      <c r="AD76" s="19">
        <f t="shared" ca="1" si="9"/>
        <v>7147.48576442986</v>
      </c>
    </row>
    <row r="77" spans="1:30" x14ac:dyDescent="0.25">
      <c r="A77" s="19">
        <v>73</v>
      </c>
      <c r="B77" s="31">
        <v>47818</v>
      </c>
      <c r="C77" s="19">
        <f ca="1">IF($A77-C$3&lt;2,0,OFFSET('FPSO1 Base'!C74,-'FPSO1 Otim'!C$3,0))</f>
        <v>1676.9505000000001</v>
      </c>
      <c r="D77" s="19">
        <f ca="1">IF($A77-D$3&lt;2,0,OFFSET('FPSO1 Base'!D74,-'FPSO1 Otim'!D$3,0))</f>
        <v>0</v>
      </c>
      <c r="E77" s="19">
        <f ca="1">IF($A77-E$3&lt;2,0,OFFSET('FPSO1 Base'!E74,-'FPSO1 Otim'!E$3,0))</f>
        <v>727.47</v>
      </c>
      <c r="F77" s="19">
        <f ca="1">IF($A77-F$3&lt;2,0,OFFSET('FPSO1 Base'!F74,-'FPSO1 Otim'!F$3,0))</f>
        <v>1086.1575</v>
      </c>
      <c r="G77" s="19">
        <f ca="1">IF($A77-G$3&lt;2,0,OFFSET('FPSO1 Base'!G74,-'FPSO1 Otim'!G$3,0))</f>
        <v>394.31100000000004</v>
      </c>
      <c r="H77" s="19">
        <f ca="1">IF($A77-H$3&lt;2,0,OFFSET('FPSO1 Base'!H74,-'FPSO1 Otim'!H$3,0))</f>
        <v>0</v>
      </c>
      <c r="I77" s="19">
        <f ca="1">IF($A77-I$3&lt;2,0,OFFSET('FPSO1 Base'!I74,-'FPSO1 Otim'!I$3,0))</f>
        <v>0</v>
      </c>
      <c r="J77" s="19">
        <f ca="1">IF($A77-J$3&lt;2,0,OFFSET('FPSO1 Base'!J74,-'FPSO1 Otim'!J$3,0))</f>
        <v>0</v>
      </c>
      <c r="K77" s="19">
        <f ca="1">IF($A77-K$3&lt;2,0,OFFSET('FPSO1 Base'!K74,-'FPSO1 Otim'!K$3,0))</f>
        <v>574.35599999999999</v>
      </c>
      <c r="L77" s="19">
        <f ca="1">IF($A77-L$3&lt;2,0,OFFSET('FPSO1 Base'!L74,-'FPSO1 Otim'!L$3,0))</f>
        <v>1001.4765</v>
      </c>
      <c r="M77" s="19">
        <f ca="1">IF($A77-M$3&lt;2,0,OFFSET('FPSO1 Base'!M74,-'FPSO1 Otim'!M$3,0))</f>
        <v>850.05899999999997</v>
      </c>
      <c r="N77" s="19">
        <f ca="1">IF($A77-N$3&lt;2,0,OFFSET('FPSO1 Base'!N74,-'FPSO1 Otim'!N$3,0))</f>
        <v>190.2825</v>
      </c>
      <c r="O77" s="19">
        <f ca="1">IF($A77-O$3&lt;2,0,OFFSET('FPSO1 Base'!O74,-'FPSO1 Otim'!O$3,0))</f>
        <v>0</v>
      </c>
      <c r="P77" s="19">
        <f ca="1">IF($A77-P$3&lt;2,0,OFFSET('FPSO1 Base'!P74,-'FPSO1 Otim'!P$3,0))</f>
        <v>322.84950000000003</v>
      </c>
      <c r="Q77" s="19">
        <f ca="1">IF($A77-Q$3&lt;2,0,OFFSET('FPSO1 Base'!Q74,-'FPSO1 Otim'!Q$3,0))</f>
        <v>464.02500000000003</v>
      </c>
      <c r="R77" s="19">
        <f ca="1">IF($A77-R$3&lt;2,0,OFFSET('FPSO1 Base'!R74,-'FPSO1 Otim'!R$3,0))</f>
        <v>411.77549999999997</v>
      </c>
      <c r="S77" s="19">
        <f ca="1">IF($A77-S$3&lt;2,0,OFFSET('FPSO1 Base'!S74,-'FPSO1 Otim'!S$3,0))</f>
        <v>0</v>
      </c>
      <c r="T77" s="19">
        <f ca="1">IF($A77-T$3&lt;2,0,OFFSET('FPSO1 Base'!T74,-'FPSO1 Otim'!T$3,0))</f>
        <v>703.476</v>
      </c>
      <c r="U77" s="19">
        <f ca="1">IF($A77-U$3&lt;2,0,OFFSET('FPSO1 Base'!U74,-'FPSO1 Otim'!U$3,0))</f>
        <v>789.77550000000008</v>
      </c>
      <c r="V77" s="19">
        <f ca="1">IF($A77-V$3&lt;2,0,OFFSET('FPSO1 Base'!V74,-'FPSO1 Otim'!V$3,0))</f>
        <v>1092.5805</v>
      </c>
      <c r="W77" s="19">
        <f ca="1">IF($A77-W$3&lt;2,0,OFFSET('FPSO1 Base'!W74,-'FPSO1 Otim'!W$3,0))</f>
        <v>498.351</v>
      </c>
      <c r="X77" s="19">
        <f ca="1">IF($A77-X$3&lt;2,0,OFFSET('FPSO1 Base'!X74,-'FPSO1 Otim'!X$3,0))</f>
        <v>1329.4005000000002</v>
      </c>
      <c r="Y77" s="19">
        <f ca="1">IF($A77-Y$3&lt;2,0,OFFSET('FPSO1 Base'!Y74,-'FPSO1 Otim'!Y$3,0))</f>
        <v>603.94650000000001</v>
      </c>
      <c r="Z77" s="19">
        <f ca="1">IF($A77-Z$3&lt;2,0,OFFSET('FPSO1 Base'!Z74,-'FPSO1 Otim'!Z$3,0))</f>
        <v>0</v>
      </c>
      <c r="AA77" s="20">
        <v>15000</v>
      </c>
      <c r="AB77" s="19">
        <f t="shared" ca="1" si="7"/>
        <v>12717.243</v>
      </c>
      <c r="AC77" s="20">
        <f t="shared" ca="1" si="8"/>
        <v>2282.7569999999996</v>
      </c>
      <c r="AD77" s="19">
        <f t="shared" ca="1" si="9"/>
        <v>7055.0508243196618</v>
      </c>
    </row>
    <row r="78" spans="1:30" x14ac:dyDescent="0.25">
      <c r="A78" s="19">
        <v>74</v>
      </c>
      <c r="B78" s="31">
        <v>47849</v>
      </c>
      <c r="C78" s="19">
        <f ca="1">IF($A78-C$3&lt;2,0,OFFSET('FPSO1 Base'!C75,-'FPSO1 Otim'!C$3,0))</f>
        <v>1651.6934999999999</v>
      </c>
      <c r="D78" s="19">
        <f ca="1">IF($A78-D$3&lt;2,0,OFFSET('FPSO1 Base'!D75,-'FPSO1 Otim'!D$3,0))</f>
        <v>0</v>
      </c>
      <c r="E78" s="19">
        <f ca="1">IF($A78-E$3&lt;2,0,OFFSET('FPSO1 Base'!E75,-'FPSO1 Otim'!E$3,0))</f>
        <v>724.82549999999992</v>
      </c>
      <c r="F78" s="19">
        <f ca="1">IF($A78-F$3&lt;2,0,OFFSET('FPSO1 Base'!F75,-'FPSO1 Otim'!F$3,0))</f>
        <v>1079.1690000000001</v>
      </c>
      <c r="G78" s="19">
        <f ca="1">IF($A78-G$3&lt;2,0,OFFSET('FPSO1 Base'!G75,-'FPSO1 Otim'!G$3,0))</f>
        <v>393.61500000000001</v>
      </c>
      <c r="H78" s="19">
        <f ca="1">IF($A78-H$3&lt;2,0,OFFSET('FPSO1 Base'!H75,-'FPSO1 Otim'!H$3,0))</f>
        <v>0</v>
      </c>
      <c r="I78" s="19">
        <f ca="1">IF($A78-I$3&lt;2,0,OFFSET('FPSO1 Base'!I75,-'FPSO1 Otim'!I$3,0))</f>
        <v>0</v>
      </c>
      <c r="J78" s="19">
        <f ca="1">IF($A78-J$3&lt;2,0,OFFSET('FPSO1 Base'!J75,-'FPSO1 Otim'!J$3,0))</f>
        <v>0</v>
      </c>
      <c r="K78" s="19">
        <f ca="1">IF($A78-K$3&lt;2,0,OFFSET('FPSO1 Base'!K75,-'FPSO1 Otim'!K$3,0))</f>
        <v>572.4135</v>
      </c>
      <c r="L78" s="19">
        <f ca="1">IF($A78-L$3&lt;2,0,OFFSET('FPSO1 Base'!L75,-'FPSO1 Otim'!L$3,0))</f>
        <v>991.22849999999994</v>
      </c>
      <c r="M78" s="19">
        <f ca="1">IF($A78-M$3&lt;2,0,OFFSET('FPSO1 Base'!M75,-'FPSO1 Otim'!M$3,0))</f>
        <v>844.93050000000005</v>
      </c>
      <c r="N78" s="19">
        <f ca="1">IF($A78-N$3&lt;2,0,OFFSET('FPSO1 Base'!N75,-'FPSO1 Otim'!N$3,0))</f>
        <v>186.1755</v>
      </c>
      <c r="O78" s="19">
        <f ca="1">IF($A78-O$3&lt;2,0,OFFSET('FPSO1 Base'!O75,-'FPSO1 Otim'!O$3,0))</f>
        <v>0</v>
      </c>
      <c r="P78" s="19">
        <f ca="1">IF($A78-P$3&lt;2,0,OFFSET('FPSO1 Base'!P75,-'FPSO1 Otim'!P$3,0))</f>
        <v>320.73450000000003</v>
      </c>
      <c r="Q78" s="19">
        <f ca="1">IF($A78-Q$3&lt;2,0,OFFSET('FPSO1 Base'!Q75,-'FPSO1 Otim'!Q$3,0))</f>
        <v>463.089</v>
      </c>
      <c r="R78" s="19">
        <f ca="1">IF($A78-R$3&lt;2,0,OFFSET('FPSO1 Base'!R75,-'FPSO1 Otim'!R$3,0))</f>
        <v>404.49149999999997</v>
      </c>
      <c r="S78" s="19">
        <f ca="1">IF($A78-S$3&lt;2,0,OFFSET('FPSO1 Base'!S75,-'FPSO1 Otim'!S$3,0))</f>
        <v>0</v>
      </c>
      <c r="T78" s="19">
        <f ca="1">IF($A78-T$3&lt;2,0,OFFSET('FPSO1 Base'!T75,-'FPSO1 Otim'!T$3,0))</f>
        <v>698.40599999999995</v>
      </c>
      <c r="U78" s="19">
        <f ca="1">IF($A78-U$3&lt;2,0,OFFSET('FPSO1 Base'!U75,-'FPSO1 Otim'!U$3,0))</f>
        <v>785.41950000000008</v>
      </c>
      <c r="V78" s="19">
        <f ca="1">IF($A78-V$3&lt;2,0,OFFSET('FPSO1 Base'!V75,-'FPSO1 Otim'!V$3,0))</f>
        <v>1090.8494999999998</v>
      </c>
      <c r="W78" s="19">
        <f ca="1">IF($A78-W$3&lt;2,0,OFFSET('FPSO1 Base'!W75,-'FPSO1 Otim'!W$3,0))</f>
        <v>494.80050000000006</v>
      </c>
      <c r="X78" s="19">
        <f ca="1">IF($A78-X$3&lt;2,0,OFFSET('FPSO1 Base'!X75,-'FPSO1 Otim'!X$3,0))</f>
        <v>1327.4024999999999</v>
      </c>
      <c r="Y78" s="19">
        <f ca="1">IF($A78-Y$3&lt;2,0,OFFSET('FPSO1 Base'!Y75,-'FPSO1 Otim'!Y$3,0))</f>
        <v>602.65800000000002</v>
      </c>
      <c r="Z78" s="19">
        <f ca="1">IF($A78-Z$3&lt;2,0,OFFSET('FPSO1 Base'!Z75,-'FPSO1 Otim'!Z$3,0))</f>
        <v>1751.97</v>
      </c>
      <c r="AA78" s="20">
        <v>15000</v>
      </c>
      <c r="AB78" s="19">
        <f t="shared" ca="1" si="7"/>
        <v>14383.871999999999</v>
      </c>
      <c r="AC78" s="20">
        <f t="shared" ca="1" si="8"/>
        <v>616.12800000000061</v>
      </c>
      <c r="AD78" s="19">
        <f t="shared" ca="1" si="9"/>
        <v>7913.68687526739</v>
      </c>
    </row>
    <row r="79" spans="1:30" x14ac:dyDescent="0.25">
      <c r="A79" s="19">
        <v>75</v>
      </c>
      <c r="B79" s="31">
        <v>47880</v>
      </c>
      <c r="C79" s="19">
        <f ca="1">IF($A79-C$3&lt;2,0,OFFSET('FPSO1 Base'!C76,-'FPSO1 Otim'!C$3,0))</f>
        <v>1651.5720000000001</v>
      </c>
      <c r="D79" s="19">
        <f ca="1">IF($A79-D$3&lt;2,0,OFFSET('FPSO1 Base'!D76,-'FPSO1 Otim'!D$3,0))</f>
        <v>0</v>
      </c>
      <c r="E79" s="19">
        <f ca="1">IF($A79-E$3&lt;2,0,OFFSET('FPSO1 Base'!E76,-'FPSO1 Otim'!E$3,0))</f>
        <v>722.40149999999994</v>
      </c>
      <c r="F79" s="19">
        <f ca="1">IF($A79-F$3&lt;2,0,OFFSET('FPSO1 Base'!F76,-'FPSO1 Otim'!F$3,0))</f>
        <v>1065.0419999999999</v>
      </c>
      <c r="G79" s="19">
        <f ca="1">IF($A79-G$3&lt;2,0,OFFSET('FPSO1 Base'!G76,-'FPSO1 Otim'!G$3,0))</f>
        <v>392.3655</v>
      </c>
      <c r="H79" s="19">
        <f ca="1">IF($A79-H$3&lt;2,0,OFFSET('FPSO1 Base'!H76,-'FPSO1 Otim'!H$3,0))</f>
        <v>0</v>
      </c>
      <c r="I79" s="19">
        <f ca="1">IF($A79-I$3&lt;2,0,OFFSET('FPSO1 Base'!I76,-'FPSO1 Otim'!I$3,0))</f>
        <v>0</v>
      </c>
      <c r="J79" s="19">
        <f ca="1">IF($A79-J$3&lt;2,0,OFFSET('FPSO1 Base'!J76,-'FPSO1 Otim'!J$3,0))</f>
        <v>0</v>
      </c>
      <c r="K79" s="19">
        <f ca="1">IF($A79-K$3&lt;2,0,OFFSET('FPSO1 Base'!K76,-'FPSO1 Otim'!K$3,0))</f>
        <v>570.30600000000004</v>
      </c>
      <c r="L79" s="19">
        <f ca="1">IF($A79-L$3&lt;2,0,OFFSET('FPSO1 Base'!L76,-'FPSO1 Otim'!L$3,0))</f>
        <v>979.93050000000005</v>
      </c>
      <c r="M79" s="19">
        <f ca="1">IF($A79-M$3&lt;2,0,OFFSET('FPSO1 Base'!M76,-'FPSO1 Otim'!M$3,0))</f>
        <v>840.1395</v>
      </c>
      <c r="N79" s="19">
        <f ca="1">IF($A79-N$3&lt;2,0,OFFSET('FPSO1 Base'!N76,-'FPSO1 Otim'!N$3,0))</f>
        <v>182.9025</v>
      </c>
      <c r="O79" s="19">
        <f ca="1">IF($A79-O$3&lt;2,0,OFFSET('FPSO1 Base'!O76,-'FPSO1 Otim'!O$3,0))</f>
        <v>0</v>
      </c>
      <c r="P79" s="19">
        <f ca="1">IF($A79-P$3&lt;2,0,OFFSET('FPSO1 Base'!P76,-'FPSO1 Otim'!P$3,0))</f>
        <v>318.702</v>
      </c>
      <c r="Q79" s="19">
        <f ca="1">IF($A79-Q$3&lt;2,0,OFFSET('FPSO1 Base'!Q76,-'FPSO1 Otim'!Q$3,0))</f>
        <v>462.02549999999997</v>
      </c>
      <c r="R79" s="19">
        <f ca="1">IF($A79-R$3&lt;2,0,OFFSET('FPSO1 Base'!R76,-'FPSO1 Otim'!R$3,0))</f>
        <v>397.20000000000005</v>
      </c>
      <c r="S79" s="19">
        <f ca="1">IF($A79-S$3&lt;2,0,OFFSET('FPSO1 Base'!S76,-'FPSO1 Otim'!S$3,0))</f>
        <v>0</v>
      </c>
      <c r="T79" s="19">
        <f ca="1">IF($A79-T$3&lt;2,0,OFFSET('FPSO1 Base'!T76,-'FPSO1 Otim'!T$3,0))</f>
        <v>693.8655</v>
      </c>
      <c r="U79" s="19">
        <f ca="1">IF($A79-U$3&lt;2,0,OFFSET('FPSO1 Base'!U76,-'FPSO1 Otim'!U$3,0))</f>
        <v>780.67500000000007</v>
      </c>
      <c r="V79" s="19">
        <f ca="1">IF($A79-V$3&lt;2,0,OFFSET('FPSO1 Base'!V76,-'FPSO1 Otim'!V$3,0))</f>
        <v>1079.3220000000001</v>
      </c>
      <c r="W79" s="19">
        <f ca="1">IF($A79-W$3&lt;2,0,OFFSET('FPSO1 Base'!W76,-'FPSO1 Otim'!W$3,0))</f>
        <v>491.63699999999994</v>
      </c>
      <c r="X79" s="19">
        <f ca="1">IF($A79-X$3&lt;2,0,OFFSET('FPSO1 Base'!X76,-'FPSO1 Otim'!X$3,0))</f>
        <v>1325.5409999999999</v>
      </c>
      <c r="Y79" s="19">
        <f ca="1">IF($A79-Y$3&lt;2,0,OFFSET('FPSO1 Base'!Y76,-'FPSO1 Otim'!Y$3,0))</f>
        <v>601.30349999999999</v>
      </c>
      <c r="Z79" s="19">
        <f ca="1">IF($A79-Z$3&lt;2,0,OFFSET('FPSO1 Base'!Z76,-'FPSO1 Otim'!Z$3,0))</f>
        <v>2133.855</v>
      </c>
      <c r="AA79" s="20">
        <v>15000</v>
      </c>
      <c r="AB79" s="19">
        <f t="shared" ca="1" si="7"/>
        <v>14688.786</v>
      </c>
      <c r="AC79" s="20">
        <f t="shared" ca="1" si="8"/>
        <v>311.21399999999994</v>
      </c>
      <c r="AD79" s="19">
        <f t="shared" ca="1" si="9"/>
        <v>8014.6549936074007</v>
      </c>
    </row>
    <row r="80" spans="1:30" x14ac:dyDescent="0.25">
      <c r="A80" s="19">
        <v>76</v>
      </c>
      <c r="B80" s="31">
        <v>47908</v>
      </c>
      <c r="C80" s="19">
        <f ca="1">IF($A80-C$3&lt;2,0,OFFSET('FPSO1 Base'!C77,-'FPSO1 Otim'!C$3,0))</f>
        <v>1651.4459999999999</v>
      </c>
      <c r="D80" s="19">
        <f ca="1">IF($A80-D$3&lt;2,0,OFFSET('FPSO1 Base'!D77,-'FPSO1 Otim'!D$3,0))</f>
        <v>0</v>
      </c>
      <c r="E80" s="19">
        <f ca="1">IF($A80-E$3&lt;2,0,OFFSET('FPSO1 Base'!E77,-'FPSO1 Otim'!E$3,0))</f>
        <v>719.78700000000003</v>
      </c>
      <c r="F80" s="19">
        <f ca="1">IF($A80-F$3&lt;2,0,OFFSET('FPSO1 Base'!F77,-'FPSO1 Otim'!F$3,0))</f>
        <v>1058.8605</v>
      </c>
      <c r="G80" s="19">
        <f ca="1">IF($A80-G$3&lt;2,0,OFFSET('FPSO1 Base'!G77,-'FPSO1 Otim'!G$3,0))</f>
        <v>390.61950000000002</v>
      </c>
      <c r="H80" s="19">
        <f ca="1">IF($A80-H$3&lt;2,0,OFFSET('FPSO1 Base'!H77,-'FPSO1 Otim'!H$3,0))</f>
        <v>0</v>
      </c>
      <c r="I80" s="19">
        <f ca="1">IF($A80-I$3&lt;2,0,OFFSET('FPSO1 Base'!I77,-'FPSO1 Otim'!I$3,0))</f>
        <v>0</v>
      </c>
      <c r="J80" s="19">
        <f ca="1">IF($A80-J$3&lt;2,0,OFFSET('FPSO1 Base'!J77,-'FPSO1 Otim'!J$3,0))</f>
        <v>368.03249999999997</v>
      </c>
      <c r="K80" s="19">
        <f ca="1">IF($A80-K$3&lt;2,0,OFFSET('FPSO1 Base'!K77,-'FPSO1 Otim'!K$3,0))</f>
        <v>568.31850000000009</v>
      </c>
      <c r="L80" s="19">
        <f ca="1">IF($A80-L$3&lt;2,0,OFFSET('FPSO1 Base'!L77,-'FPSO1 Otim'!L$3,0))</f>
        <v>969.73799999999994</v>
      </c>
      <c r="M80" s="19">
        <f ca="1">IF($A80-M$3&lt;2,0,OFFSET('FPSO1 Base'!M77,-'FPSO1 Otim'!M$3,0))</f>
        <v>835.6395</v>
      </c>
      <c r="N80" s="19">
        <f ca="1">IF($A80-N$3&lt;2,0,OFFSET('FPSO1 Base'!N77,-'FPSO1 Otim'!N$3,0))</f>
        <v>180.1215</v>
      </c>
      <c r="O80" s="19">
        <f ca="1">IF($A80-O$3&lt;2,0,OFFSET('FPSO1 Base'!O77,-'FPSO1 Otim'!O$3,0))</f>
        <v>0</v>
      </c>
      <c r="P80" s="19">
        <f ca="1">IF($A80-P$3&lt;2,0,OFFSET('FPSO1 Base'!P77,-'FPSO1 Otim'!P$3,0))</f>
        <v>316.47300000000001</v>
      </c>
      <c r="Q80" s="19">
        <f ca="1">IF($A80-Q$3&lt;2,0,OFFSET('FPSO1 Base'!Q77,-'FPSO1 Otim'!Q$3,0))</f>
        <v>461.10450000000003</v>
      </c>
      <c r="R80" s="19">
        <f ca="1">IF($A80-R$3&lt;2,0,OFFSET('FPSO1 Base'!R77,-'FPSO1 Otim'!R$3,0))</f>
        <v>390.774</v>
      </c>
      <c r="S80" s="19">
        <f ca="1">IF($A80-S$3&lt;2,0,OFFSET('FPSO1 Base'!S77,-'FPSO1 Otim'!S$3,0))</f>
        <v>0</v>
      </c>
      <c r="T80" s="19">
        <f ca="1">IF($A80-T$3&lt;2,0,OFFSET('FPSO1 Base'!T77,-'FPSO1 Otim'!T$3,0))</f>
        <v>689.05649999999991</v>
      </c>
      <c r="U80" s="19">
        <f ca="1">IF($A80-U$3&lt;2,0,OFFSET('FPSO1 Base'!U77,-'FPSO1 Otim'!U$3,0))</f>
        <v>776.34750000000008</v>
      </c>
      <c r="V80" s="19">
        <f ca="1">IF($A80-V$3&lt;2,0,OFFSET('FPSO1 Base'!V77,-'FPSO1 Otim'!V$3,0))</f>
        <v>1076.8544999999999</v>
      </c>
      <c r="W80" s="19">
        <f ca="1">IF($A80-W$3&lt;2,0,OFFSET('FPSO1 Base'!W77,-'FPSO1 Otim'!W$3,0))</f>
        <v>488.16300000000001</v>
      </c>
      <c r="X80" s="19">
        <f ca="1">IF($A80-X$3&lt;2,0,OFFSET('FPSO1 Base'!X77,-'FPSO1 Otim'!X$3,0))</f>
        <v>1323.4289999999999</v>
      </c>
      <c r="Y80" s="19">
        <f ca="1">IF($A80-Y$3&lt;2,0,OFFSET('FPSO1 Base'!Y77,-'FPSO1 Otim'!Y$3,0))</f>
        <v>600.07799999999997</v>
      </c>
      <c r="Z80" s="19">
        <f ca="1">IF($A80-Z$3&lt;2,0,OFFSET('FPSO1 Base'!Z77,-'FPSO1 Otim'!Z$3,0))</f>
        <v>2127.4349999999999</v>
      </c>
      <c r="AA80" s="20">
        <v>15000</v>
      </c>
      <c r="AB80" s="19">
        <f t="shared" ca="1" si="7"/>
        <v>14992.278</v>
      </c>
      <c r="AC80" s="20">
        <f t="shared" ca="1" si="8"/>
        <v>7.7219999999997526</v>
      </c>
      <c r="AD80" s="19">
        <f t="shared" ca="1" si="9"/>
        <v>8112.644227169294</v>
      </c>
    </row>
    <row r="81" spans="1:30" x14ac:dyDescent="0.25">
      <c r="A81" s="19">
        <v>77</v>
      </c>
      <c r="B81" s="31">
        <v>47939</v>
      </c>
      <c r="C81" s="19">
        <f ca="1">IF($A81-C$3&lt;2,0,OFFSET('FPSO1 Base'!C78,-'FPSO1 Otim'!C$3,0))</f>
        <v>1651.2945</v>
      </c>
      <c r="D81" s="19">
        <f ca="1">IF($A81-D$3&lt;2,0,OFFSET('FPSO1 Base'!D78,-'FPSO1 Otim'!D$3,0))</f>
        <v>0</v>
      </c>
      <c r="E81" s="19">
        <f ca="1">IF($A81-E$3&lt;2,0,OFFSET('FPSO1 Base'!E78,-'FPSO1 Otim'!E$3,0))</f>
        <v>717.31499999999994</v>
      </c>
      <c r="F81" s="19">
        <f ca="1">IF($A81-F$3&lt;2,0,OFFSET('FPSO1 Base'!F78,-'FPSO1 Otim'!F$3,0))</f>
        <v>1052.4314999999999</v>
      </c>
      <c r="G81" s="19">
        <f ca="1">IF($A81-G$3&lt;2,0,OFFSET('FPSO1 Base'!G78,-'FPSO1 Otim'!G$3,0))</f>
        <v>388.74750000000006</v>
      </c>
      <c r="H81" s="19">
        <f ca="1">IF($A81-H$3&lt;2,0,OFFSET('FPSO1 Base'!H78,-'FPSO1 Otim'!H$3,0))</f>
        <v>0</v>
      </c>
      <c r="I81" s="19">
        <f ca="1">IF($A81-I$3&lt;2,0,OFFSET('FPSO1 Base'!I78,-'FPSO1 Otim'!I$3,0))</f>
        <v>0</v>
      </c>
      <c r="J81" s="19">
        <f ca="1">IF($A81-J$3&lt;2,0,OFFSET('FPSO1 Base'!J78,-'FPSO1 Otim'!J$3,0))</f>
        <v>356.59950000000003</v>
      </c>
      <c r="K81" s="19">
        <f ca="1">IF($A81-K$3&lt;2,0,OFFSET('FPSO1 Base'!K78,-'FPSO1 Otim'!K$3,0))</f>
        <v>566.43149999999991</v>
      </c>
      <c r="L81" s="19">
        <f ca="1">IF($A81-L$3&lt;2,0,OFFSET('FPSO1 Base'!L78,-'FPSO1 Otim'!L$3,0))</f>
        <v>958.86299999999994</v>
      </c>
      <c r="M81" s="19">
        <f ca="1">IF($A81-M$3&lt;2,0,OFFSET('FPSO1 Base'!M78,-'FPSO1 Otim'!M$3,0))</f>
        <v>830.20949999999993</v>
      </c>
      <c r="N81" s="19">
        <f ca="1">IF($A81-N$3&lt;2,0,OFFSET('FPSO1 Base'!N78,-'FPSO1 Otim'!N$3,0))</f>
        <v>176.97300000000001</v>
      </c>
      <c r="O81" s="19">
        <f ca="1">IF($A81-O$3&lt;2,0,OFFSET('FPSO1 Base'!O78,-'FPSO1 Otim'!O$3,0))</f>
        <v>0</v>
      </c>
      <c r="P81" s="19">
        <f ca="1">IF($A81-P$3&lt;2,0,OFFSET('FPSO1 Base'!P78,-'FPSO1 Otim'!P$3,0))</f>
        <v>314.565</v>
      </c>
      <c r="Q81" s="19">
        <f ca="1">IF($A81-Q$3&lt;2,0,OFFSET('FPSO1 Base'!Q78,-'FPSO1 Otim'!Q$3,0))</f>
        <v>460.197</v>
      </c>
      <c r="R81" s="19">
        <f ca="1">IF($A81-R$3&lt;2,0,OFFSET('FPSO1 Base'!R78,-'FPSO1 Otim'!R$3,0))</f>
        <v>384.774</v>
      </c>
      <c r="S81" s="19">
        <f ca="1">IF($A81-S$3&lt;2,0,OFFSET('FPSO1 Base'!S78,-'FPSO1 Otim'!S$3,0))</f>
        <v>0</v>
      </c>
      <c r="T81" s="19">
        <f ca="1">IF($A81-T$3&lt;2,0,OFFSET('FPSO1 Base'!T78,-'FPSO1 Otim'!T$3,0))</f>
        <v>684.6345</v>
      </c>
      <c r="U81" s="19">
        <f ca="1">IF($A81-U$3&lt;2,0,OFFSET('FPSO1 Base'!U78,-'FPSO1 Otim'!U$3,0))</f>
        <v>772.04099999999994</v>
      </c>
      <c r="V81" s="19">
        <f ca="1">IF($A81-V$3&lt;2,0,OFFSET('FPSO1 Base'!V78,-'FPSO1 Otim'!V$3,0))</f>
        <v>1074.9645</v>
      </c>
      <c r="W81" s="19">
        <f ca="1">IF($A81-W$3&lt;2,0,OFFSET('FPSO1 Base'!W78,-'FPSO1 Otim'!W$3,0))</f>
        <v>480.47249999999997</v>
      </c>
      <c r="X81" s="19">
        <f ca="1">IF($A81-X$3&lt;2,0,OFFSET('FPSO1 Base'!X78,-'FPSO1 Otim'!X$3,0))</f>
        <v>1321.7414999999999</v>
      </c>
      <c r="Y81" s="19">
        <f ca="1">IF($A81-Y$3&lt;2,0,OFFSET('FPSO1 Base'!Y78,-'FPSO1 Otim'!Y$3,0))</f>
        <v>598.74750000000006</v>
      </c>
      <c r="Z81" s="19">
        <f ca="1">IF($A81-Z$3&lt;2,0,OFFSET('FPSO1 Base'!Z78,-'FPSO1 Otim'!Z$3,0))</f>
        <v>2122.0950000000003</v>
      </c>
      <c r="AA81" s="20">
        <v>15000</v>
      </c>
      <c r="AB81" s="19">
        <f t="shared" ca="1" si="7"/>
        <v>14913.0975</v>
      </c>
      <c r="AC81" s="20">
        <f t="shared" ca="1" si="8"/>
        <v>86.902500000000146</v>
      </c>
      <c r="AD81" s="19">
        <f t="shared" ca="1" si="9"/>
        <v>8003.1054097451251</v>
      </c>
    </row>
    <row r="82" spans="1:30" x14ac:dyDescent="0.25">
      <c r="A82" s="19">
        <v>78</v>
      </c>
      <c r="B82" s="31">
        <v>47969</v>
      </c>
      <c r="C82" s="19">
        <f ca="1">IF($A82-C$3&lt;2,0,OFFSET('FPSO1 Base'!C79,-'FPSO1 Otim'!C$3,0))</f>
        <v>1651.1744999999999</v>
      </c>
      <c r="D82" s="19">
        <f ca="1">IF($A82-D$3&lt;2,0,OFFSET('FPSO1 Base'!D79,-'FPSO1 Otim'!D$3,0))</f>
        <v>0</v>
      </c>
      <c r="E82" s="19">
        <f ca="1">IF($A82-E$3&lt;2,0,OFFSET('FPSO1 Base'!E79,-'FPSO1 Otim'!E$3,0))</f>
        <v>714.84749999999997</v>
      </c>
      <c r="F82" s="19">
        <f ca="1">IF($A82-F$3&lt;2,0,OFFSET('FPSO1 Base'!F79,-'FPSO1 Otim'!F$3,0))</f>
        <v>1047.2294999999999</v>
      </c>
      <c r="G82" s="19">
        <f ca="1">IF($A82-G$3&lt;2,0,OFFSET('FPSO1 Base'!G79,-'FPSO1 Otim'!G$3,0))</f>
        <v>386.20799999999997</v>
      </c>
      <c r="H82" s="19">
        <f ca="1">IF($A82-H$3&lt;2,0,OFFSET('FPSO1 Base'!H79,-'FPSO1 Otim'!H$3,0))</f>
        <v>0</v>
      </c>
      <c r="I82" s="19">
        <f ca="1">IF($A82-I$3&lt;2,0,OFFSET('FPSO1 Base'!I79,-'FPSO1 Otim'!I$3,0))</f>
        <v>0</v>
      </c>
      <c r="J82" s="19">
        <f ca="1">IF($A82-J$3&lt;2,0,OFFSET('FPSO1 Base'!J79,-'FPSO1 Otim'!J$3,0))</f>
        <v>348.87149999999997</v>
      </c>
      <c r="K82" s="19">
        <f ca="1">IF($A82-K$3&lt;2,0,OFFSET('FPSO1 Base'!K79,-'FPSO1 Otim'!K$3,0))</f>
        <v>564.17399999999998</v>
      </c>
      <c r="L82" s="19">
        <f ca="1">IF($A82-L$3&lt;2,0,OFFSET('FPSO1 Base'!L79,-'FPSO1 Otim'!L$3,0))</f>
        <v>948.70799999999997</v>
      </c>
      <c r="M82" s="19">
        <f ca="1">IF($A82-M$3&lt;2,0,OFFSET('FPSO1 Base'!M79,-'FPSO1 Otim'!M$3,0))</f>
        <v>825.85349999999994</v>
      </c>
      <c r="N82" s="19">
        <f ca="1">IF($A82-N$3&lt;2,0,OFFSET('FPSO1 Base'!N79,-'FPSO1 Otim'!N$3,0))</f>
        <v>174.5085</v>
      </c>
      <c r="O82" s="19">
        <f ca="1">IF($A82-O$3&lt;2,0,OFFSET('FPSO1 Base'!O79,-'FPSO1 Otim'!O$3,0))</f>
        <v>0</v>
      </c>
      <c r="P82" s="19">
        <f ca="1">IF($A82-P$3&lt;2,0,OFFSET('FPSO1 Base'!P79,-'FPSO1 Otim'!P$3,0))</f>
        <v>312.34950000000003</v>
      </c>
      <c r="Q82" s="19">
        <f ca="1">IF($A82-Q$3&lt;2,0,OFFSET('FPSO1 Base'!Q79,-'FPSO1 Otim'!Q$3,0))</f>
        <v>459.25049999999999</v>
      </c>
      <c r="R82" s="19">
        <f ca="1">IF($A82-R$3&lt;2,0,OFFSET('FPSO1 Base'!R79,-'FPSO1 Otim'!R$3,0))</f>
        <v>378.9255</v>
      </c>
      <c r="S82" s="19">
        <f ca="1">IF($A82-S$3&lt;2,0,OFFSET('FPSO1 Base'!S79,-'FPSO1 Otim'!S$3,0))</f>
        <v>0</v>
      </c>
      <c r="T82" s="19">
        <f ca="1">IF($A82-T$3&lt;2,0,OFFSET('FPSO1 Base'!T79,-'FPSO1 Otim'!T$3,0))</f>
        <v>680.28600000000006</v>
      </c>
      <c r="U82" s="19">
        <f ca="1">IF($A82-U$3&lt;2,0,OFFSET('FPSO1 Base'!U79,-'FPSO1 Otim'!U$3,0))</f>
        <v>767.59950000000003</v>
      </c>
      <c r="V82" s="19">
        <f ca="1">IF($A82-V$3&lt;2,0,OFFSET('FPSO1 Base'!V79,-'FPSO1 Otim'!V$3,0))</f>
        <v>1073.2260000000001</v>
      </c>
      <c r="W82" s="19">
        <f ca="1">IF($A82-W$3&lt;2,0,OFFSET('FPSO1 Base'!W79,-'FPSO1 Otim'!W$3,0))</f>
        <v>477.036</v>
      </c>
      <c r="X82" s="19">
        <f ca="1">IF($A82-X$3&lt;2,0,OFFSET('FPSO1 Base'!X79,-'FPSO1 Otim'!X$3,0))</f>
        <v>1319.7494999999999</v>
      </c>
      <c r="Y82" s="19">
        <f ca="1">IF($A82-Y$3&lt;2,0,OFFSET('FPSO1 Base'!Y79,-'FPSO1 Otim'!Y$3,0))</f>
        <v>593.178</v>
      </c>
      <c r="Z82" s="19">
        <f ca="1">IF($A82-Z$3&lt;2,0,OFFSET('FPSO1 Base'!Z79,-'FPSO1 Otim'!Z$3,0))</f>
        <v>2119.8000000000002</v>
      </c>
      <c r="AA82" s="20">
        <v>15000</v>
      </c>
      <c r="AB82" s="19">
        <f t="shared" ca="1" si="7"/>
        <v>14842.9755</v>
      </c>
      <c r="AC82" s="20">
        <f t="shared" ca="1" si="8"/>
        <v>157.02449999999953</v>
      </c>
      <c r="AD82" s="19">
        <f t="shared" ca="1" si="9"/>
        <v>7899.6441101863711</v>
      </c>
    </row>
    <row r="83" spans="1:30" x14ac:dyDescent="0.25">
      <c r="A83" s="19">
        <v>79</v>
      </c>
      <c r="B83" s="31">
        <v>48000</v>
      </c>
      <c r="C83" s="19">
        <f ca="1">IF($A83-C$3&lt;2,0,OFFSET('FPSO1 Base'!C80,-'FPSO1 Otim'!C$3,0))</f>
        <v>1651.038</v>
      </c>
      <c r="D83" s="19">
        <f ca="1">IF($A83-D$3&lt;2,0,OFFSET('FPSO1 Base'!D80,-'FPSO1 Otim'!D$3,0))</f>
        <v>0</v>
      </c>
      <c r="E83" s="19">
        <f ca="1">IF($A83-E$3&lt;2,0,OFFSET('FPSO1 Base'!E80,-'FPSO1 Otim'!E$3,0))</f>
        <v>712.26299999999992</v>
      </c>
      <c r="F83" s="19">
        <f ca="1">IF($A83-F$3&lt;2,0,OFFSET('FPSO1 Base'!F80,-'FPSO1 Otim'!F$3,0))</f>
        <v>1041.144</v>
      </c>
      <c r="G83" s="19">
        <f ca="1">IF($A83-G$3&lt;2,0,OFFSET('FPSO1 Base'!G80,-'FPSO1 Otim'!G$3,0))</f>
        <v>383.58450000000005</v>
      </c>
      <c r="H83" s="19">
        <f ca="1">IF($A83-H$3&lt;2,0,OFFSET('FPSO1 Base'!H80,-'FPSO1 Otim'!H$3,0))</f>
        <v>0</v>
      </c>
      <c r="I83" s="19">
        <f ca="1">IF($A83-I$3&lt;2,0,OFFSET('FPSO1 Base'!I80,-'FPSO1 Otim'!I$3,0))</f>
        <v>0</v>
      </c>
      <c r="J83" s="19">
        <f ca="1">IF($A83-J$3&lt;2,0,OFFSET('FPSO1 Base'!J80,-'FPSO1 Otim'!J$3,0))</f>
        <v>346.863</v>
      </c>
      <c r="K83" s="19">
        <f ca="1">IF($A83-K$3&lt;2,0,OFFSET('FPSO1 Base'!K80,-'FPSO1 Otim'!K$3,0))</f>
        <v>562.36649999999997</v>
      </c>
      <c r="L83" s="19">
        <f ca="1">IF($A83-L$3&lt;2,0,OFFSET('FPSO1 Base'!L80,-'FPSO1 Otim'!L$3,0))</f>
        <v>938.75850000000014</v>
      </c>
      <c r="M83" s="19">
        <f ca="1">IF($A83-M$3&lt;2,0,OFFSET('FPSO1 Base'!M80,-'FPSO1 Otim'!M$3,0))</f>
        <v>820.7940000000001</v>
      </c>
      <c r="N83" s="19">
        <f ca="1">IF($A83-N$3&lt;2,0,OFFSET('FPSO1 Base'!N80,-'FPSO1 Otim'!N$3,0))</f>
        <v>171.75</v>
      </c>
      <c r="O83" s="19">
        <f ca="1">IF($A83-O$3&lt;2,0,OFFSET('FPSO1 Base'!O80,-'FPSO1 Otim'!O$3,0))</f>
        <v>0</v>
      </c>
      <c r="P83" s="19">
        <f ca="1">IF($A83-P$3&lt;2,0,OFFSET('FPSO1 Base'!P80,-'FPSO1 Otim'!P$3,0))</f>
        <v>310.30650000000003</v>
      </c>
      <c r="Q83" s="19">
        <f ca="1">IF($A83-Q$3&lt;2,0,OFFSET('FPSO1 Base'!Q80,-'FPSO1 Otim'!Q$3,0))</f>
        <v>458.41949999999997</v>
      </c>
      <c r="R83" s="19">
        <f ca="1">IF($A83-R$3&lt;2,0,OFFSET('FPSO1 Base'!R80,-'FPSO1 Otim'!R$3,0))</f>
        <v>281.298</v>
      </c>
      <c r="S83" s="19">
        <f ca="1">IF($A83-S$3&lt;2,0,OFFSET('FPSO1 Base'!S80,-'FPSO1 Otim'!S$3,0))</f>
        <v>0</v>
      </c>
      <c r="T83" s="19">
        <f ca="1">IF($A83-T$3&lt;2,0,OFFSET('FPSO1 Base'!T80,-'FPSO1 Otim'!T$3,0))</f>
        <v>675.8565000000001</v>
      </c>
      <c r="U83" s="19">
        <f ca="1">IF($A83-U$3&lt;2,0,OFFSET('FPSO1 Base'!U80,-'FPSO1 Otim'!U$3,0))</f>
        <v>763.548</v>
      </c>
      <c r="V83" s="19">
        <f ca="1">IF($A83-V$3&lt;2,0,OFFSET('FPSO1 Base'!V80,-'FPSO1 Otim'!V$3,0))</f>
        <v>1071</v>
      </c>
      <c r="W83" s="19">
        <f ca="1">IF($A83-W$3&lt;2,0,OFFSET('FPSO1 Base'!W80,-'FPSO1 Otim'!W$3,0))</f>
        <v>473.54400000000004</v>
      </c>
      <c r="X83" s="19">
        <f ca="1">IF($A83-X$3&lt;2,0,OFFSET('FPSO1 Base'!X80,-'FPSO1 Otim'!X$3,0))</f>
        <v>1317.8955000000001</v>
      </c>
      <c r="Y83" s="19">
        <f ca="1">IF($A83-Y$3&lt;2,0,OFFSET('FPSO1 Base'!Y80,-'FPSO1 Otim'!Y$3,0))</f>
        <v>591.59850000000006</v>
      </c>
      <c r="Z83" s="19">
        <f ca="1">IF($A83-Z$3&lt;2,0,OFFSET('FPSO1 Base'!Z80,-'FPSO1 Otim'!Z$3,0))</f>
        <v>2096.9549999999999</v>
      </c>
      <c r="AA83" s="20">
        <v>15000</v>
      </c>
      <c r="AB83" s="19">
        <f t="shared" ca="1" si="7"/>
        <v>14668.983</v>
      </c>
      <c r="AC83" s="20">
        <f t="shared" ca="1" si="8"/>
        <v>331.01699999999983</v>
      </c>
      <c r="AD83" s="19">
        <f t="shared" ca="1" si="9"/>
        <v>7742.5217951811583</v>
      </c>
    </row>
    <row r="84" spans="1:30" x14ac:dyDescent="0.25">
      <c r="A84" s="19">
        <v>80</v>
      </c>
      <c r="B84" s="31">
        <v>48030</v>
      </c>
      <c r="C84" s="19">
        <f ca="1">IF($A84-C$3&lt;2,0,OFFSET('FPSO1 Base'!C81,-'FPSO1 Otim'!C$3,0))</f>
        <v>1650.8910000000001</v>
      </c>
      <c r="D84" s="19">
        <f ca="1">IF($A84-D$3&lt;2,0,OFFSET('FPSO1 Base'!D81,-'FPSO1 Otim'!D$3,0))</f>
        <v>0</v>
      </c>
      <c r="E84" s="19">
        <f ca="1">IF($A84-E$3&lt;2,0,OFFSET('FPSO1 Base'!E81,-'FPSO1 Otim'!E$3,0))</f>
        <v>709.91700000000003</v>
      </c>
      <c r="F84" s="19">
        <f ca="1">IF($A84-F$3&lt;2,0,OFFSET('FPSO1 Base'!F81,-'FPSO1 Otim'!F$3,0))</f>
        <v>1035.6044999999999</v>
      </c>
      <c r="G84" s="19">
        <f ca="1">IF($A84-G$3&lt;2,0,OFFSET('FPSO1 Base'!G81,-'FPSO1 Otim'!G$3,0))</f>
        <v>381.35550000000001</v>
      </c>
      <c r="H84" s="19">
        <f ca="1">IF($A84-H$3&lt;2,0,OFFSET('FPSO1 Base'!H81,-'FPSO1 Otim'!H$3,0))</f>
        <v>0</v>
      </c>
      <c r="I84" s="19">
        <f ca="1">IF($A84-I$3&lt;2,0,OFFSET('FPSO1 Base'!I81,-'FPSO1 Otim'!I$3,0))</f>
        <v>0</v>
      </c>
      <c r="J84" s="19">
        <f ca="1">IF($A84-J$3&lt;2,0,OFFSET('FPSO1 Base'!J81,-'FPSO1 Otim'!J$3,0))</f>
        <v>335.84550000000002</v>
      </c>
      <c r="K84" s="19">
        <f ca="1">IF($A84-K$3&lt;2,0,OFFSET('FPSO1 Base'!K81,-'FPSO1 Otim'!K$3,0))</f>
        <v>560.23050000000001</v>
      </c>
      <c r="L84" s="19">
        <f ca="1">IF($A84-L$3&lt;2,0,OFFSET('FPSO1 Base'!L81,-'FPSO1 Otim'!L$3,0))</f>
        <v>928.53749999999991</v>
      </c>
      <c r="M84" s="19">
        <f ca="1">IF($A84-M$3&lt;2,0,OFFSET('FPSO1 Base'!M81,-'FPSO1 Otim'!M$3,0))</f>
        <v>816.29099999999994</v>
      </c>
      <c r="N84" s="19">
        <f ca="1">IF($A84-N$3&lt;2,0,OFFSET('FPSO1 Base'!N81,-'FPSO1 Otim'!N$3,0))</f>
        <v>169.3065</v>
      </c>
      <c r="O84" s="19">
        <f ca="1">IF($A84-O$3&lt;2,0,OFFSET('FPSO1 Base'!O81,-'FPSO1 Otim'!O$3,0))</f>
        <v>0</v>
      </c>
      <c r="P84" s="19">
        <f ca="1">IF($A84-P$3&lt;2,0,OFFSET('FPSO1 Base'!P81,-'FPSO1 Otim'!P$3,0))</f>
        <v>308.0745</v>
      </c>
      <c r="Q84" s="19">
        <f ca="1">IF($A84-Q$3&lt;2,0,OFFSET('FPSO1 Base'!Q81,-'FPSO1 Otim'!Q$3,0))</f>
        <v>457.57500000000005</v>
      </c>
      <c r="R84" s="19">
        <f ca="1">IF($A84-R$3&lt;2,0,OFFSET('FPSO1 Base'!R81,-'FPSO1 Otim'!R$3,0))</f>
        <v>258.40049999999997</v>
      </c>
      <c r="S84" s="19">
        <f ca="1">IF($A84-S$3&lt;2,0,OFFSET('FPSO1 Base'!S81,-'FPSO1 Otim'!S$3,0))</f>
        <v>0</v>
      </c>
      <c r="T84" s="19">
        <f ca="1">IF($A84-T$3&lt;2,0,OFFSET('FPSO1 Base'!T81,-'FPSO1 Otim'!T$3,0))</f>
        <v>671.89049999999997</v>
      </c>
      <c r="U84" s="19">
        <f ca="1">IF($A84-U$3&lt;2,0,OFFSET('FPSO1 Base'!U81,-'FPSO1 Otim'!U$3,0))</f>
        <v>759.25049999999999</v>
      </c>
      <c r="V84" s="19">
        <f ca="1">IF($A84-V$3&lt;2,0,OFFSET('FPSO1 Base'!V81,-'FPSO1 Otim'!V$3,0))</f>
        <v>1068.7739999999999</v>
      </c>
      <c r="W84" s="19">
        <f ca="1">IF($A84-W$3&lt;2,0,OFFSET('FPSO1 Base'!W81,-'FPSO1 Otim'!W$3,0))</f>
        <v>470.75850000000003</v>
      </c>
      <c r="X84" s="19">
        <f ca="1">IF($A84-X$3&lt;2,0,OFFSET('FPSO1 Base'!X81,-'FPSO1 Otim'!X$3,0))</f>
        <v>1315.9245000000001</v>
      </c>
      <c r="Y84" s="19">
        <f ca="1">IF($A84-Y$3&lt;2,0,OFFSET('FPSO1 Base'!Y81,-'FPSO1 Otim'!Y$3,0))</f>
        <v>590.52449999999999</v>
      </c>
      <c r="Z84" s="19">
        <f ca="1">IF($A84-Z$3&lt;2,0,OFFSET('FPSO1 Base'!Z81,-'FPSO1 Otim'!Z$3,0))</f>
        <v>2008.8150000000001</v>
      </c>
      <c r="AA84" s="20">
        <v>15000</v>
      </c>
      <c r="AB84" s="19">
        <f t="shared" ca="1" si="7"/>
        <v>14497.966499999997</v>
      </c>
      <c r="AC84" s="20">
        <f t="shared" ca="1" si="8"/>
        <v>502.03350000000319</v>
      </c>
      <c r="AD84" s="19">
        <f t="shared" ca="1" si="9"/>
        <v>7589.0147852418095</v>
      </c>
    </row>
    <row r="85" spans="1:30" x14ac:dyDescent="0.25">
      <c r="A85" s="19">
        <v>81</v>
      </c>
      <c r="B85" s="31">
        <v>48061</v>
      </c>
      <c r="C85" s="19">
        <f ca="1">IF($A85-C$3&lt;2,0,OFFSET('FPSO1 Base'!C82,-'FPSO1 Otim'!C$3,0))</f>
        <v>1650.7725</v>
      </c>
      <c r="D85" s="19">
        <f ca="1">IF($A85-D$3&lt;2,0,OFFSET('FPSO1 Base'!D82,-'FPSO1 Otim'!D$3,0))</f>
        <v>0</v>
      </c>
      <c r="E85" s="19">
        <f ca="1">IF($A85-E$3&lt;2,0,OFFSET('FPSO1 Base'!E82,-'FPSO1 Otim'!E$3,0))</f>
        <v>707.44350000000009</v>
      </c>
      <c r="F85" s="19">
        <f ca="1">IF($A85-F$3&lt;2,0,OFFSET('FPSO1 Base'!F82,-'FPSO1 Otim'!F$3,0))</f>
        <v>1029.6374999999998</v>
      </c>
      <c r="G85" s="19">
        <f ca="1">IF($A85-G$3&lt;2,0,OFFSET('FPSO1 Base'!G82,-'FPSO1 Otim'!G$3,0))</f>
        <v>377.80799999999999</v>
      </c>
      <c r="H85" s="19">
        <f ca="1">IF($A85-H$3&lt;2,0,OFFSET('FPSO1 Base'!H82,-'FPSO1 Otim'!H$3,0))</f>
        <v>0</v>
      </c>
      <c r="I85" s="19">
        <f ca="1">IF($A85-I$3&lt;2,0,OFFSET('FPSO1 Base'!I82,-'FPSO1 Otim'!I$3,0))</f>
        <v>0</v>
      </c>
      <c r="J85" s="19">
        <f ca="1">IF($A85-J$3&lt;2,0,OFFSET('FPSO1 Base'!J82,-'FPSO1 Otim'!J$3,0))</f>
        <v>319.25850000000003</v>
      </c>
      <c r="K85" s="19">
        <f ca="1">IF($A85-K$3&lt;2,0,OFFSET('FPSO1 Base'!K82,-'FPSO1 Otim'!K$3,0))</f>
        <v>558.32100000000003</v>
      </c>
      <c r="L85" s="19">
        <f ca="1">IF($A85-L$3&lt;2,0,OFFSET('FPSO1 Base'!L82,-'FPSO1 Otim'!L$3,0))</f>
        <v>919.39049999999997</v>
      </c>
      <c r="M85" s="19">
        <f ca="1">IF($A85-M$3&lt;2,0,OFFSET('FPSO1 Base'!M82,-'FPSO1 Otim'!M$3,0))</f>
        <v>811.36800000000005</v>
      </c>
      <c r="N85" s="19">
        <f ca="1">IF($A85-N$3&lt;2,0,OFFSET('FPSO1 Base'!N82,-'FPSO1 Otim'!N$3,0))</f>
        <v>166.8</v>
      </c>
      <c r="O85" s="19">
        <f ca="1">IF($A85-O$3&lt;2,0,OFFSET('FPSO1 Base'!O82,-'FPSO1 Otim'!O$3,0))</f>
        <v>0</v>
      </c>
      <c r="P85" s="19">
        <f ca="1">IF($A85-P$3&lt;2,0,OFFSET('FPSO1 Base'!P82,-'FPSO1 Otim'!P$3,0))</f>
        <v>305.976</v>
      </c>
      <c r="Q85" s="19">
        <f ca="1">IF($A85-Q$3&lt;2,0,OFFSET('FPSO1 Base'!Q82,-'FPSO1 Otim'!Q$3,0))</f>
        <v>456.786</v>
      </c>
      <c r="R85" s="19">
        <f ca="1">IF($A85-R$3&lt;2,0,OFFSET('FPSO1 Base'!R82,-'FPSO1 Otim'!R$3,0))</f>
        <v>258.315</v>
      </c>
      <c r="S85" s="19">
        <f ca="1">IF($A85-S$3&lt;2,0,OFFSET('FPSO1 Base'!S82,-'FPSO1 Otim'!S$3,0))</f>
        <v>0</v>
      </c>
      <c r="T85" s="19">
        <f ca="1">IF($A85-T$3&lt;2,0,OFFSET('FPSO1 Base'!T82,-'FPSO1 Otim'!T$3,0))</f>
        <v>667.75049999999999</v>
      </c>
      <c r="U85" s="19">
        <f ca="1">IF($A85-U$3&lt;2,0,OFFSET('FPSO1 Base'!U82,-'FPSO1 Otim'!U$3,0))</f>
        <v>755.25</v>
      </c>
      <c r="V85" s="19">
        <f ca="1">IF($A85-V$3&lt;2,0,OFFSET('FPSO1 Base'!V82,-'FPSO1 Otim'!V$3,0))</f>
        <v>1066.2494999999999</v>
      </c>
      <c r="W85" s="19">
        <f ca="1">IF($A85-W$3&lt;2,0,OFFSET('FPSO1 Base'!W82,-'FPSO1 Otim'!W$3,0))</f>
        <v>467.52449999999999</v>
      </c>
      <c r="X85" s="19">
        <f ca="1">IF($A85-X$3&lt;2,0,OFFSET('FPSO1 Base'!X82,-'FPSO1 Otim'!X$3,0))</f>
        <v>1314.048</v>
      </c>
      <c r="Y85" s="19">
        <f ca="1">IF($A85-Y$3&lt;2,0,OFFSET('FPSO1 Base'!Y82,-'FPSO1 Otim'!Y$3,0))</f>
        <v>589.65750000000003</v>
      </c>
      <c r="Z85" s="19">
        <f ca="1">IF($A85-Z$3&lt;2,0,OFFSET('FPSO1 Base'!Z82,-'FPSO1 Otim'!Z$3,0))</f>
        <v>1905.2550000000001</v>
      </c>
      <c r="AA85" s="20">
        <v>15000</v>
      </c>
      <c r="AB85" s="19">
        <f t="shared" ca="1" si="7"/>
        <v>14327.611499999999</v>
      </c>
      <c r="AC85" s="20">
        <f t="shared" ca="1" si="8"/>
        <v>672.38850000000093</v>
      </c>
      <c r="AD85" s="19">
        <f t="shared" ca="1" si="9"/>
        <v>7437.8596595530425</v>
      </c>
    </row>
    <row r="86" spans="1:30" x14ac:dyDescent="0.25">
      <c r="A86" s="19">
        <v>82</v>
      </c>
      <c r="B86" s="31">
        <v>48092</v>
      </c>
      <c r="C86" s="19">
        <f ca="1">IF($A86-C$3&lt;2,0,OFFSET('FPSO1 Base'!C83,-'FPSO1 Otim'!C$3,0))</f>
        <v>1650.6345000000001</v>
      </c>
      <c r="D86" s="19">
        <f ca="1">IF($A86-D$3&lt;2,0,OFFSET('FPSO1 Base'!D83,-'FPSO1 Otim'!D$3,0))</f>
        <v>0</v>
      </c>
      <c r="E86" s="19">
        <f ca="1">IF($A86-E$3&lt;2,0,OFFSET('FPSO1 Base'!E83,-'FPSO1 Otim'!E$3,0))</f>
        <v>705.14549999999997</v>
      </c>
      <c r="F86" s="19">
        <f ca="1">IF($A86-F$3&lt;2,0,OFFSET('FPSO1 Base'!F83,-'FPSO1 Otim'!F$3,0))</f>
        <v>1024.077</v>
      </c>
      <c r="G86" s="19">
        <f ca="1">IF($A86-G$3&lt;2,0,OFFSET('FPSO1 Base'!G83,-'FPSO1 Otim'!G$3,0))</f>
        <v>376.101</v>
      </c>
      <c r="H86" s="19">
        <f ca="1">IF($A86-H$3&lt;2,0,OFFSET('FPSO1 Base'!H83,-'FPSO1 Otim'!H$3,0))</f>
        <v>0</v>
      </c>
      <c r="I86" s="19">
        <f ca="1">IF($A86-I$3&lt;2,0,OFFSET('FPSO1 Base'!I83,-'FPSO1 Otim'!I$3,0))</f>
        <v>0</v>
      </c>
      <c r="J86" s="19">
        <f ca="1">IF($A86-J$3&lt;2,0,OFFSET('FPSO1 Base'!J83,-'FPSO1 Otim'!J$3,0))</f>
        <v>319.54949999999997</v>
      </c>
      <c r="K86" s="19">
        <f ca="1">IF($A86-K$3&lt;2,0,OFFSET('FPSO1 Base'!K83,-'FPSO1 Otim'!K$3,0))</f>
        <v>556.13699999999994</v>
      </c>
      <c r="L86" s="19">
        <f ca="1">IF($A86-L$3&lt;2,0,OFFSET('FPSO1 Base'!L83,-'FPSO1 Otim'!L$3,0))</f>
        <v>909.64949999999999</v>
      </c>
      <c r="M86" s="19">
        <f ca="1">IF($A86-M$3&lt;2,0,OFFSET('FPSO1 Base'!M83,-'FPSO1 Otim'!M$3,0))</f>
        <v>806.78250000000003</v>
      </c>
      <c r="N86" s="19">
        <f ca="1">IF($A86-N$3&lt;2,0,OFFSET('FPSO1 Base'!N83,-'FPSO1 Otim'!N$3,0))</f>
        <v>164.4915</v>
      </c>
      <c r="O86" s="19">
        <f ca="1">IF($A86-O$3&lt;2,0,OFFSET('FPSO1 Base'!O83,-'FPSO1 Otim'!O$3,0))</f>
        <v>0</v>
      </c>
      <c r="P86" s="19">
        <f ca="1">IF($A86-P$3&lt;2,0,OFFSET('FPSO1 Base'!P83,-'FPSO1 Otim'!P$3,0))</f>
        <v>303.87149999999997</v>
      </c>
      <c r="Q86" s="19">
        <f ca="1">IF($A86-Q$3&lt;2,0,OFFSET('FPSO1 Base'!Q83,-'FPSO1 Otim'!Q$3,0))</f>
        <v>456.10949999999997</v>
      </c>
      <c r="R86" s="19">
        <f ca="1">IF($A86-R$3&lt;2,0,OFFSET('FPSO1 Base'!R83,-'FPSO1 Otim'!R$3,0))</f>
        <v>257.322</v>
      </c>
      <c r="S86" s="19">
        <f ca="1">IF($A86-S$3&lt;2,0,OFFSET('FPSO1 Base'!S83,-'FPSO1 Otim'!S$3,0))</f>
        <v>0</v>
      </c>
      <c r="T86" s="19">
        <f ca="1">IF($A86-T$3&lt;2,0,OFFSET('FPSO1 Base'!T83,-'FPSO1 Otim'!T$3,0))</f>
        <v>663.9615</v>
      </c>
      <c r="U86" s="19">
        <f ca="1">IF($A86-U$3&lt;2,0,OFFSET('FPSO1 Base'!U83,-'FPSO1 Otim'!U$3,0))</f>
        <v>751.524</v>
      </c>
      <c r="V86" s="19">
        <f ca="1">IF($A86-V$3&lt;2,0,OFFSET('FPSO1 Base'!V83,-'FPSO1 Otim'!V$3,0))</f>
        <v>1063.6935000000001</v>
      </c>
      <c r="W86" s="19">
        <f ca="1">IF($A86-W$3&lt;2,0,OFFSET('FPSO1 Base'!W83,-'FPSO1 Otim'!W$3,0))</f>
        <v>464.589</v>
      </c>
      <c r="X86" s="19">
        <f ca="1">IF($A86-X$3&lt;2,0,OFFSET('FPSO1 Base'!X83,-'FPSO1 Otim'!X$3,0))</f>
        <v>1312.1370000000002</v>
      </c>
      <c r="Y86" s="19">
        <f ca="1">IF($A86-Y$3&lt;2,0,OFFSET('FPSO1 Base'!Y83,-'FPSO1 Otim'!Y$3,0))</f>
        <v>588.66300000000001</v>
      </c>
      <c r="Z86" s="19">
        <f ca="1">IF($A86-Z$3&lt;2,0,OFFSET('FPSO1 Base'!Z83,-'FPSO1 Otim'!Z$3,0))</f>
        <v>1803.3600000000001</v>
      </c>
      <c r="AA86" s="20">
        <v>15000</v>
      </c>
      <c r="AB86" s="19">
        <f t="shared" ca="1" si="7"/>
        <v>14177.799000000001</v>
      </c>
      <c r="AC86" s="20">
        <f t="shared" ca="1" si="8"/>
        <v>822.20099999999911</v>
      </c>
      <c r="AD86" s="19">
        <f t="shared" ca="1" si="9"/>
        <v>7299.2606723340614</v>
      </c>
    </row>
    <row r="87" spans="1:30" x14ac:dyDescent="0.25">
      <c r="A87" s="19">
        <v>83</v>
      </c>
      <c r="B87" s="31">
        <v>48122</v>
      </c>
      <c r="C87" s="19">
        <f ca="1">IF($A87-C$3&lt;2,0,OFFSET('FPSO1 Base'!C84,-'FPSO1 Otim'!C$3,0))</f>
        <v>1650.5010000000002</v>
      </c>
      <c r="D87" s="19">
        <f ca="1">IF($A87-D$3&lt;2,0,OFFSET('FPSO1 Base'!D84,-'FPSO1 Otim'!D$3,0))</f>
        <v>0</v>
      </c>
      <c r="E87" s="19">
        <f ca="1">IF($A87-E$3&lt;2,0,OFFSET('FPSO1 Base'!E84,-'FPSO1 Otim'!E$3,0))</f>
        <v>702.99149999999997</v>
      </c>
      <c r="F87" s="19">
        <f ca="1">IF($A87-F$3&lt;2,0,OFFSET('FPSO1 Base'!F84,-'FPSO1 Otim'!F$3,0))</f>
        <v>1018.5239999999999</v>
      </c>
      <c r="G87" s="19">
        <f ca="1">IF($A87-G$3&lt;2,0,OFFSET('FPSO1 Base'!G84,-'FPSO1 Otim'!G$3,0))</f>
        <v>371.70749999999998</v>
      </c>
      <c r="H87" s="19">
        <f ca="1">IF($A87-H$3&lt;2,0,OFFSET('FPSO1 Base'!H84,-'FPSO1 Otim'!H$3,0))</f>
        <v>0</v>
      </c>
      <c r="I87" s="19">
        <f ca="1">IF($A87-I$3&lt;2,0,OFFSET('FPSO1 Base'!I84,-'FPSO1 Otim'!I$3,0))</f>
        <v>0</v>
      </c>
      <c r="J87" s="19">
        <f ca="1">IF($A87-J$3&lt;2,0,OFFSET('FPSO1 Base'!J84,-'FPSO1 Otim'!J$3,0))</f>
        <v>318.96750000000003</v>
      </c>
      <c r="K87" s="19">
        <f ca="1">IF($A87-K$3&lt;2,0,OFFSET('FPSO1 Base'!K84,-'FPSO1 Otim'!K$3,0))</f>
        <v>554.1105</v>
      </c>
      <c r="L87" s="19">
        <f ca="1">IF($A87-L$3&lt;2,0,OFFSET('FPSO1 Base'!L84,-'FPSO1 Otim'!L$3,0))</f>
        <v>892.04700000000003</v>
      </c>
      <c r="M87" s="19">
        <f ca="1">IF($A87-M$3&lt;2,0,OFFSET('FPSO1 Base'!M84,-'FPSO1 Otim'!M$3,0))</f>
        <v>802.2405</v>
      </c>
      <c r="N87" s="19">
        <f ca="1">IF($A87-N$3&lt;2,0,OFFSET('FPSO1 Base'!N84,-'FPSO1 Otim'!N$3,0))</f>
        <v>162.315</v>
      </c>
      <c r="O87" s="19">
        <f ca="1">IF($A87-O$3&lt;2,0,OFFSET('FPSO1 Base'!O84,-'FPSO1 Otim'!O$3,0))</f>
        <v>0</v>
      </c>
      <c r="P87" s="19">
        <f ca="1">IF($A87-P$3&lt;2,0,OFFSET('FPSO1 Base'!P84,-'FPSO1 Otim'!P$3,0))</f>
        <v>301.75049999999999</v>
      </c>
      <c r="Q87" s="19">
        <f ca="1">IF($A87-Q$3&lt;2,0,OFFSET('FPSO1 Base'!Q84,-'FPSO1 Otim'!Q$3,0))</f>
        <v>455.3175</v>
      </c>
      <c r="R87" s="19">
        <f ca="1">IF($A87-R$3&lt;2,0,OFFSET('FPSO1 Base'!R84,-'FPSO1 Otim'!R$3,0))</f>
        <v>254.83949999999999</v>
      </c>
      <c r="S87" s="19">
        <f ca="1">IF($A87-S$3&lt;2,0,OFFSET('FPSO1 Base'!S84,-'FPSO1 Otim'!S$3,0))</f>
        <v>0</v>
      </c>
      <c r="T87" s="19">
        <f ca="1">IF($A87-T$3&lt;2,0,OFFSET('FPSO1 Base'!T84,-'FPSO1 Otim'!T$3,0))</f>
        <v>660.45299999999997</v>
      </c>
      <c r="U87" s="19">
        <f ca="1">IF($A87-U$3&lt;2,0,OFFSET('FPSO1 Base'!U84,-'FPSO1 Otim'!U$3,0))</f>
        <v>747.21449999999993</v>
      </c>
      <c r="V87" s="19">
        <f ca="1">IF($A87-V$3&lt;2,0,OFFSET('FPSO1 Base'!V84,-'FPSO1 Otim'!V$3,0))</f>
        <v>1060.9845</v>
      </c>
      <c r="W87" s="19">
        <f ca="1">IF($A87-W$3&lt;2,0,OFFSET('FPSO1 Base'!W84,-'FPSO1 Otim'!W$3,0))</f>
        <v>461.41200000000003</v>
      </c>
      <c r="X87" s="19">
        <f ca="1">IF($A87-X$3&lt;2,0,OFFSET('FPSO1 Base'!X84,-'FPSO1 Otim'!X$3,0))</f>
        <v>1310.1750000000002</v>
      </c>
      <c r="Y87" s="19">
        <f ca="1">IF($A87-Y$3&lt;2,0,OFFSET('FPSO1 Base'!Y84,-'FPSO1 Otim'!Y$3,0))</f>
        <v>587.74649999999997</v>
      </c>
      <c r="Z87" s="19">
        <f ca="1">IF($A87-Z$3&lt;2,0,OFFSET('FPSO1 Base'!Z84,-'FPSO1 Otim'!Z$3,0))</f>
        <v>1708.3650000000002</v>
      </c>
      <c r="AA87" s="20">
        <v>15000</v>
      </c>
      <c r="AB87" s="19">
        <f t="shared" ca="1" si="7"/>
        <v>14021.662499999999</v>
      </c>
      <c r="AC87" s="20">
        <f t="shared" ca="1" si="8"/>
        <v>978.33750000000146</v>
      </c>
      <c r="AD87" s="19">
        <f t="shared" ca="1" si="9"/>
        <v>7159.2156378480004</v>
      </c>
    </row>
    <row r="88" spans="1:30" x14ac:dyDescent="0.25">
      <c r="A88" s="19">
        <v>84</v>
      </c>
      <c r="B88" s="31">
        <v>48153</v>
      </c>
      <c r="C88" s="19">
        <f ca="1">IF($A88-C$3&lt;2,0,OFFSET('FPSO1 Base'!C85,-'FPSO1 Otim'!C$3,0))</f>
        <v>1650.366</v>
      </c>
      <c r="D88" s="19">
        <f ca="1">IF($A88-D$3&lt;2,0,OFFSET('FPSO1 Base'!D85,-'FPSO1 Otim'!D$3,0))</f>
        <v>748.83</v>
      </c>
      <c r="E88" s="19">
        <f ca="1">IF($A88-E$3&lt;2,0,OFFSET('FPSO1 Base'!E85,-'FPSO1 Otim'!E$3,0))</f>
        <v>700.47300000000007</v>
      </c>
      <c r="F88" s="19">
        <f ca="1">IF($A88-F$3&lt;2,0,OFFSET('FPSO1 Base'!F85,-'FPSO1 Otim'!F$3,0))</f>
        <v>1012.6005</v>
      </c>
      <c r="G88" s="19">
        <f ca="1">IF($A88-G$3&lt;2,0,OFFSET('FPSO1 Base'!G85,-'FPSO1 Otim'!G$3,0))</f>
        <v>368.79449999999997</v>
      </c>
      <c r="H88" s="19">
        <f ca="1">IF($A88-H$3&lt;2,0,OFFSET('FPSO1 Base'!H85,-'FPSO1 Otim'!H$3,0))</f>
        <v>0</v>
      </c>
      <c r="I88" s="19">
        <f ca="1">IF($A88-I$3&lt;2,0,OFFSET('FPSO1 Base'!I85,-'FPSO1 Otim'!I$3,0))</f>
        <v>0</v>
      </c>
      <c r="J88" s="19">
        <f ca="1">IF($A88-J$3&lt;2,0,OFFSET('FPSO1 Base'!J85,-'FPSO1 Otim'!J$3,0))</f>
        <v>318.14999999999998</v>
      </c>
      <c r="K88" s="19">
        <f ca="1">IF($A88-K$3&lt;2,0,OFFSET('FPSO1 Base'!K85,-'FPSO1 Otim'!K$3,0))</f>
        <v>552.07799999999997</v>
      </c>
      <c r="L88" s="19">
        <f ca="1">IF($A88-L$3&lt;2,0,OFFSET('FPSO1 Base'!L85,-'FPSO1 Otim'!L$3,0))</f>
        <v>882.9375</v>
      </c>
      <c r="M88" s="19">
        <f ca="1">IF($A88-M$3&lt;2,0,OFFSET('FPSO1 Base'!M85,-'FPSO1 Otim'!M$3,0))</f>
        <v>797.5184999999999</v>
      </c>
      <c r="N88" s="19">
        <f ca="1">IF($A88-N$3&lt;2,0,OFFSET('FPSO1 Base'!N85,-'FPSO1 Otim'!N$3,0))</f>
        <v>160.05000000000001</v>
      </c>
      <c r="O88" s="19">
        <f ca="1">IF($A88-O$3&lt;2,0,OFFSET('FPSO1 Base'!O85,-'FPSO1 Otim'!O$3,0))</f>
        <v>0</v>
      </c>
      <c r="P88" s="19">
        <f ca="1">IF($A88-P$3&lt;2,0,OFFSET('FPSO1 Base'!P85,-'FPSO1 Otim'!P$3,0))</f>
        <v>299.709</v>
      </c>
      <c r="Q88" s="19">
        <f ca="1">IF($A88-Q$3&lt;2,0,OFFSET('FPSO1 Base'!Q85,-'FPSO1 Otim'!Q$3,0))</f>
        <v>454.72950000000003</v>
      </c>
      <c r="R88" s="19">
        <f ca="1">IF($A88-R$3&lt;2,0,OFFSET('FPSO1 Base'!R85,-'FPSO1 Otim'!R$3,0))</f>
        <v>252.363</v>
      </c>
      <c r="S88" s="19">
        <f ca="1">IF($A88-S$3&lt;2,0,OFFSET('FPSO1 Base'!S85,-'FPSO1 Otim'!S$3,0))</f>
        <v>0</v>
      </c>
      <c r="T88" s="19">
        <f ca="1">IF($A88-T$3&lt;2,0,OFFSET('FPSO1 Base'!T85,-'FPSO1 Otim'!T$3,0))</f>
        <v>656.46449999999993</v>
      </c>
      <c r="U88" s="19">
        <f ca="1">IF($A88-U$3&lt;2,0,OFFSET('FPSO1 Base'!U85,-'FPSO1 Otim'!U$3,0))</f>
        <v>743.80649999999991</v>
      </c>
      <c r="V88" s="19">
        <f ca="1">IF($A88-V$3&lt;2,0,OFFSET('FPSO1 Base'!V85,-'FPSO1 Otim'!V$3,0))</f>
        <v>1057.9499999999998</v>
      </c>
      <c r="W88" s="19">
        <f ca="1">IF($A88-W$3&lt;2,0,OFFSET('FPSO1 Base'!W85,-'FPSO1 Otim'!W$3,0))</f>
        <v>458.46749999999997</v>
      </c>
      <c r="X88" s="19">
        <f ca="1">IF($A88-X$3&lt;2,0,OFFSET('FPSO1 Base'!X85,-'FPSO1 Otim'!X$3,0))</f>
        <v>1308.2909999999999</v>
      </c>
      <c r="Y88" s="19">
        <f ca="1">IF($A88-Y$3&lt;2,0,OFFSET('FPSO1 Base'!Y85,-'FPSO1 Otim'!Y$3,0))</f>
        <v>586.75049999999999</v>
      </c>
      <c r="Z88" s="19">
        <f ca="1">IF($A88-Z$3&lt;2,0,OFFSET('FPSO1 Base'!Z85,-'FPSO1 Otim'!Z$3,0))</f>
        <v>1621.6799999999998</v>
      </c>
      <c r="AA88" s="20">
        <v>15000</v>
      </c>
      <c r="AB88" s="19">
        <f t="shared" ca="1" si="7"/>
        <v>14632.009500000002</v>
      </c>
      <c r="AC88" s="20">
        <f t="shared" ca="1" si="8"/>
        <v>367.99049999999806</v>
      </c>
      <c r="AD88" s="19">
        <f t="shared" ca="1" si="9"/>
        <v>7409.1055946408787</v>
      </c>
    </row>
    <row r="89" spans="1:30" x14ac:dyDescent="0.25">
      <c r="A89" s="19">
        <v>85</v>
      </c>
      <c r="B89" s="31">
        <v>48183</v>
      </c>
      <c r="C89" s="19">
        <f ca="1">IF($A89-C$3&lt;2,0,OFFSET('FPSO1 Base'!C86,-'FPSO1 Otim'!C$3,0))</f>
        <v>1650.2415000000001</v>
      </c>
      <c r="D89" s="19">
        <f ca="1">IF($A89-D$3&lt;2,0,OFFSET('FPSO1 Base'!D86,-'FPSO1 Otim'!D$3,0))</f>
        <v>1152.7215000000001</v>
      </c>
      <c r="E89" s="19">
        <f ca="1">IF($A89-E$3&lt;2,0,OFFSET('FPSO1 Base'!E86,-'FPSO1 Otim'!E$3,0))</f>
        <v>698.42550000000006</v>
      </c>
      <c r="F89" s="19">
        <f ca="1">IF($A89-F$3&lt;2,0,OFFSET('FPSO1 Base'!F86,-'FPSO1 Otim'!F$3,0))</f>
        <v>1007.2139999999999</v>
      </c>
      <c r="G89" s="19">
        <f ca="1">IF($A89-G$3&lt;2,0,OFFSET('FPSO1 Base'!G86,-'FPSO1 Otim'!G$3,0))</f>
        <v>365.66699999999997</v>
      </c>
      <c r="H89" s="19">
        <f ca="1">IF($A89-H$3&lt;2,0,OFFSET('FPSO1 Base'!H86,-'FPSO1 Otim'!H$3,0))</f>
        <v>0</v>
      </c>
      <c r="I89" s="19">
        <f ca="1">IF($A89-I$3&lt;2,0,OFFSET('FPSO1 Base'!I86,-'FPSO1 Otim'!I$3,0))</f>
        <v>0</v>
      </c>
      <c r="J89" s="19">
        <f ca="1">IF($A89-J$3&lt;2,0,OFFSET('FPSO1 Base'!J86,-'FPSO1 Otim'!J$3,0))</f>
        <v>316.476</v>
      </c>
      <c r="K89" s="19">
        <f ca="1">IF($A89-K$3&lt;2,0,OFFSET('FPSO1 Base'!K86,-'FPSO1 Otim'!K$3,0))</f>
        <v>549.92550000000006</v>
      </c>
      <c r="L89" s="19">
        <f ca="1">IF($A89-L$3&lt;2,0,OFFSET('FPSO1 Base'!L86,-'FPSO1 Otim'!L$3,0))</f>
        <v>873.32850000000008</v>
      </c>
      <c r="M89" s="19">
        <f ca="1">IF($A89-M$3&lt;2,0,OFFSET('FPSO1 Base'!M86,-'FPSO1 Otim'!M$3,0))</f>
        <v>793.2405</v>
      </c>
      <c r="N89" s="19">
        <f ca="1">IF($A89-N$3&lt;2,0,OFFSET('FPSO1 Base'!N86,-'FPSO1 Otim'!N$3,0))</f>
        <v>158.1045</v>
      </c>
      <c r="O89" s="19">
        <f ca="1">IF($A89-O$3&lt;2,0,OFFSET('FPSO1 Base'!O86,-'FPSO1 Otim'!O$3,0))</f>
        <v>0</v>
      </c>
      <c r="P89" s="19">
        <f ca="1">IF($A89-P$3&lt;2,0,OFFSET('FPSO1 Base'!P86,-'FPSO1 Otim'!P$3,0))</f>
        <v>297.60000000000002</v>
      </c>
      <c r="Q89" s="19">
        <f ca="1">IF($A89-Q$3&lt;2,0,OFFSET('FPSO1 Base'!Q86,-'FPSO1 Otim'!Q$3,0))</f>
        <v>454.01250000000005</v>
      </c>
      <c r="R89" s="19">
        <f ca="1">IF($A89-R$3&lt;2,0,OFFSET('FPSO1 Base'!R86,-'FPSO1 Otim'!R$3,0))</f>
        <v>249.62549999999999</v>
      </c>
      <c r="S89" s="19">
        <f ca="1">IF($A89-S$3&lt;2,0,OFFSET('FPSO1 Base'!S86,-'FPSO1 Otim'!S$3,0))</f>
        <v>0</v>
      </c>
      <c r="T89" s="19">
        <f ca="1">IF($A89-T$3&lt;2,0,OFFSET('FPSO1 Base'!T86,-'FPSO1 Otim'!T$3,0))</f>
        <v>653.31600000000003</v>
      </c>
      <c r="U89" s="19">
        <f ca="1">IF($A89-U$3&lt;2,0,OFFSET('FPSO1 Base'!U86,-'FPSO1 Otim'!U$3,0))</f>
        <v>739.90049999999997</v>
      </c>
      <c r="V89" s="19">
        <f ca="1">IF($A89-V$3&lt;2,0,OFFSET('FPSO1 Base'!V86,-'FPSO1 Otim'!V$3,0))</f>
        <v>1055.1285</v>
      </c>
      <c r="W89" s="19">
        <f ca="1">IF($A89-W$3&lt;2,0,OFFSET('FPSO1 Base'!W86,-'FPSO1 Otim'!W$3,0))</f>
        <v>455.553</v>
      </c>
      <c r="X89" s="19">
        <f ca="1">IF($A89-X$3&lt;2,0,OFFSET('FPSO1 Base'!X86,-'FPSO1 Otim'!X$3,0))</f>
        <v>1306.3004999999998</v>
      </c>
      <c r="Y89" s="19">
        <f ca="1">IF($A89-Y$3&lt;2,0,OFFSET('FPSO1 Base'!Y86,-'FPSO1 Otim'!Y$3,0))</f>
        <v>585.81000000000006</v>
      </c>
      <c r="Z89" s="19">
        <f ca="1">IF($A89-Z$3&lt;2,0,OFFSET('FPSO1 Base'!Z86,-'FPSO1 Otim'!Z$3,0))</f>
        <v>1539.5099999999998</v>
      </c>
      <c r="AA89" s="20">
        <v>15000</v>
      </c>
      <c r="AB89" s="19">
        <f t="shared" ca="1" si="7"/>
        <v>14902.101000000001</v>
      </c>
      <c r="AC89" s="20">
        <f t="shared" ca="1" si="8"/>
        <v>97.898999999999432</v>
      </c>
      <c r="AD89" s="19">
        <f t="shared" ca="1" si="9"/>
        <v>7483.5073272148556</v>
      </c>
    </row>
    <row r="90" spans="1:30" x14ac:dyDescent="0.25">
      <c r="A90" s="19">
        <v>86</v>
      </c>
      <c r="B90" s="31">
        <v>48214</v>
      </c>
      <c r="C90" s="19">
        <f ca="1">IF($A90-C$3&lt;2,0,OFFSET('FPSO1 Base'!C87,-'FPSO1 Otim'!C$3,0))</f>
        <v>1641.1334999999999</v>
      </c>
      <c r="D90" s="19">
        <f ca="1">IF($A90-D$3&lt;2,0,OFFSET('FPSO1 Base'!D87,-'FPSO1 Otim'!D$3,0))</f>
        <v>1032.1244999999999</v>
      </c>
      <c r="E90" s="19">
        <f ca="1">IF($A90-E$3&lt;2,0,OFFSET('FPSO1 Base'!E87,-'FPSO1 Otim'!E$3,0))</f>
        <v>696.03150000000005</v>
      </c>
      <c r="F90" s="19">
        <f ca="1">IF($A90-F$3&lt;2,0,OFFSET('FPSO1 Base'!F87,-'FPSO1 Otim'!F$3,0))</f>
        <v>1001.3249999999999</v>
      </c>
      <c r="G90" s="19">
        <f ca="1">IF($A90-G$3&lt;2,0,OFFSET('FPSO1 Base'!G87,-'FPSO1 Otim'!G$3,0))</f>
        <v>362.76</v>
      </c>
      <c r="H90" s="19">
        <f ca="1">IF($A90-H$3&lt;2,0,OFFSET('FPSO1 Base'!H87,-'FPSO1 Otim'!H$3,0))</f>
        <v>0</v>
      </c>
      <c r="I90" s="19">
        <f ca="1">IF($A90-I$3&lt;2,0,OFFSET('FPSO1 Base'!I87,-'FPSO1 Otim'!I$3,0))</f>
        <v>0</v>
      </c>
      <c r="J90" s="19">
        <f ca="1">IF($A90-J$3&lt;2,0,OFFSET('FPSO1 Base'!J87,-'FPSO1 Otim'!J$3,0))</f>
        <v>319.66949999999997</v>
      </c>
      <c r="K90" s="19">
        <f ca="1">IF($A90-K$3&lt;2,0,OFFSET('FPSO1 Base'!K87,-'FPSO1 Otim'!K$3,0))</f>
        <v>547.947</v>
      </c>
      <c r="L90" s="19">
        <f ca="1">IF($A90-L$3&lt;2,0,OFFSET('FPSO1 Base'!L87,-'FPSO1 Otim'!L$3,0))</f>
        <v>865.70549999999992</v>
      </c>
      <c r="M90" s="19">
        <f ca="1">IF($A90-M$3&lt;2,0,OFFSET('FPSO1 Base'!M87,-'FPSO1 Otim'!M$3,0))</f>
        <v>788.65050000000008</v>
      </c>
      <c r="N90" s="19">
        <f ca="1">IF($A90-N$3&lt;2,0,OFFSET('FPSO1 Base'!N87,-'FPSO1 Otim'!N$3,0))</f>
        <v>156</v>
      </c>
      <c r="O90" s="19">
        <f ca="1">IF($A90-O$3&lt;2,0,OFFSET('FPSO1 Base'!O87,-'FPSO1 Otim'!O$3,0))</f>
        <v>0</v>
      </c>
      <c r="P90" s="19">
        <f ca="1">IF($A90-P$3&lt;2,0,OFFSET('FPSO1 Base'!P87,-'FPSO1 Otim'!P$3,0))</f>
        <v>295.59749999999997</v>
      </c>
      <c r="Q90" s="19">
        <f ca="1">IF($A90-Q$3&lt;2,0,OFFSET('FPSO1 Base'!Q87,-'FPSO1 Otim'!Q$3,0))</f>
        <v>453.38699999999994</v>
      </c>
      <c r="R90" s="19">
        <f ca="1">IF($A90-R$3&lt;2,0,OFFSET('FPSO1 Base'!R87,-'FPSO1 Otim'!R$3,0))</f>
        <v>248.298</v>
      </c>
      <c r="S90" s="19">
        <f ca="1">IF($A90-S$3&lt;2,0,OFFSET('FPSO1 Base'!S87,-'FPSO1 Otim'!S$3,0))</f>
        <v>0</v>
      </c>
      <c r="T90" s="19">
        <f ca="1">IF($A90-T$3&lt;2,0,OFFSET('FPSO1 Base'!T87,-'FPSO1 Otim'!T$3,0))</f>
        <v>649.73099999999999</v>
      </c>
      <c r="U90" s="19">
        <f ca="1">IF($A90-U$3&lt;2,0,OFFSET('FPSO1 Base'!U87,-'FPSO1 Otim'!U$3,0))</f>
        <v>736.30649999999991</v>
      </c>
      <c r="V90" s="19">
        <f ca="1">IF($A90-V$3&lt;2,0,OFFSET('FPSO1 Base'!V87,-'FPSO1 Otim'!V$3,0))</f>
        <v>1051.8000000000002</v>
      </c>
      <c r="W90" s="19">
        <f ca="1">IF($A90-W$3&lt;2,0,OFFSET('FPSO1 Base'!W87,-'FPSO1 Otim'!W$3,0))</f>
        <v>452.51250000000005</v>
      </c>
      <c r="X90" s="19">
        <f ca="1">IF($A90-X$3&lt;2,0,OFFSET('FPSO1 Base'!X87,-'FPSO1 Otim'!X$3,0))</f>
        <v>1304.5409999999999</v>
      </c>
      <c r="Y90" s="19">
        <f ca="1">IF($A90-Y$3&lt;2,0,OFFSET('FPSO1 Base'!Y87,-'FPSO1 Otim'!Y$3,0))</f>
        <v>584.87850000000003</v>
      </c>
      <c r="Z90" s="19">
        <f ca="1">IF($A90-Z$3&lt;2,0,OFFSET('FPSO1 Base'!Z87,-'FPSO1 Otim'!Z$3,0))</f>
        <v>1471.7730000000001</v>
      </c>
      <c r="AA90" s="20">
        <v>15000</v>
      </c>
      <c r="AB90" s="19">
        <f t="shared" ca="1" si="7"/>
        <v>14660.172000000002</v>
      </c>
      <c r="AC90" s="20">
        <f t="shared" ca="1" si="8"/>
        <v>339.8279999999977</v>
      </c>
      <c r="AD90" s="19">
        <f t="shared" ca="1" si="9"/>
        <v>7301.172798367983</v>
      </c>
    </row>
    <row r="91" spans="1:30" x14ac:dyDescent="0.25">
      <c r="A91" s="19">
        <v>87</v>
      </c>
      <c r="B91" s="31">
        <v>48245</v>
      </c>
      <c r="C91" s="19">
        <f ca="1">IF($A91-C$3&lt;2,0,OFFSET('FPSO1 Base'!C88,-'FPSO1 Otim'!C$3,0))</f>
        <v>1641.03</v>
      </c>
      <c r="D91" s="19">
        <f ca="1">IF($A91-D$3&lt;2,0,OFFSET('FPSO1 Base'!D88,-'FPSO1 Otim'!D$3,0))</f>
        <v>914.77049999999997</v>
      </c>
      <c r="E91" s="19">
        <f ca="1">IF($A91-E$3&lt;2,0,OFFSET('FPSO1 Base'!E88,-'FPSO1 Otim'!E$3,0))</f>
        <v>693.85350000000005</v>
      </c>
      <c r="F91" s="19">
        <f ca="1">IF($A91-F$3&lt;2,0,OFFSET('FPSO1 Base'!F88,-'FPSO1 Otim'!F$3,0))</f>
        <v>995.94</v>
      </c>
      <c r="G91" s="19">
        <f ca="1">IF($A91-G$3&lt;2,0,OFFSET('FPSO1 Base'!G88,-'FPSO1 Otim'!G$3,0))</f>
        <v>359.34749999999997</v>
      </c>
      <c r="H91" s="19">
        <f ca="1">IF($A91-H$3&lt;2,0,OFFSET('FPSO1 Base'!H88,-'FPSO1 Otim'!H$3,0))</f>
        <v>0</v>
      </c>
      <c r="I91" s="19">
        <f ca="1">IF($A91-I$3&lt;2,0,OFFSET('FPSO1 Base'!I88,-'FPSO1 Otim'!I$3,0))</f>
        <v>0</v>
      </c>
      <c r="J91" s="19">
        <f ca="1">IF($A91-J$3&lt;2,0,OFFSET('FPSO1 Base'!J88,-'FPSO1 Otim'!J$3,0))</f>
        <v>330.67499999999995</v>
      </c>
      <c r="K91" s="19">
        <f ca="1">IF($A91-K$3&lt;2,0,OFFSET('FPSO1 Base'!K88,-'FPSO1 Otim'!K$3,0))</f>
        <v>545.77500000000009</v>
      </c>
      <c r="L91" s="19">
        <f ca="1">IF($A91-L$3&lt;2,0,OFFSET('FPSO1 Base'!L88,-'FPSO1 Otim'!L$3,0))</f>
        <v>856.875</v>
      </c>
      <c r="M91" s="19">
        <f ca="1">IF($A91-M$3&lt;2,0,OFFSET('FPSO1 Base'!M88,-'FPSO1 Otim'!M$3,0))</f>
        <v>784.37249999999995</v>
      </c>
      <c r="N91" s="19">
        <f ca="1">IF($A91-N$3&lt;2,0,OFFSET('FPSO1 Base'!N88,-'FPSO1 Otim'!N$3,0))</f>
        <v>153.387</v>
      </c>
      <c r="O91" s="19">
        <f ca="1">IF($A91-O$3&lt;2,0,OFFSET('FPSO1 Base'!O88,-'FPSO1 Otim'!O$3,0))</f>
        <v>0</v>
      </c>
      <c r="P91" s="19">
        <f ca="1">IF($A91-P$3&lt;2,0,OFFSET('FPSO1 Base'!P88,-'FPSO1 Otim'!P$3,0))</f>
        <v>293.661</v>
      </c>
      <c r="Q91" s="19">
        <f ca="1">IF($A91-Q$3&lt;2,0,OFFSET('FPSO1 Base'!Q88,-'FPSO1 Otim'!Q$3,0))</f>
        <v>452.73749999999995</v>
      </c>
      <c r="R91" s="19">
        <f ca="1">IF($A91-R$3&lt;2,0,OFFSET('FPSO1 Base'!R88,-'FPSO1 Otim'!R$3,0))</f>
        <v>246.9255</v>
      </c>
      <c r="S91" s="19">
        <f ca="1">IF($A91-S$3&lt;2,0,OFFSET('FPSO1 Base'!S88,-'FPSO1 Otim'!S$3,0))</f>
        <v>0</v>
      </c>
      <c r="T91" s="19">
        <f ca="1">IF($A91-T$3&lt;2,0,OFFSET('FPSO1 Base'!T88,-'FPSO1 Otim'!T$3,0))</f>
        <v>646.548</v>
      </c>
      <c r="U91" s="19">
        <f ca="1">IF($A91-U$3&lt;2,0,OFFSET('FPSO1 Base'!U88,-'FPSO1 Otim'!U$3,0))</f>
        <v>732.57449999999994</v>
      </c>
      <c r="V91" s="19">
        <f ca="1">IF($A91-V$3&lt;2,0,OFFSET('FPSO1 Base'!V88,-'FPSO1 Otim'!V$3,0))</f>
        <v>1048.6935000000001</v>
      </c>
      <c r="W91" s="19">
        <f ca="1">IF($A91-W$3&lt;2,0,OFFSET('FPSO1 Base'!W88,-'FPSO1 Otim'!W$3,0))</f>
        <v>449.72249999999997</v>
      </c>
      <c r="X91" s="19">
        <f ca="1">IF($A91-X$3&lt;2,0,OFFSET('FPSO1 Base'!X88,-'FPSO1 Otim'!X$3,0))</f>
        <v>1302.7739999999999</v>
      </c>
      <c r="Y91" s="19">
        <f ca="1">IF($A91-Y$3&lt;2,0,OFFSET('FPSO1 Base'!Y88,-'FPSO1 Otim'!Y$3,0))</f>
        <v>583.875</v>
      </c>
      <c r="Z91" s="19">
        <f ca="1">IF($A91-Z$3&lt;2,0,OFFSET('FPSO1 Base'!Z88,-'FPSO1 Otim'!Z$3,0))</f>
        <v>1409.9265</v>
      </c>
      <c r="AA91" s="20">
        <v>15000</v>
      </c>
      <c r="AB91" s="19">
        <f t="shared" ca="1" si="7"/>
        <v>14443.463999999998</v>
      </c>
      <c r="AC91" s="20">
        <f t="shared" ca="1" si="8"/>
        <v>556.53600000000188</v>
      </c>
      <c r="AD91" s="19">
        <f t="shared" ca="1" si="9"/>
        <v>7133.797880283325</v>
      </c>
    </row>
    <row r="92" spans="1:30" x14ac:dyDescent="0.25">
      <c r="A92" s="19">
        <v>88</v>
      </c>
      <c r="B92" s="31">
        <v>48274</v>
      </c>
      <c r="C92" s="19">
        <f ca="1">IF($A92-C$3&lt;2,0,OFFSET('FPSO1 Base'!C89,-'FPSO1 Otim'!C$3,0))</f>
        <v>1640.8845000000001</v>
      </c>
      <c r="D92" s="19">
        <f ca="1">IF($A92-D$3&lt;2,0,OFFSET('FPSO1 Base'!D89,-'FPSO1 Otim'!D$3,0))</f>
        <v>840.21749999999997</v>
      </c>
      <c r="E92" s="19">
        <f ca="1">IF($A92-E$3&lt;2,0,OFFSET('FPSO1 Base'!E89,-'FPSO1 Otim'!E$3,0))</f>
        <v>691.51949999999999</v>
      </c>
      <c r="F92" s="19">
        <f ca="1">IF($A92-F$3&lt;2,0,OFFSET('FPSO1 Base'!F89,-'FPSO1 Otim'!F$3,0))</f>
        <v>990.89549999999997</v>
      </c>
      <c r="G92" s="19">
        <f ca="1">IF($A92-G$3&lt;2,0,OFFSET('FPSO1 Base'!G89,-'FPSO1 Otim'!G$3,0))</f>
        <v>356.08199999999999</v>
      </c>
      <c r="H92" s="19">
        <f ca="1">IF($A92-H$3&lt;2,0,OFFSET('FPSO1 Base'!H89,-'FPSO1 Otim'!H$3,0))</f>
        <v>0</v>
      </c>
      <c r="I92" s="19">
        <f ca="1">IF($A92-I$3&lt;2,0,OFFSET('FPSO1 Base'!I89,-'FPSO1 Otim'!I$3,0))</f>
        <v>0</v>
      </c>
      <c r="J92" s="19">
        <f ca="1">IF($A92-J$3&lt;2,0,OFFSET('FPSO1 Base'!J89,-'FPSO1 Otim'!J$3,0))</f>
        <v>338.78249999999997</v>
      </c>
      <c r="K92" s="19">
        <f ca="1">IF($A92-K$3&lt;2,0,OFFSET('FPSO1 Base'!K89,-'FPSO1 Otim'!K$3,0))</f>
        <v>543.72</v>
      </c>
      <c r="L92" s="19">
        <f ca="1">IF($A92-L$3&lt;2,0,OFFSET('FPSO1 Base'!L89,-'FPSO1 Otim'!L$3,0))</f>
        <v>848.8605</v>
      </c>
      <c r="M92" s="19">
        <f ca="1">IF($A92-M$3&lt;2,0,OFFSET('FPSO1 Base'!M89,-'FPSO1 Otim'!M$3,0))</f>
        <v>780.375</v>
      </c>
      <c r="N92" s="19">
        <f ca="1">IF($A92-N$3&lt;2,0,OFFSET('FPSO1 Base'!N89,-'FPSO1 Otim'!N$3,0))</f>
        <v>151.572</v>
      </c>
      <c r="O92" s="19">
        <f ca="1">IF($A92-O$3&lt;2,0,OFFSET('FPSO1 Base'!O89,-'FPSO1 Otim'!O$3,0))</f>
        <v>0</v>
      </c>
      <c r="P92" s="19">
        <f ca="1">IF($A92-P$3&lt;2,0,OFFSET('FPSO1 Base'!P89,-'FPSO1 Otim'!P$3,0))</f>
        <v>291.50850000000003</v>
      </c>
      <c r="Q92" s="19">
        <f ca="1">IF($A92-Q$3&lt;2,0,OFFSET('FPSO1 Base'!Q89,-'FPSO1 Otim'!Q$3,0))</f>
        <v>452.16600000000005</v>
      </c>
      <c r="R92" s="19">
        <f ca="1">IF($A92-R$3&lt;2,0,OFFSET('FPSO1 Base'!R89,-'FPSO1 Otim'!R$3,0))</f>
        <v>245.37149999999997</v>
      </c>
      <c r="S92" s="19">
        <f ca="1">IF($A92-S$3&lt;2,0,OFFSET('FPSO1 Base'!S89,-'FPSO1 Otim'!S$3,0))</f>
        <v>0</v>
      </c>
      <c r="T92" s="19">
        <f ca="1">IF($A92-T$3&lt;2,0,OFFSET('FPSO1 Base'!T89,-'FPSO1 Otim'!T$3,0))</f>
        <v>643.20000000000005</v>
      </c>
      <c r="U92" s="19">
        <f ca="1">IF($A92-U$3&lt;2,0,OFFSET('FPSO1 Base'!U89,-'FPSO1 Otim'!U$3,0))</f>
        <v>729</v>
      </c>
      <c r="V92" s="19">
        <f ca="1">IF($A92-V$3&lt;2,0,OFFSET('FPSO1 Base'!V89,-'FPSO1 Otim'!V$3,0))</f>
        <v>1045.5975000000001</v>
      </c>
      <c r="W92" s="19">
        <f ca="1">IF($A92-W$3&lt;2,0,OFFSET('FPSO1 Base'!W89,-'FPSO1 Otim'!W$3,0))</f>
        <v>446.73749999999995</v>
      </c>
      <c r="X92" s="19">
        <f ca="1">IF($A92-X$3&lt;2,0,OFFSET('FPSO1 Base'!X89,-'FPSO1 Otim'!X$3,0))</f>
        <v>1300.9395</v>
      </c>
      <c r="Y92" s="19">
        <f ca="1">IF($A92-Y$3&lt;2,0,OFFSET('FPSO1 Base'!Y89,-'FPSO1 Otim'!Y$3,0))</f>
        <v>582.96749999999997</v>
      </c>
      <c r="Z92" s="19">
        <f ca="1">IF($A92-Z$3&lt;2,0,OFFSET('FPSO1 Base'!Z89,-'FPSO1 Otim'!Z$3,0))</f>
        <v>1355.3025</v>
      </c>
      <c r="AA92" s="20">
        <v>15000</v>
      </c>
      <c r="AB92" s="19">
        <f t="shared" ca="1" si="7"/>
        <v>14275.699500000001</v>
      </c>
      <c r="AC92" s="20">
        <f t="shared" ca="1" si="8"/>
        <v>724.30049999999937</v>
      </c>
      <c r="AD92" s="19">
        <f t="shared" ca="1" si="9"/>
        <v>6992.6648007281028</v>
      </c>
    </row>
    <row r="93" spans="1:30" x14ac:dyDescent="0.25">
      <c r="A93" s="19">
        <v>89</v>
      </c>
      <c r="B93" s="31">
        <v>48305</v>
      </c>
      <c r="C93" s="19">
        <f ca="1">IF($A93-C$3&lt;2,0,OFFSET('FPSO1 Base'!C90,-'FPSO1 Otim'!C$3,0))</f>
        <v>1640.7599999999998</v>
      </c>
      <c r="D93" s="19">
        <f ca="1">IF($A93-D$3&lt;2,0,OFFSET('FPSO1 Base'!D90,-'FPSO1 Otim'!D$3,0))</f>
        <v>767.24699999999996</v>
      </c>
      <c r="E93" s="19">
        <f ca="1">IF($A93-E$3&lt;2,0,OFFSET('FPSO1 Base'!E90,-'FPSO1 Otim'!E$3,0))</f>
        <v>689.33399999999995</v>
      </c>
      <c r="F93" s="19">
        <f ca="1">IF($A93-F$3&lt;2,0,OFFSET('FPSO1 Base'!F90,-'FPSO1 Otim'!F$3,0))</f>
        <v>984.97800000000007</v>
      </c>
      <c r="G93" s="19">
        <f ca="1">IF($A93-G$3&lt;2,0,OFFSET('FPSO1 Base'!G90,-'FPSO1 Otim'!G$3,0))</f>
        <v>353.67449999999997</v>
      </c>
      <c r="H93" s="19">
        <f ca="1">IF($A93-H$3&lt;2,0,OFFSET('FPSO1 Base'!H90,-'FPSO1 Otim'!H$3,0))</f>
        <v>0</v>
      </c>
      <c r="I93" s="19">
        <f ca="1">IF($A93-I$3&lt;2,0,OFFSET('FPSO1 Base'!I90,-'FPSO1 Otim'!I$3,0))</f>
        <v>0</v>
      </c>
      <c r="J93" s="19">
        <f ca="1">IF($A93-J$3&lt;2,0,OFFSET('FPSO1 Base'!J90,-'FPSO1 Otim'!J$3,0))</f>
        <v>345.52499999999998</v>
      </c>
      <c r="K93" s="19">
        <f ca="1">IF($A93-K$3&lt;2,0,OFFSET('FPSO1 Base'!K90,-'FPSO1 Otim'!K$3,0))</f>
        <v>541.77149999999995</v>
      </c>
      <c r="L93" s="19">
        <f ca="1">IF($A93-L$3&lt;2,0,OFFSET('FPSO1 Base'!L90,-'FPSO1 Otim'!L$3,0))</f>
        <v>840.27449999999999</v>
      </c>
      <c r="M93" s="19">
        <f ca="1">IF($A93-M$3&lt;2,0,OFFSET('FPSO1 Base'!M90,-'FPSO1 Otim'!M$3,0))</f>
        <v>775.72050000000013</v>
      </c>
      <c r="N93" s="19">
        <f ca="1">IF($A93-N$3&lt;2,0,OFFSET('FPSO1 Base'!N90,-'FPSO1 Otim'!N$3,0))</f>
        <v>149.68965</v>
      </c>
      <c r="O93" s="19">
        <f ca="1">IF($A93-O$3&lt;2,0,OFFSET('FPSO1 Base'!O90,-'FPSO1 Otim'!O$3,0))</f>
        <v>0</v>
      </c>
      <c r="P93" s="19">
        <f ca="1">IF($A93-P$3&lt;2,0,OFFSET('FPSO1 Base'!P90,-'FPSO1 Otim'!P$3,0))</f>
        <v>289.71750000000003</v>
      </c>
      <c r="Q93" s="19">
        <f ca="1">IF($A93-Q$3&lt;2,0,OFFSET('FPSO1 Base'!Q90,-'FPSO1 Otim'!Q$3,0))</f>
        <v>451.62150000000003</v>
      </c>
      <c r="R93" s="19">
        <f ca="1">IF($A93-R$3&lt;2,0,OFFSET('FPSO1 Base'!R90,-'FPSO1 Otim'!R$3,0))</f>
        <v>243.87149999999997</v>
      </c>
      <c r="S93" s="19">
        <f ca="1">IF($A93-S$3&lt;2,0,OFFSET('FPSO1 Base'!S90,-'FPSO1 Otim'!S$3,0))</f>
        <v>0</v>
      </c>
      <c r="T93" s="19">
        <f ca="1">IF($A93-T$3&lt;2,0,OFFSET('FPSO1 Base'!T90,-'FPSO1 Otim'!T$3,0))</f>
        <v>640.101</v>
      </c>
      <c r="U93" s="19">
        <f ca="1">IF($A93-U$3&lt;2,0,OFFSET('FPSO1 Base'!U90,-'FPSO1 Otim'!U$3,0))</f>
        <v>725.39549999999997</v>
      </c>
      <c r="V93" s="19">
        <f ca="1">IF($A93-V$3&lt;2,0,OFFSET('FPSO1 Base'!V90,-'FPSO1 Otim'!V$3,0))</f>
        <v>1041.8565000000001</v>
      </c>
      <c r="W93" s="19">
        <f ca="1">IF($A93-W$3&lt;2,0,OFFSET('FPSO1 Base'!W90,-'FPSO1 Otim'!W$3,0))</f>
        <v>443.91600000000005</v>
      </c>
      <c r="X93" s="19">
        <f ca="1">IF($A93-X$3&lt;2,0,OFFSET('FPSO1 Base'!X90,-'FPSO1 Otim'!X$3,0))</f>
        <v>1299.2909999999999</v>
      </c>
      <c r="Y93" s="19">
        <f ca="1">IF($A93-Y$3&lt;2,0,OFFSET('FPSO1 Base'!Y90,-'FPSO1 Otim'!Y$3,0))</f>
        <v>582.19350000000009</v>
      </c>
      <c r="Z93" s="19">
        <f ca="1">IF($A93-Z$3&lt;2,0,OFFSET('FPSO1 Base'!Z90,-'FPSO1 Otim'!Z$3,0))</f>
        <v>1311.5445</v>
      </c>
      <c r="AA93" s="20">
        <v>15000</v>
      </c>
      <c r="AB93" s="19">
        <f t="shared" ca="1" si="7"/>
        <v>14118.483149999998</v>
      </c>
      <c r="AC93" s="20">
        <f t="shared" ca="1" si="8"/>
        <v>881.5168500000018</v>
      </c>
      <c r="AD93" s="19">
        <f t="shared" ca="1" si="9"/>
        <v>6858.5013500434634</v>
      </c>
    </row>
    <row r="94" spans="1:30" x14ac:dyDescent="0.25">
      <c r="A94" s="19">
        <v>90</v>
      </c>
      <c r="B94" s="31">
        <v>48335</v>
      </c>
      <c r="C94" s="19">
        <f ca="1">IF($A94-C$3&lt;2,0,OFFSET('FPSO1 Base'!C91,-'FPSO1 Otim'!C$3,0))</f>
        <v>1634.9790000000003</v>
      </c>
      <c r="D94" s="19">
        <f ca="1">IF($A94-D$3&lt;2,0,OFFSET('FPSO1 Base'!D91,-'FPSO1 Otim'!D$3,0))</f>
        <v>706.29899999999998</v>
      </c>
      <c r="E94" s="19">
        <f ca="1">IF($A94-E$3&lt;2,0,OFFSET('FPSO1 Base'!E91,-'FPSO1 Otim'!E$3,0))</f>
        <v>687.1875</v>
      </c>
      <c r="F94" s="19">
        <f ca="1">IF($A94-F$3&lt;2,0,OFFSET('FPSO1 Base'!F91,-'FPSO1 Otim'!F$3,0))</f>
        <v>980.27399999999989</v>
      </c>
      <c r="G94" s="19">
        <f ca="1">IF($A94-G$3&lt;2,0,OFFSET('FPSO1 Base'!G91,-'FPSO1 Otim'!G$3,0))</f>
        <v>350.32500000000005</v>
      </c>
      <c r="H94" s="19">
        <f ca="1">IF($A94-H$3&lt;2,0,OFFSET('FPSO1 Base'!H91,-'FPSO1 Otim'!H$3,0))</f>
        <v>0</v>
      </c>
      <c r="I94" s="19">
        <f ca="1">IF($A94-I$3&lt;2,0,OFFSET('FPSO1 Base'!I91,-'FPSO1 Otim'!I$3,0))</f>
        <v>0</v>
      </c>
      <c r="J94" s="19">
        <f ca="1">IF($A94-J$3&lt;2,0,OFFSET('FPSO1 Base'!J91,-'FPSO1 Otim'!J$3,0))</f>
        <v>349.524</v>
      </c>
      <c r="K94" s="19">
        <f ca="1">IF($A94-K$3&lt;2,0,OFFSET('FPSO1 Base'!K91,-'FPSO1 Otim'!K$3,0))</f>
        <v>539.48400000000004</v>
      </c>
      <c r="L94" s="19">
        <f ca="1">IF($A94-L$3&lt;2,0,OFFSET('FPSO1 Base'!L91,-'FPSO1 Otim'!L$3,0))</f>
        <v>832.36649999999986</v>
      </c>
      <c r="M94" s="19">
        <f ca="1">IF($A94-M$3&lt;2,0,OFFSET('FPSO1 Base'!M91,-'FPSO1 Otim'!M$3,0))</f>
        <v>772.06500000000005</v>
      </c>
      <c r="N94" s="19">
        <f ca="1">IF($A94-N$3&lt;2,0,OFFSET('FPSO1 Base'!N91,-'FPSO1 Otim'!N$3,0))</f>
        <v>148.11285000000001</v>
      </c>
      <c r="O94" s="19">
        <f ca="1">IF($A94-O$3&lt;2,0,OFFSET('FPSO1 Base'!O91,-'FPSO1 Otim'!O$3,0))</f>
        <v>0</v>
      </c>
      <c r="P94" s="19">
        <f ca="1">IF($A94-P$3&lt;2,0,OFFSET('FPSO1 Base'!P91,-'FPSO1 Otim'!P$3,0))</f>
        <v>287.70000000000005</v>
      </c>
      <c r="Q94" s="19">
        <f ca="1">IF($A94-Q$3&lt;2,0,OFFSET('FPSO1 Base'!Q91,-'FPSO1 Otim'!Q$3,0))</f>
        <v>450.98700000000002</v>
      </c>
      <c r="R94" s="19">
        <f ca="1">IF($A94-R$3&lt;2,0,OFFSET('FPSO1 Base'!R91,-'FPSO1 Otim'!R$3,0))</f>
        <v>241.84950000000001</v>
      </c>
      <c r="S94" s="19">
        <f ca="1">IF($A94-S$3&lt;2,0,OFFSET('FPSO1 Base'!S91,-'FPSO1 Otim'!S$3,0))</f>
        <v>0</v>
      </c>
      <c r="T94" s="19">
        <f ca="1">IF($A94-T$3&lt;2,0,OFFSET('FPSO1 Base'!T91,-'FPSO1 Otim'!T$3,0))</f>
        <v>637.101</v>
      </c>
      <c r="U94" s="19">
        <f ca="1">IF($A94-U$3&lt;2,0,OFFSET('FPSO1 Base'!U91,-'FPSO1 Otim'!U$3,0))</f>
        <v>721.60050000000001</v>
      </c>
      <c r="V94" s="19">
        <f ca="1">IF($A94-V$3&lt;2,0,OFFSET('FPSO1 Base'!V91,-'FPSO1 Otim'!V$3,0))</f>
        <v>1038.7739999999999</v>
      </c>
      <c r="W94" s="19">
        <f ca="1">IF($A94-W$3&lt;2,0,OFFSET('FPSO1 Base'!W91,-'FPSO1 Otim'!W$3,0))</f>
        <v>441.29100000000005</v>
      </c>
      <c r="X94" s="19">
        <f ca="1">IF($A94-X$3&lt;2,0,OFFSET('FPSO1 Base'!X91,-'FPSO1 Otim'!X$3,0))</f>
        <v>1297.3995</v>
      </c>
      <c r="Y94" s="19">
        <f ca="1">IF($A94-Y$3&lt;2,0,OFFSET('FPSO1 Base'!Y91,-'FPSO1 Otim'!Y$3,0))</f>
        <v>581.10450000000003</v>
      </c>
      <c r="Z94" s="19">
        <f ca="1">IF($A94-Z$3&lt;2,0,OFFSET('FPSO1 Base'!Z91,-'FPSO1 Otim'!Z$3,0))</f>
        <v>1268.421</v>
      </c>
      <c r="AA94" s="20">
        <v>15000</v>
      </c>
      <c r="AB94" s="19">
        <f t="shared" ca="1" si="7"/>
        <v>13966.844849999999</v>
      </c>
      <c r="AC94" s="20">
        <f t="shared" ca="1" si="8"/>
        <v>1033.1551500000005</v>
      </c>
      <c r="AD94" s="19">
        <f t="shared" ca="1" si="9"/>
        <v>6728.7651891540345</v>
      </c>
    </row>
    <row r="95" spans="1:30" x14ac:dyDescent="0.25">
      <c r="A95" s="19">
        <v>91</v>
      </c>
      <c r="B95" s="31">
        <v>48366</v>
      </c>
      <c r="C95" s="19">
        <f ca="1">IF($A95-C$3&lt;2,0,OFFSET('FPSO1 Base'!C92,-'FPSO1 Otim'!C$3,0))</f>
        <v>1630.2614999999998</v>
      </c>
      <c r="D95" s="19">
        <f ca="1">IF($A95-D$3&lt;2,0,OFFSET('FPSO1 Base'!D92,-'FPSO1 Otim'!D$3,0))</f>
        <v>663.73950000000002</v>
      </c>
      <c r="E95" s="19">
        <f ca="1">IF($A95-E$3&lt;2,0,OFFSET('FPSO1 Base'!E92,-'FPSO1 Otim'!E$3,0))</f>
        <v>684.97499999999991</v>
      </c>
      <c r="F95" s="19">
        <f ca="1">IF($A95-F$3&lt;2,0,OFFSET('FPSO1 Base'!F92,-'FPSO1 Otim'!F$3,0))</f>
        <v>974.80049999999994</v>
      </c>
      <c r="G95" s="19">
        <f ca="1">IF($A95-G$3&lt;2,0,OFFSET('FPSO1 Base'!G92,-'FPSO1 Otim'!G$3,0))</f>
        <v>346.45650000000001</v>
      </c>
      <c r="H95" s="19">
        <f ca="1">IF($A95-H$3&lt;2,0,OFFSET('FPSO1 Base'!H92,-'FPSO1 Otim'!H$3,0))</f>
        <v>0</v>
      </c>
      <c r="I95" s="19">
        <f ca="1">IF($A95-I$3&lt;2,0,OFFSET('FPSO1 Base'!I92,-'FPSO1 Otim'!I$3,0))</f>
        <v>0</v>
      </c>
      <c r="J95" s="19">
        <f ca="1">IF($A95-J$3&lt;2,0,OFFSET('FPSO1 Base'!J92,-'FPSO1 Otim'!J$3,0))</f>
        <v>353.75850000000003</v>
      </c>
      <c r="K95" s="19">
        <f ca="1">IF($A95-K$3&lt;2,0,OFFSET('FPSO1 Base'!K92,-'FPSO1 Otim'!K$3,0))</f>
        <v>537.62850000000003</v>
      </c>
      <c r="L95" s="19">
        <f ca="1">IF($A95-L$3&lt;2,0,OFFSET('FPSO1 Base'!L92,-'FPSO1 Otim'!L$3,0))</f>
        <v>824.67899999999986</v>
      </c>
      <c r="M95" s="19">
        <f ca="1">IF($A95-M$3&lt;2,0,OFFSET('FPSO1 Base'!M92,-'FPSO1 Otim'!M$3,0))</f>
        <v>767.79300000000001</v>
      </c>
      <c r="N95" s="19">
        <f ca="1">IF($A95-N$3&lt;2,0,OFFSET('FPSO1 Base'!N92,-'FPSO1 Otim'!N$3,0))</f>
        <v>146.29995</v>
      </c>
      <c r="O95" s="19">
        <f ca="1">IF($A95-O$3&lt;2,0,OFFSET('FPSO1 Base'!O92,-'FPSO1 Otim'!O$3,0))</f>
        <v>0</v>
      </c>
      <c r="P95" s="19">
        <f ca="1">IF($A95-P$3&lt;2,0,OFFSET('FPSO1 Base'!P92,-'FPSO1 Otim'!P$3,0))</f>
        <v>285.774</v>
      </c>
      <c r="Q95" s="19">
        <f ca="1">IF($A95-Q$3&lt;2,0,OFFSET('FPSO1 Base'!Q92,-'FPSO1 Otim'!Q$3,0))</f>
        <v>450.49650000000003</v>
      </c>
      <c r="R95" s="19">
        <f ca="1">IF($A95-R$3&lt;2,0,OFFSET('FPSO1 Base'!R92,-'FPSO1 Otim'!R$3,0))</f>
        <v>239.709</v>
      </c>
      <c r="S95" s="19">
        <f ca="1">IF($A95-S$3&lt;2,0,OFFSET('FPSO1 Base'!S92,-'FPSO1 Otim'!S$3,0))</f>
        <v>0</v>
      </c>
      <c r="T95" s="19">
        <f ca="1">IF($A95-T$3&lt;2,0,OFFSET('FPSO1 Base'!T92,-'FPSO1 Otim'!T$3,0))</f>
        <v>634.01250000000005</v>
      </c>
      <c r="U95" s="19">
        <f ca="1">IF($A95-U$3&lt;2,0,OFFSET('FPSO1 Base'!U92,-'FPSO1 Otim'!U$3,0))</f>
        <v>718.28250000000003</v>
      </c>
      <c r="V95" s="19">
        <f ca="1">IF($A95-V$3&lt;2,0,OFFSET('FPSO1 Base'!V92,-'FPSO1 Otim'!V$3,0))</f>
        <v>1035</v>
      </c>
      <c r="W95" s="19">
        <f ca="1">IF($A95-W$3&lt;2,0,OFFSET('FPSO1 Base'!W92,-'FPSO1 Otim'!W$3,0))</f>
        <v>438.14700000000005</v>
      </c>
      <c r="X95" s="19">
        <f ca="1">IF($A95-X$3&lt;2,0,OFFSET('FPSO1 Base'!X92,-'FPSO1 Otim'!X$3,0))</f>
        <v>1295.6849999999999</v>
      </c>
      <c r="Y95" s="19">
        <f ca="1">IF($A95-Y$3&lt;2,0,OFFSET('FPSO1 Base'!Y92,-'FPSO1 Otim'!Y$3,0))</f>
        <v>580.28250000000003</v>
      </c>
      <c r="Z95" s="19">
        <f ca="1">IF($A95-Z$3&lt;2,0,OFFSET('FPSO1 Base'!Z92,-'FPSO1 Otim'!Z$3,0))</f>
        <v>1234.7055</v>
      </c>
      <c r="AA95" s="20">
        <v>15000</v>
      </c>
      <c r="AB95" s="19">
        <f t="shared" ca="1" si="7"/>
        <v>13842.486449999999</v>
      </c>
      <c r="AC95" s="20">
        <f t="shared" ca="1" si="8"/>
        <v>1157.5135500000015</v>
      </c>
      <c r="AD95" s="19">
        <f t="shared" ca="1" si="9"/>
        <v>6613.7389226461337</v>
      </c>
    </row>
    <row r="96" spans="1:30" x14ac:dyDescent="0.25">
      <c r="A96" s="19">
        <v>92</v>
      </c>
      <c r="B96" s="31">
        <v>48396</v>
      </c>
      <c r="C96" s="19">
        <f ca="1">IF($A96-C$3&lt;2,0,OFFSET('FPSO1 Base'!C93,-'FPSO1 Otim'!C$3,0))</f>
        <v>1625.5515</v>
      </c>
      <c r="D96" s="19">
        <f ca="1">IF($A96-D$3&lt;2,0,OFFSET('FPSO1 Base'!D93,-'FPSO1 Otim'!D$3,0))</f>
        <v>628.31999999999994</v>
      </c>
      <c r="E96" s="19">
        <f ca="1">IF($A96-E$3&lt;2,0,OFFSET('FPSO1 Base'!E93,-'FPSO1 Otim'!E$3,0))</f>
        <v>682.91700000000003</v>
      </c>
      <c r="F96" s="19">
        <f ca="1">IF($A96-F$3&lt;2,0,OFFSET('FPSO1 Base'!F93,-'FPSO1 Otim'!F$3,0))</f>
        <v>969.822</v>
      </c>
      <c r="G96" s="19">
        <f ca="1">IF($A96-G$3&lt;2,0,OFFSET('FPSO1 Base'!G93,-'FPSO1 Otim'!G$3,0))</f>
        <v>343.25549999999998</v>
      </c>
      <c r="H96" s="19">
        <f ca="1">IF($A96-H$3&lt;2,0,OFFSET('FPSO1 Base'!H93,-'FPSO1 Otim'!H$3,0))</f>
        <v>0</v>
      </c>
      <c r="I96" s="19">
        <f ca="1">IF($A96-I$3&lt;2,0,OFFSET('FPSO1 Base'!I93,-'FPSO1 Otim'!I$3,0))</f>
        <v>0</v>
      </c>
      <c r="J96" s="19">
        <f ca="1">IF($A96-J$3&lt;2,0,OFFSET('FPSO1 Base'!J93,-'FPSO1 Otim'!J$3,0))</f>
        <v>357.99149999999997</v>
      </c>
      <c r="K96" s="19">
        <f ca="1">IF($A96-K$3&lt;2,0,OFFSET('FPSO1 Base'!K93,-'FPSO1 Otim'!K$3,0))</f>
        <v>535.46849999999995</v>
      </c>
      <c r="L96" s="19">
        <f ca="1">IF($A96-L$3&lt;2,0,OFFSET('FPSO1 Base'!L93,-'FPSO1 Otim'!L$3,0))</f>
        <v>816.66300000000001</v>
      </c>
      <c r="M96" s="19">
        <f ca="1">IF($A96-M$3&lt;2,0,OFFSET('FPSO1 Base'!M93,-'FPSO1 Otim'!M$3,0))</f>
        <v>763.92899999999997</v>
      </c>
      <c r="N96" s="19">
        <f ca="1">IF($A96-N$3&lt;2,0,OFFSET('FPSO1 Base'!N93,-'FPSO1 Otim'!N$3,0))</f>
        <v>144.60480000000001</v>
      </c>
      <c r="O96" s="19">
        <f ca="1">IF($A96-O$3&lt;2,0,OFFSET('FPSO1 Base'!O93,-'FPSO1 Otim'!O$3,0))</f>
        <v>0</v>
      </c>
      <c r="P96" s="19">
        <f ca="1">IF($A96-P$3&lt;2,0,OFFSET('FPSO1 Base'!P93,-'FPSO1 Otim'!P$3,0))</f>
        <v>283.84950000000003</v>
      </c>
      <c r="Q96" s="19">
        <f ca="1">IF($A96-Q$3&lt;2,0,OFFSET('FPSO1 Base'!Q93,-'FPSO1 Otim'!Q$3,0))</f>
        <v>449.97450000000003</v>
      </c>
      <c r="R96" s="19">
        <f ca="1">IF($A96-R$3&lt;2,0,OFFSET('FPSO1 Base'!R93,-'FPSO1 Otim'!R$3,0))</f>
        <v>237.29999999999998</v>
      </c>
      <c r="S96" s="19">
        <f ca="1">IF($A96-S$3&lt;2,0,OFFSET('FPSO1 Base'!S93,-'FPSO1 Otim'!S$3,0))</f>
        <v>0</v>
      </c>
      <c r="T96" s="19">
        <f ca="1">IF($A96-T$3&lt;2,0,OFFSET('FPSO1 Base'!T93,-'FPSO1 Otim'!T$3,0))</f>
        <v>631.28250000000003</v>
      </c>
      <c r="U96" s="19">
        <f ca="1">IF($A96-U$3&lt;2,0,OFFSET('FPSO1 Base'!U93,-'FPSO1 Otim'!U$3,0))</f>
        <v>714.64949999999999</v>
      </c>
      <c r="V96" s="19">
        <f ca="1">IF($A96-V$3&lt;2,0,OFFSET('FPSO1 Base'!V93,-'FPSO1 Otim'!V$3,0))</f>
        <v>1031.4195</v>
      </c>
      <c r="W96" s="19">
        <f ca="1">IF($A96-W$3&lt;2,0,OFFSET('FPSO1 Base'!W93,-'FPSO1 Otim'!W$3,0))</f>
        <v>435.58050000000003</v>
      </c>
      <c r="X96" s="19">
        <f ca="1">IF($A96-X$3&lt;2,0,OFFSET('FPSO1 Base'!X93,-'FPSO1 Otim'!X$3,0))</f>
        <v>1293.8249999999998</v>
      </c>
      <c r="Y96" s="19">
        <f ca="1">IF($A96-Y$3&lt;2,0,OFFSET('FPSO1 Base'!Y93,-'FPSO1 Otim'!Y$3,0))</f>
        <v>579.32849999999996</v>
      </c>
      <c r="Z96" s="19">
        <f ca="1">IF($A96-Z$3&lt;2,0,OFFSET('FPSO1 Base'!Z93,-'FPSO1 Otim'!Z$3,0))</f>
        <v>1199.694</v>
      </c>
      <c r="AA96" s="20">
        <v>15000</v>
      </c>
      <c r="AB96" s="19">
        <f t="shared" ca="1" si="7"/>
        <v>13725.426299999999</v>
      </c>
      <c r="AC96" s="20">
        <f t="shared" ca="1" si="8"/>
        <v>1274.5737000000008</v>
      </c>
      <c r="AD96" s="19">
        <f t="shared" ca="1" si="9"/>
        <v>6503.6125126829156</v>
      </c>
    </row>
    <row r="97" spans="1:30" x14ac:dyDescent="0.25">
      <c r="A97" s="19">
        <v>93</v>
      </c>
      <c r="B97" s="31">
        <v>48427</v>
      </c>
      <c r="C97" s="19">
        <f ca="1">IF($A97-C$3&lt;2,0,OFFSET('FPSO1 Base'!C94,-'FPSO1 Otim'!C$3,0))</f>
        <v>1621.0155</v>
      </c>
      <c r="D97" s="19">
        <f ca="1">IF($A97-D$3&lt;2,0,OFFSET('FPSO1 Base'!D94,-'FPSO1 Otim'!D$3,0))</f>
        <v>594.69150000000002</v>
      </c>
      <c r="E97" s="19">
        <f ca="1">IF($A97-E$3&lt;2,0,OFFSET('FPSO1 Base'!E94,-'FPSO1 Otim'!E$3,0))</f>
        <v>680.67450000000008</v>
      </c>
      <c r="F97" s="19">
        <f ca="1">IF($A97-F$3&lt;2,0,OFFSET('FPSO1 Base'!F94,-'FPSO1 Otim'!F$3,0))</f>
        <v>964.45049999999992</v>
      </c>
      <c r="G97" s="19">
        <f ca="1">IF($A97-G$3&lt;2,0,OFFSET('FPSO1 Base'!G94,-'FPSO1 Otim'!G$3,0))</f>
        <v>339.51150000000001</v>
      </c>
      <c r="H97" s="19">
        <f ca="1">IF($A97-H$3&lt;2,0,OFFSET('FPSO1 Base'!H94,-'FPSO1 Otim'!H$3,0))</f>
        <v>0</v>
      </c>
      <c r="I97" s="19">
        <f ca="1">IF($A97-I$3&lt;2,0,OFFSET('FPSO1 Base'!I94,-'FPSO1 Otim'!I$3,0))</f>
        <v>0</v>
      </c>
      <c r="J97" s="19">
        <f ca="1">IF($A97-J$3&lt;2,0,OFFSET('FPSO1 Base'!J94,-'FPSO1 Otim'!J$3,0))</f>
        <v>359.637</v>
      </c>
      <c r="K97" s="19">
        <f ca="1">IF($A97-K$3&lt;2,0,OFFSET('FPSO1 Base'!K94,-'FPSO1 Otim'!K$3,0))</f>
        <v>533.47350000000006</v>
      </c>
      <c r="L97" s="19">
        <f ca="1">IF($A97-L$3&lt;2,0,OFFSET('FPSO1 Base'!L94,-'FPSO1 Otim'!L$3,0))</f>
        <v>809.34750000000008</v>
      </c>
      <c r="M97" s="19">
        <f ca="1">IF($A97-M$3&lt;2,0,OFFSET('FPSO1 Base'!M94,-'FPSO1 Otim'!M$3,0))</f>
        <v>759.75</v>
      </c>
      <c r="N97" s="19">
        <f ca="1">IF($A97-N$3&lt;2,0,OFFSET('FPSO1 Base'!N94,-'FPSO1 Otim'!N$3,0))</f>
        <v>142.64999999999998</v>
      </c>
      <c r="O97" s="19">
        <f ca="1">IF($A97-O$3&lt;2,0,OFFSET('FPSO1 Base'!O94,-'FPSO1 Otim'!O$3,0))</f>
        <v>0</v>
      </c>
      <c r="P97" s="19">
        <f ca="1">IF($A97-P$3&lt;2,0,OFFSET('FPSO1 Base'!P94,-'FPSO1 Otim'!P$3,0))</f>
        <v>281.976</v>
      </c>
      <c r="Q97" s="19">
        <f ca="1">IF($A97-Q$3&lt;2,0,OFFSET('FPSO1 Base'!Q94,-'FPSO1 Otim'!Q$3,0))</f>
        <v>449.553</v>
      </c>
      <c r="R97" s="19">
        <f ca="1">IF($A97-R$3&lt;2,0,OFFSET('FPSO1 Base'!R94,-'FPSO1 Otim'!R$3,0))</f>
        <v>233.80650000000003</v>
      </c>
      <c r="S97" s="19">
        <f ca="1">IF($A97-S$3&lt;2,0,OFFSET('FPSO1 Base'!S94,-'FPSO1 Otim'!S$3,0))</f>
        <v>0</v>
      </c>
      <c r="T97" s="19">
        <f ca="1">IF($A97-T$3&lt;2,0,OFFSET('FPSO1 Base'!T94,-'FPSO1 Otim'!T$3,0))</f>
        <v>628.36200000000008</v>
      </c>
      <c r="U97" s="19">
        <f ca="1">IF($A97-U$3&lt;2,0,OFFSET('FPSO1 Base'!U94,-'FPSO1 Otim'!U$3,0))</f>
        <v>711.41100000000006</v>
      </c>
      <c r="V97" s="19">
        <f ca="1">IF($A97-V$3&lt;2,0,OFFSET('FPSO1 Base'!V94,-'FPSO1 Otim'!V$3,0))</f>
        <v>1027.5</v>
      </c>
      <c r="W97" s="19">
        <f ca="1">IF($A97-W$3&lt;2,0,OFFSET('FPSO1 Base'!W94,-'FPSO1 Otim'!W$3,0))</f>
        <v>432.67499999999995</v>
      </c>
      <c r="X97" s="19">
        <f ca="1">IF($A97-X$3&lt;2,0,OFFSET('FPSO1 Base'!X94,-'FPSO1 Otim'!X$3,0))</f>
        <v>1292.0325</v>
      </c>
      <c r="Y97" s="19">
        <f ca="1">IF($A97-Y$3&lt;2,0,OFFSET('FPSO1 Base'!Y94,-'FPSO1 Otim'!Y$3,0))</f>
        <v>578.56499999999994</v>
      </c>
      <c r="Z97" s="19">
        <f ca="1">IF($A97-Z$3&lt;2,0,OFFSET('FPSO1 Base'!Z94,-'FPSO1 Otim'!Z$3,0))</f>
        <v>1170.3989999999999</v>
      </c>
      <c r="AA97" s="20">
        <v>15000</v>
      </c>
      <c r="AB97" s="19">
        <f t="shared" ca="1" si="7"/>
        <v>13611.481499999996</v>
      </c>
      <c r="AC97" s="20">
        <f t="shared" ca="1" si="8"/>
        <v>1388.5185000000038</v>
      </c>
      <c r="AD97" s="19">
        <f t="shared" ca="1" si="9"/>
        <v>6396.3186145331529</v>
      </c>
    </row>
    <row r="98" spans="1:30" x14ac:dyDescent="0.25">
      <c r="A98" s="19">
        <v>94</v>
      </c>
      <c r="B98" s="31">
        <v>48458</v>
      </c>
      <c r="C98" s="19">
        <f ca="1">IF($A98-C$3&lt;2,0,OFFSET('FPSO1 Base'!C95,-'FPSO1 Otim'!C$3,0))</f>
        <v>1616.7360000000001</v>
      </c>
      <c r="D98" s="19">
        <f ca="1">IF($A98-D$3&lt;2,0,OFFSET('FPSO1 Base'!D95,-'FPSO1 Otim'!D$3,0))</f>
        <v>588.18149999999991</v>
      </c>
      <c r="E98" s="19">
        <f ca="1">IF($A98-E$3&lt;2,0,OFFSET('FPSO1 Base'!E95,-'FPSO1 Otim'!E$3,0))</f>
        <v>678.56850000000009</v>
      </c>
      <c r="F98" s="19">
        <f ca="1">IF($A98-F$3&lt;2,0,OFFSET('FPSO1 Base'!F95,-'FPSO1 Otim'!F$3,0))</f>
        <v>959.44350000000009</v>
      </c>
      <c r="G98" s="19">
        <f ca="1">IF($A98-G$3&lt;2,0,OFFSET('FPSO1 Base'!G95,-'FPSO1 Otim'!G$3,0))</f>
        <v>335.12400000000002</v>
      </c>
      <c r="H98" s="19">
        <f ca="1">IF($A98-H$3&lt;2,0,OFFSET('FPSO1 Base'!H95,-'FPSO1 Otim'!H$3,0))</f>
        <v>0</v>
      </c>
      <c r="I98" s="19">
        <f ca="1">IF($A98-I$3&lt;2,0,OFFSET('FPSO1 Base'!I95,-'FPSO1 Otim'!I$3,0))</f>
        <v>0</v>
      </c>
      <c r="J98" s="19">
        <f ca="1">IF($A98-J$3&lt;2,0,OFFSET('FPSO1 Base'!J95,-'FPSO1 Otim'!J$3,0))</f>
        <v>361.20000000000005</v>
      </c>
      <c r="K98" s="19">
        <f ca="1">IF($A98-K$3&lt;2,0,OFFSET('FPSO1 Base'!K95,-'FPSO1 Otim'!K$3,0))</f>
        <v>531.29999999999995</v>
      </c>
      <c r="L98" s="19">
        <f ca="1">IF($A98-L$3&lt;2,0,OFFSET('FPSO1 Base'!L95,-'FPSO1 Otim'!L$3,0))</f>
        <v>801.55049999999994</v>
      </c>
      <c r="M98" s="19">
        <f ca="1">IF($A98-M$3&lt;2,0,OFFSET('FPSO1 Base'!M95,-'FPSO1 Otim'!M$3,0))</f>
        <v>755.86649999999997</v>
      </c>
      <c r="N98" s="19">
        <f ca="1">IF($A98-N$3&lt;2,0,OFFSET('FPSO1 Base'!N95,-'FPSO1 Otim'!N$3,0))</f>
        <v>140.83064999999999</v>
      </c>
      <c r="O98" s="19">
        <f ca="1">IF($A98-O$3&lt;2,0,OFFSET('FPSO1 Base'!O95,-'FPSO1 Otim'!O$3,0))</f>
        <v>0</v>
      </c>
      <c r="P98" s="19">
        <f ca="1">IF($A98-P$3&lt;2,0,OFFSET('FPSO1 Base'!P95,-'FPSO1 Otim'!P$3,0))</f>
        <v>280.113</v>
      </c>
      <c r="Q98" s="19">
        <f ca="1">IF($A98-Q$3&lt;2,0,OFFSET('FPSO1 Base'!Q95,-'FPSO1 Otim'!Q$3,0))</f>
        <v>449.16600000000005</v>
      </c>
      <c r="R98" s="19">
        <f ca="1">IF($A98-R$3&lt;2,0,OFFSET('FPSO1 Base'!R95,-'FPSO1 Otim'!R$3,0))</f>
        <v>231.072</v>
      </c>
      <c r="S98" s="19">
        <f ca="1">IF($A98-S$3&lt;2,0,OFFSET('FPSO1 Base'!S95,-'FPSO1 Otim'!S$3,0))</f>
        <v>0</v>
      </c>
      <c r="T98" s="19">
        <f ca="1">IF($A98-T$3&lt;2,0,OFFSET('FPSO1 Base'!T95,-'FPSO1 Otim'!T$3,0))</f>
        <v>625.69350000000009</v>
      </c>
      <c r="U98" s="19">
        <f ca="1">IF($A98-U$3&lt;2,0,OFFSET('FPSO1 Base'!U95,-'FPSO1 Otim'!U$3,0))</f>
        <v>708.26549999999997</v>
      </c>
      <c r="V98" s="19">
        <f ca="1">IF($A98-V$3&lt;2,0,OFFSET('FPSO1 Base'!V95,-'FPSO1 Otim'!V$3,0))</f>
        <v>1023.7739999999999</v>
      </c>
      <c r="W98" s="19">
        <f ca="1">IF($A98-W$3&lt;2,0,OFFSET('FPSO1 Base'!W95,-'FPSO1 Otim'!W$3,0))</f>
        <v>430.06499999999994</v>
      </c>
      <c r="X98" s="19">
        <f ca="1">IF($A98-X$3&lt;2,0,OFFSET('FPSO1 Base'!X95,-'FPSO1 Otim'!X$3,0))</f>
        <v>1290.1935000000001</v>
      </c>
      <c r="Y98" s="19">
        <f ca="1">IF($A98-Y$3&lt;2,0,OFFSET('FPSO1 Base'!Y95,-'FPSO1 Otim'!Y$3,0))</f>
        <v>577.64400000000001</v>
      </c>
      <c r="Z98" s="19">
        <f ca="1">IF($A98-Z$3&lt;2,0,OFFSET('FPSO1 Base'!Z95,-'FPSO1 Otim'!Z$3,0))</f>
        <v>1141.2465</v>
      </c>
      <c r="AA98" s="20">
        <v>15000</v>
      </c>
      <c r="AB98" s="19">
        <f t="shared" ca="1" si="7"/>
        <v>13526.034149999999</v>
      </c>
      <c r="AC98" s="20">
        <f t="shared" ca="1" si="8"/>
        <v>1473.9658500000005</v>
      </c>
      <c r="AD98" s="19">
        <f t="shared" ca="1" si="9"/>
        <v>6303.6348350439648</v>
      </c>
    </row>
    <row r="99" spans="1:30" x14ac:dyDescent="0.25">
      <c r="A99" s="19">
        <v>95</v>
      </c>
      <c r="B99" s="31">
        <v>48488</v>
      </c>
      <c r="C99" s="19">
        <f ca="1">IF($A99-C$3&lt;2,0,OFFSET('FPSO1 Base'!C96,-'FPSO1 Otim'!C$3,0))</f>
        <v>1612.4505000000001</v>
      </c>
      <c r="D99" s="19">
        <f ca="1">IF($A99-D$3&lt;2,0,OFFSET('FPSO1 Base'!D96,-'FPSO1 Otim'!D$3,0))</f>
        <v>561.37649999999996</v>
      </c>
      <c r="E99" s="19">
        <f ca="1">IF($A99-E$3&lt;2,0,OFFSET('FPSO1 Base'!E96,-'FPSO1 Otim'!E$3,0))</f>
        <v>676.572</v>
      </c>
      <c r="F99" s="19">
        <f ca="1">IF($A99-F$3&lt;2,0,OFFSET('FPSO1 Base'!F96,-'FPSO1 Otim'!F$3,0))</f>
        <v>954.447</v>
      </c>
      <c r="G99" s="19">
        <f ca="1">IF($A99-G$3&lt;2,0,OFFSET('FPSO1 Base'!G96,-'FPSO1 Otim'!G$3,0))</f>
        <v>330.01800000000003</v>
      </c>
      <c r="H99" s="19">
        <f ca="1">IF($A99-H$3&lt;2,0,OFFSET('FPSO1 Base'!H96,-'FPSO1 Otim'!H$3,0))</f>
        <v>0</v>
      </c>
      <c r="I99" s="19">
        <f ca="1">IF($A99-I$3&lt;2,0,OFFSET('FPSO1 Base'!I96,-'FPSO1 Otim'!I$3,0))</f>
        <v>0</v>
      </c>
      <c r="J99" s="19">
        <f ca="1">IF($A99-J$3&lt;2,0,OFFSET('FPSO1 Base'!J96,-'FPSO1 Otim'!J$3,0))</f>
        <v>362.709</v>
      </c>
      <c r="K99" s="19">
        <f ca="1">IF($A99-K$3&lt;2,0,OFFSET('FPSO1 Base'!K96,-'FPSO1 Otim'!K$3,0))</f>
        <v>529.2405</v>
      </c>
      <c r="L99" s="19">
        <f ca="1">IF($A99-L$3&lt;2,0,OFFSET('FPSO1 Base'!L96,-'FPSO1 Otim'!L$3,0))</f>
        <v>794.26200000000006</v>
      </c>
      <c r="M99" s="19">
        <f ca="1">IF($A99-M$3&lt;2,0,OFFSET('FPSO1 Base'!M96,-'FPSO1 Otim'!M$3,0))</f>
        <v>752.05649999999991</v>
      </c>
      <c r="N99" s="19">
        <f ca="1">IF($A99-N$3&lt;2,0,OFFSET('FPSO1 Base'!N96,-'FPSO1 Otim'!N$3,0))</f>
        <v>139.11285000000001</v>
      </c>
      <c r="O99" s="19">
        <f ca="1">IF($A99-O$3&lt;2,0,OFFSET('FPSO1 Base'!O96,-'FPSO1 Otim'!O$3,0))</f>
        <v>0</v>
      </c>
      <c r="P99" s="19">
        <f ca="1">IF($A99-P$3&lt;2,0,OFFSET('FPSO1 Base'!P96,-'FPSO1 Otim'!P$3,0))</f>
        <v>278.22450000000003</v>
      </c>
      <c r="Q99" s="19">
        <f ca="1">IF($A99-Q$3&lt;2,0,OFFSET('FPSO1 Base'!Q96,-'FPSO1 Otim'!Q$3,0))</f>
        <v>448.72799999999995</v>
      </c>
      <c r="R99" s="19">
        <f ca="1">IF($A99-R$3&lt;2,0,OFFSET('FPSO1 Base'!R96,-'FPSO1 Otim'!R$3,0))</f>
        <v>228.36150000000004</v>
      </c>
      <c r="S99" s="19">
        <f ca="1">IF($A99-S$3&lt;2,0,OFFSET('FPSO1 Base'!S96,-'FPSO1 Otim'!S$3,0))</f>
        <v>0</v>
      </c>
      <c r="T99" s="19">
        <f ca="1">IF($A99-T$3&lt;2,0,OFFSET('FPSO1 Base'!T96,-'FPSO1 Otim'!T$3,0))</f>
        <v>623.202</v>
      </c>
      <c r="U99" s="19">
        <f ca="1">IF($A99-U$3&lt;2,0,OFFSET('FPSO1 Base'!U96,-'FPSO1 Otim'!U$3,0))</f>
        <v>704.89649999999995</v>
      </c>
      <c r="V99" s="19">
        <f ca="1">IF($A99-V$3&lt;2,0,OFFSET('FPSO1 Base'!V96,-'FPSO1 Otim'!V$3,0))</f>
        <v>1019.9024999999999</v>
      </c>
      <c r="W99" s="19">
        <f ca="1">IF($A99-W$3&lt;2,0,OFFSET('FPSO1 Base'!W96,-'FPSO1 Otim'!W$3,0))</f>
        <v>427.27500000000003</v>
      </c>
      <c r="X99" s="19">
        <f ca="1">IF($A99-X$3&lt;2,0,OFFSET('FPSO1 Base'!X96,-'FPSO1 Otim'!X$3,0))</f>
        <v>1288.2494999999999</v>
      </c>
      <c r="Y99" s="19">
        <f ca="1">IF($A99-Y$3&lt;2,0,OFFSET('FPSO1 Base'!Y96,-'FPSO1 Otim'!Y$3,0))</f>
        <v>576.81000000000006</v>
      </c>
      <c r="Z99" s="19">
        <f ca="1">IF($A99-Z$3&lt;2,0,OFFSET('FPSO1 Base'!Z96,-'FPSO1 Otim'!Z$3,0))</f>
        <v>1116.4784999999999</v>
      </c>
      <c r="AA99" s="20">
        <v>15000</v>
      </c>
      <c r="AB99" s="19">
        <f t="shared" ca="1" si="7"/>
        <v>13424.37285</v>
      </c>
      <c r="AC99" s="20">
        <f t="shared" ca="1" si="8"/>
        <v>1575.6271500000003</v>
      </c>
      <c r="AD99" s="19">
        <f t="shared" ca="1" si="9"/>
        <v>6204.5522869115757</v>
      </c>
    </row>
    <row r="100" spans="1:30" x14ac:dyDescent="0.25">
      <c r="A100" s="19">
        <v>96</v>
      </c>
      <c r="B100" s="31">
        <v>48519</v>
      </c>
      <c r="C100" s="19">
        <f ca="1">IF($A100-C$3&lt;2,0,OFFSET('FPSO1 Base'!C97,-'FPSO1 Otim'!C$3,0))</f>
        <v>1608.4109999999998</v>
      </c>
      <c r="D100" s="19">
        <f ca="1">IF($A100-D$3&lt;2,0,OFFSET('FPSO1 Base'!D97,-'FPSO1 Otim'!D$3,0))</f>
        <v>539.28749999999991</v>
      </c>
      <c r="E100" s="19">
        <f ca="1">IF($A100-E$3&lt;2,0,OFFSET('FPSO1 Base'!E97,-'FPSO1 Otim'!E$3,0))</f>
        <v>674.23050000000001</v>
      </c>
      <c r="F100" s="19">
        <f ca="1">IF($A100-F$3&lt;2,0,OFFSET('FPSO1 Base'!F97,-'FPSO1 Otim'!F$3,0))</f>
        <v>949.22550000000001</v>
      </c>
      <c r="G100" s="19">
        <f ca="1">IF($A100-G$3&lt;2,0,OFFSET('FPSO1 Base'!G97,-'FPSO1 Otim'!G$3,0))</f>
        <v>327.04199999999997</v>
      </c>
      <c r="H100" s="19">
        <f ca="1">IF($A100-H$3&lt;2,0,OFFSET('FPSO1 Base'!H97,-'FPSO1 Otim'!H$3,0))</f>
        <v>0</v>
      </c>
      <c r="I100" s="19">
        <f ca="1">IF($A100-I$3&lt;2,0,OFFSET('FPSO1 Base'!I97,-'FPSO1 Otim'!I$3,0))</f>
        <v>0</v>
      </c>
      <c r="J100" s="19">
        <f ca="1">IF($A100-J$3&lt;2,0,OFFSET('FPSO1 Base'!J97,-'FPSO1 Otim'!J$3,0))</f>
        <v>364.20000000000005</v>
      </c>
      <c r="K100" s="19">
        <f ca="1">IF($A100-K$3&lt;2,0,OFFSET('FPSO1 Base'!K97,-'FPSO1 Otim'!K$3,0))</f>
        <v>527.18999999999994</v>
      </c>
      <c r="L100" s="19">
        <f ca="1">IF($A100-L$3&lt;2,0,OFFSET('FPSO1 Base'!L97,-'FPSO1 Otim'!L$3,0))</f>
        <v>787.24649999999997</v>
      </c>
      <c r="M100" s="19">
        <f ca="1">IF($A100-M$3&lt;2,0,OFFSET('FPSO1 Base'!M97,-'FPSO1 Otim'!M$3,0))</f>
        <v>748.125</v>
      </c>
      <c r="N100" s="19">
        <f ca="1">IF($A100-N$3&lt;2,0,OFFSET('FPSO1 Base'!N97,-'FPSO1 Otim'!N$3,0))</f>
        <v>137.25</v>
      </c>
      <c r="O100" s="19">
        <f ca="1">IF($A100-O$3&lt;2,0,OFFSET('FPSO1 Base'!O97,-'FPSO1 Otim'!O$3,0))</f>
        <v>0</v>
      </c>
      <c r="P100" s="19">
        <f ca="1">IF($A100-P$3&lt;2,0,OFFSET('FPSO1 Base'!P97,-'FPSO1 Otim'!P$3,0))</f>
        <v>276.435</v>
      </c>
      <c r="Q100" s="19">
        <f ca="1">IF($A100-Q$3&lt;2,0,OFFSET('FPSO1 Base'!Q97,-'FPSO1 Otim'!Q$3,0))</f>
        <v>448.40250000000003</v>
      </c>
      <c r="R100" s="19">
        <f ca="1">IF($A100-R$3&lt;2,0,OFFSET('FPSO1 Base'!R97,-'FPSO1 Otim'!R$3,0))</f>
        <v>226.161</v>
      </c>
      <c r="S100" s="19">
        <f ca="1">IF($A100-S$3&lt;2,0,OFFSET('FPSO1 Base'!S97,-'FPSO1 Otim'!S$3,0))</f>
        <v>0</v>
      </c>
      <c r="T100" s="19">
        <f ca="1">IF($A100-T$3&lt;2,0,OFFSET('FPSO1 Base'!T97,-'FPSO1 Otim'!T$3,0))</f>
        <v>620.47050000000002</v>
      </c>
      <c r="U100" s="19">
        <f ca="1">IF($A100-U$3&lt;2,0,OFFSET('FPSO1 Base'!U97,-'FPSO1 Otim'!U$3,0))</f>
        <v>701.976</v>
      </c>
      <c r="V100" s="19">
        <f ca="1">IF($A100-V$3&lt;2,0,OFFSET('FPSO1 Base'!V97,-'FPSO1 Otim'!V$3,0))</f>
        <v>1015.7505000000001</v>
      </c>
      <c r="W100" s="19">
        <f ca="1">IF($A100-W$3&lt;2,0,OFFSET('FPSO1 Base'!W97,-'FPSO1 Otim'!W$3,0))</f>
        <v>424.72950000000003</v>
      </c>
      <c r="X100" s="19">
        <f ca="1">IF($A100-X$3&lt;2,0,OFFSET('FPSO1 Base'!X97,-'FPSO1 Otim'!X$3,0))</f>
        <v>1286.4914999999999</v>
      </c>
      <c r="Y100" s="19">
        <f ca="1">IF($A100-Y$3&lt;2,0,OFFSET('FPSO1 Base'!Y97,-'FPSO1 Otim'!Y$3,0))</f>
        <v>575.90699999999993</v>
      </c>
      <c r="Z100" s="19">
        <f ca="1">IF($A100-Z$3&lt;2,0,OFFSET('FPSO1 Base'!Z97,-'FPSO1 Otim'!Z$3,0))</f>
        <v>1093.7294999999999</v>
      </c>
      <c r="AA100" s="20">
        <v>15000</v>
      </c>
      <c r="AB100" s="19">
        <f t="shared" ca="1" si="7"/>
        <v>13332.260999999999</v>
      </c>
      <c r="AC100" s="20">
        <f t="shared" ca="1" si="8"/>
        <v>1667.7390000000014</v>
      </c>
      <c r="AD100" s="19">
        <f t="shared" ca="1" si="9"/>
        <v>6111.0540625294689</v>
      </c>
    </row>
    <row r="101" spans="1:30" x14ac:dyDescent="0.25">
      <c r="A101" s="19">
        <v>97</v>
      </c>
      <c r="B101" s="31">
        <v>48549</v>
      </c>
      <c r="C101" s="19">
        <f ca="1">IF($A101-C$3&lt;2,0,OFFSET('FPSO1 Base'!C98,-'FPSO1 Otim'!C$3,0))</f>
        <v>1604.346</v>
      </c>
      <c r="D101" s="19">
        <f ca="1">IF($A101-D$3&lt;2,0,OFFSET('FPSO1 Base'!D98,-'FPSO1 Otim'!D$3,0))</f>
        <v>519.66600000000005</v>
      </c>
      <c r="E101" s="19">
        <f ca="1">IF($A101-E$3&lt;2,0,OFFSET('FPSO1 Base'!E98,-'FPSO1 Otim'!E$3,0))</f>
        <v>672.33899999999994</v>
      </c>
      <c r="F101" s="19">
        <f ca="1">IF($A101-F$3&lt;2,0,OFFSET('FPSO1 Base'!F98,-'FPSO1 Otim'!F$3,0))</f>
        <v>944.45549999999992</v>
      </c>
      <c r="G101" s="19">
        <f ca="1">IF($A101-G$3&lt;2,0,OFFSET('FPSO1 Base'!G98,-'FPSO1 Otim'!G$3,0))</f>
        <v>323.988</v>
      </c>
      <c r="H101" s="19">
        <f ca="1">IF($A101-H$3&lt;2,0,OFFSET('FPSO1 Base'!H98,-'FPSO1 Otim'!H$3,0))</f>
        <v>0</v>
      </c>
      <c r="I101" s="19">
        <f ca="1">IF($A101-I$3&lt;2,0,OFFSET('FPSO1 Base'!I98,-'FPSO1 Otim'!I$3,0))</f>
        <v>0</v>
      </c>
      <c r="J101" s="19">
        <f ca="1">IF($A101-J$3&lt;2,0,OFFSET('FPSO1 Base'!J98,-'FPSO1 Otim'!J$3,0))</f>
        <v>365.322</v>
      </c>
      <c r="K101" s="19">
        <f ca="1">IF($A101-K$3&lt;2,0,OFFSET('FPSO1 Base'!K98,-'FPSO1 Otim'!K$3,0))</f>
        <v>525</v>
      </c>
      <c r="L101" s="19">
        <f ca="1">IF($A101-L$3&lt;2,0,OFFSET('FPSO1 Base'!L98,-'FPSO1 Otim'!L$3,0))</f>
        <v>779.25</v>
      </c>
      <c r="M101" s="19">
        <f ca="1">IF($A101-M$3&lt;2,0,OFFSET('FPSO1 Base'!M98,-'FPSO1 Otim'!M$3,0))</f>
        <v>744.60450000000003</v>
      </c>
      <c r="N101" s="19">
        <f ca="1">IF($A101-N$3&lt;2,0,OFFSET('FPSO1 Base'!N98,-'FPSO1 Otim'!N$3,0))</f>
        <v>135.67740000000001</v>
      </c>
      <c r="O101" s="19">
        <f ca="1">IF($A101-O$3&lt;2,0,OFFSET('FPSO1 Base'!O98,-'FPSO1 Otim'!O$3,0))</f>
        <v>0</v>
      </c>
      <c r="P101" s="19">
        <f ca="1">IF($A101-P$3&lt;2,0,OFFSET('FPSO1 Base'!P98,-'FPSO1 Otim'!P$3,0))</f>
        <v>274.57500000000005</v>
      </c>
      <c r="Q101" s="19">
        <f ca="1">IF($A101-Q$3&lt;2,0,OFFSET('FPSO1 Base'!Q98,-'FPSO1 Otim'!Q$3,0))</f>
        <v>447.98700000000002</v>
      </c>
      <c r="R101" s="19">
        <f ca="1">IF($A101-R$3&lt;2,0,OFFSET('FPSO1 Base'!R98,-'FPSO1 Otim'!R$3,0))</f>
        <v>223.75049999999999</v>
      </c>
      <c r="S101" s="19">
        <f ca="1">IF($A101-S$3&lt;2,0,OFFSET('FPSO1 Base'!S98,-'FPSO1 Otim'!S$3,0))</f>
        <v>569.40000000000009</v>
      </c>
      <c r="T101" s="19">
        <f ca="1">IF($A101-T$3&lt;2,0,OFFSET('FPSO1 Base'!T98,-'FPSO1 Otim'!T$3,0))</f>
        <v>618.71399999999994</v>
      </c>
      <c r="U101" s="19">
        <f ca="1">IF($A101-U$3&lt;2,0,OFFSET('FPSO1 Base'!U98,-'FPSO1 Otim'!U$3,0))</f>
        <v>698.77500000000009</v>
      </c>
      <c r="V101" s="19">
        <f ca="1">IF($A101-V$3&lt;2,0,OFFSET('FPSO1 Base'!V98,-'FPSO1 Otim'!V$3,0))</f>
        <v>1011.8715</v>
      </c>
      <c r="W101" s="19">
        <f ca="1">IF($A101-W$3&lt;2,0,OFFSET('FPSO1 Base'!W98,-'FPSO1 Otim'!W$3,0))</f>
        <v>422.214</v>
      </c>
      <c r="X101" s="19">
        <f ca="1">IF($A101-X$3&lt;2,0,OFFSET('FPSO1 Base'!X98,-'FPSO1 Otim'!X$3,0))</f>
        <v>1284.4994999999999</v>
      </c>
      <c r="Y101" s="19">
        <f ca="1">IF($A101-Y$3&lt;2,0,OFFSET('FPSO1 Base'!Y98,-'FPSO1 Otim'!Y$3,0))</f>
        <v>575.04449999999997</v>
      </c>
      <c r="Z101" s="19">
        <f ca="1">IF($A101-Z$3&lt;2,0,OFFSET('FPSO1 Base'!Z98,-'FPSO1 Otim'!Z$3,0))</f>
        <v>1071.4725000000001</v>
      </c>
      <c r="AA101" s="20">
        <v>15000</v>
      </c>
      <c r="AB101" s="19">
        <f t="shared" ca="1" si="7"/>
        <v>13812.951899999998</v>
      </c>
      <c r="AC101" s="20">
        <f t="shared" ca="1" si="8"/>
        <v>1187.0481000000018</v>
      </c>
      <c r="AD101" s="19">
        <f t="shared" ca="1" si="9"/>
        <v>6279.0608812083328</v>
      </c>
    </row>
    <row r="102" spans="1:30" x14ac:dyDescent="0.25">
      <c r="A102" s="19">
        <v>98</v>
      </c>
      <c r="B102" s="31">
        <v>48580</v>
      </c>
      <c r="C102" s="19">
        <f ca="1">IF($A102-C$3&lt;2,0,OFFSET('FPSO1 Base'!C99,-'FPSO1 Otim'!C$3,0))</f>
        <v>1594.3530000000001</v>
      </c>
      <c r="D102" s="19">
        <f ca="1">IF($A102-D$3&lt;2,0,OFFSET('FPSO1 Base'!D99,-'FPSO1 Otim'!D$3,0))</f>
        <v>503.84700000000004</v>
      </c>
      <c r="E102" s="19">
        <f ca="1">IF($A102-E$3&lt;2,0,OFFSET('FPSO1 Base'!E99,-'FPSO1 Otim'!E$3,0))</f>
        <v>670.09950000000003</v>
      </c>
      <c r="F102" s="19">
        <f ca="1">IF($A102-F$3&lt;2,0,OFFSET('FPSO1 Base'!F99,-'FPSO1 Otim'!F$3,0))</f>
        <v>939.28800000000001</v>
      </c>
      <c r="G102" s="19">
        <f ca="1">IF($A102-G$3&lt;2,0,OFFSET('FPSO1 Base'!G99,-'FPSO1 Otim'!G$3,0))</f>
        <v>321.92700000000002</v>
      </c>
      <c r="H102" s="19">
        <f ca="1">IF($A102-H$3&lt;2,0,OFFSET('FPSO1 Base'!H99,-'FPSO1 Otim'!H$3,0))</f>
        <v>0</v>
      </c>
      <c r="I102" s="19">
        <f ca="1">IF($A102-I$3&lt;2,0,OFFSET('FPSO1 Base'!I99,-'FPSO1 Otim'!I$3,0))</f>
        <v>0</v>
      </c>
      <c r="J102" s="19">
        <f ca="1">IF($A102-J$3&lt;2,0,OFFSET('FPSO1 Base'!J99,-'FPSO1 Otim'!J$3,0))</f>
        <v>366.26549999999997</v>
      </c>
      <c r="K102" s="19">
        <f ca="1">IF($A102-K$3&lt;2,0,OFFSET('FPSO1 Base'!K99,-'FPSO1 Otim'!K$3,0))</f>
        <v>522.9855</v>
      </c>
      <c r="L102" s="19">
        <f ca="1">IF($A102-L$3&lt;2,0,OFFSET('FPSO1 Base'!L99,-'FPSO1 Otim'!L$3,0))</f>
        <v>773.14650000000006</v>
      </c>
      <c r="M102" s="19">
        <f ca="1">IF($A102-M$3&lt;2,0,OFFSET('FPSO1 Base'!M99,-'FPSO1 Otim'!M$3,0))</f>
        <v>740.80050000000006</v>
      </c>
      <c r="N102" s="19">
        <f ca="1">IF($A102-N$3&lt;2,0,OFFSET('FPSO1 Base'!N99,-'FPSO1 Otim'!N$3,0))</f>
        <v>133.92495</v>
      </c>
      <c r="O102" s="19">
        <f ca="1">IF($A102-O$3&lt;2,0,OFFSET('FPSO1 Base'!O99,-'FPSO1 Otim'!O$3,0))</f>
        <v>0</v>
      </c>
      <c r="P102" s="19">
        <f ca="1">IF($A102-P$3&lt;2,0,OFFSET('FPSO1 Base'!P99,-'FPSO1 Otim'!P$3,0))</f>
        <v>272.85449999999997</v>
      </c>
      <c r="Q102" s="19">
        <f ca="1">IF($A102-Q$3&lt;2,0,OFFSET('FPSO1 Base'!Q99,-'FPSO1 Otim'!Q$3,0))</f>
        <v>447.66600000000005</v>
      </c>
      <c r="R102" s="19">
        <f ca="1">IF($A102-R$3&lt;2,0,OFFSET('FPSO1 Base'!R99,-'FPSO1 Otim'!R$3,0))</f>
        <v>221.541</v>
      </c>
      <c r="S102" s="19">
        <f ca="1">IF($A102-S$3&lt;2,0,OFFSET('FPSO1 Base'!S99,-'FPSO1 Otim'!S$3,0))</f>
        <v>1710.09</v>
      </c>
      <c r="T102" s="19">
        <f ca="1">IF($A102-T$3&lt;2,0,OFFSET('FPSO1 Base'!T99,-'FPSO1 Otim'!T$3,0))</f>
        <v>616.71299999999997</v>
      </c>
      <c r="U102" s="19">
        <f ca="1">IF($A102-U$3&lt;2,0,OFFSET('FPSO1 Base'!U99,-'FPSO1 Otim'!U$3,0))</f>
        <v>695.87850000000003</v>
      </c>
      <c r="V102" s="19">
        <f ca="1">IF($A102-V$3&lt;2,0,OFFSET('FPSO1 Base'!V99,-'FPSO1 Otim'!V$3,0))</f>
        <v>1007.5500000000001</v>
      </c>
      <c r="W102" s="19">
        <f ca="1">IF($A102-W$3&lt;2,0,OFFSET('FPSO1 Base'!W99,-'FPSO1 Otim'!W$3,0))</f>
        <v>419.56200000000001</v>
      </c>
      <c r="X102" s="19">
        <f ca="1">IF($A102-X$3&lt;2,0,OFFSET('FPSO1 Base'!X99,-'FPSO1 Otim'!X$3,0))</f>
        <v>1274.5409999999999</v>
      </c>
      <c r="Y102" s="19">
        <f ca="1">IF($A102-Y$3&lt;2,0,OFFSET('FPSO1 Base'!Y99,-'FPSO1 Otim'!Y$3,0))</f>
        <v>574.16700000000003</v>
      </c>
      <c r="Z102" s="19">
        <f ca="1">IF($A102-Z$3&lt;2,0,OFFSET('FPSO1 Base'!Z99,-'FPSO1 Otim'!Z$3,0))</f>
        <v>1052.0595000000001</v>
      </c>
      <c r="AA102" s="20">
        <v>15000</v>
      </c>
      <c r="AB102" s="19">
        <f t="shared" ca="1" si="7"/>
        <v>14859.259949999998</v>
      </c>
      <c r="AC102" s="20">
        <f t="shared" ca="1" si="8"/>
        <v>140.74005000000216</v>
      </c>
      <c r="AD102" s="19">
        <f t="shared" ca="1" si="9"/>
        <v>6698.8653838230612</v>
      </c>
    </row>
    <row r="103" spans="1:30" x14ac:dyDescent="0.25">
      <c r="A103" s="19">
        <v>99</v>
      </c>
      <c r="B103" s="31">
        <v>48611</v>
      </c>
      <c r="C103" s="19">
        <f ca="1">IF($A103-C$3&lt;2,0,OFFSET('FPSO1 Base'!C100,-'FPSO1 Otim'!C$3,0))</f>
        <v>1591.1609999999998</v>
      </c>
      <c r="D103" s="19">
        <f ca="1">IF($A103-D$3&lt;2,0,OFFSET('FPSO1 Base'!D100,-'FPSO1 Otim'!D$3,0))</f>
        <v>486.82800000000003</v>
      </c>
      <c r="E103" s="19">
        <f ca="1">IF($A103-E$3&lt;2,0,OFFSET('FPSO1 Base'!E100,-'FPSO1 Otim'!E$3,0))</f>
        <v>668.03250000000003</v>
      </c>
      <c r="F103" s="19">
        <f ca="1">IF($A103-F$3&lt;2,0,OFFSET('FPSO1 Base'!F100,-'FPSO1 Otim'!F$3,0))</f>
        <v>934.548</v>
      </c>
      <c r="G103" s="19">
        <f ca="1">IF($A103-G$3&lt;2,0,OFFSET('FPSO1 Base'!G100,-'FPSO1 Otim'!G$3,0))</f>
        <v>318.41699999999997</v>
      </c>
      <c r="H103" s="19">
        <f ca="1">IF($A103-H$3&lt;2,0,OFFSET('FPSO1 Base'!H100,-'FPSO1 Otim'!H$3,0))</f>
        <v>0</v>
      </c>
      <c r="I103" s="19">
        <f ca="1">IF($A103-I$3&lt;2,0,OFFSET('FPSO1 Base'!I100,-'FPSO1 Otim'!I$3,0))</f>
        <v>0</v>
      </c>
      <c r="J103" s="19">
        <f ca="1">IF($A103-J$3&lt;2,0,OFFSET('FPSO1 Base'!J100,-'FPSO1 Otim'!J$3,0))</f>
        <v>367.07550000000003</v>
      </c>
      <c r="K103" s="19">
        <f ca="1">IF($A103-K$3&lt;2,0,OFFSET('FPSO1 Base'!K100,-'FPSO1 Otim'!K$3,0))</f>
        <v>520.7940000000001</v>
      </c>
      <c r="L103" s="19">
        <f ca="1">IF($A103-L$3&lt;2,0,OFFSET('FPSO1 Base'!L100,-'FPSO1 Otim'!L$3,0))</f>
        <v>766.19399999999996</v>
      </c>
      <c r="M103" s="19">
        <f ca="1">IF($A103-M$3&lt;2,0,OFFSET('FPSO1 Base'!M100,-'FPSO1 Otim'!M$3,0))</f>
        <v>737.298</v>
      </c>
      <c r="N103" s="19">
        <f ca="1">IF($A103-N$3&lt;2,0,OFFSET('FPSO1 Base'!N100,-'FPSO1 Otim'!N$3,0))</f>
        <v>131.0565</v>
      </c>
      <c r="O103" s="19">
        <f ca="1">IF($A103-O$3&lt;2,0,OFFSET('FPSO1 Base'!O100,-'FPSO1 Otim'!O$3,0))</f>
        <v>0</v>
      </c>
      <c r="P103" s="19">
        <f ca="1">IF($A103-P$3&lt;2,0,OFFSET('FPSO1 Base'!P100,-'FPSO1 Otim'!P$3,0))</f>
        <v>271.137</v>
      </c>
      <c r="Q103" s="19">
        <f ca="1">IF($A103-Q$3&lt;2,0,OFFSET('FPSO1 Base'!Q100,-'FPSO1 Otim'!Q$3,0))</f>
        <v>447.23700000000002</v>
      </c>
      <c r="R103" s="19">
        <f ca="1">IF($A103-R$3&lt;2,0,OFFSET('FPSO1 Base'!R100,-'FPSO1 Otim'!R$3,0))</f>
        <v>219.1995</v>
      </c>
      <c r="S103" s="19">
        <f ca="1">IF($A103-S$3&lt;2,0,OFFSET('FPSO1 Base'!S100,-'FPSO1 Otim'!S$3,0))</f>
        <v>1159.1624999999999</v>
      </c>
      <c r="T103" s="19">
        <f ca="1">IF($A103-T$3&lt;2,0,OFFSET('FPSO1 Base'!T100,-'FPSO1 Otim'!T$3,0))</f>
        <v>614.976</v>
      </c>
      <c r="U103" s="19">
        <f ca="1">IF($A103-U$3&lt;2,0,OFFSET('FPSO1 Base'!U100,-'FPSO1 Otim'!U$3,0))</f>
        <v>692.77500000000009</v>
      </c>
      <c r="V103" s="19">
        <f ca="1">IF($A103-V$3&lt;2,0,OFFSET('FPSO1 Base'!V100,-'FPSO1 Otim'!V$3,0))</f>
        <v>1003.5</v>
      </c>
      <c r="W103" s="19">
        <f ca="1">IF($A103-W$3&lt;2,0,OFFSET('FPSO1 Base'!W100,-'FPSO1 Otim'!W$3,0))</f>
        <v>417.21749999999997</v>
      </c>
      <c r="X103" s="19">
        <f ca="1">IF($A103-X$3&lt;2,0,OFFSET('FPSO1 Base'!X100,-'FPSO1 Otim'!X$3,0))</f>
        <v>1271.9024999999999</v>
      </c>
      <c r="Y103" s="19">
        <f ca="1">IF($A103-Y$3&lt;2,0,OFFSET('FPSO1 Base'!Y100,-'FPSO1 Otim'!Y$3,0))</f>
        <v>573.25049999999999</v>
      </c>
      <c r="Z103" s="19">
        <f ca="1">IF($A103-Z$3&lt;2,0,OFFSET('FPSO1 Base'!Z100,-'FPSO1 Otim'!Z$3,0))</f>
        <v>1031.9594999999999</v>
      </c>
      <c r="AA103" s="20">
        <v>15000</v>
      </c>
      <c r="AB103" s="19">
        <f t="shared" ca="1" si="7"/>
        <v>14223.7215</v>
      </c>
      <c r="AC103" s="20">
        <f t="shared" ca="1" si="8"/>
        <v>776.27850000000035</v>
      </c>
      <c r="AD103" s="19">
        <f t="shared" ca="1" si="9"/>
        <v>6359.3567097497762</v>
      </c>
    </row>
    <row r="104" spans="1:30" x14ac:dyDescent="0.25">
      <c r="A104" s="19">
        <v>100</v>
      </c>
      <c r="B104" s="31">
        <v>48639</v>
      </c>
      <c r="C104" s="19">
        <f ca="1">IF($A104-C$3&lt;2,0,OFFSET('FPSO1 Base'!C101,-'FPSO1 Otim'!C$3,0))</f>
        <v>1587.5954999999999</v>
      </c>
      <c r="D104" s="19">
        <f ca="1">IF($A104-D$3&lt;2,0,OFFSET('FPSO1 Base'!D101,-'FPSO1 Otim'!D$3,0))</f>
        <v>472.84950000000003</v>
      </c>
      <c r="E104" s="19">
        <f ca="1">IF($A104-E$3&lt;2,0,OFFSET('FPSO1 Base'!E101,-'FPSO1 Otim'!E$3,0))</f>
        <v>665.77500000000009</v>
      </c>
      <c r="F104" s="19">
        <f ca="1">IF($A104-F$3&lt;2,0,OFFSET('FPSO1 Base'!F101,-'FPSO1 Otim'!F$3,0))</f>
        <v>930.072</v>
      </c>
      <c r="G104" s="19">
        <f ca="1">IF($A104-G$3&lt;2,0,OFFSET('FPSO1 Base'!G101,-'FPSO1 Otim'!G$3,0))</f>
        <v>315.99149999999997</v>
      </c>
      <c r="H104" s="19">
        <f ca="1">IF($A104-H$3&lt;2,0,OFFSET('FPSO1 Base'!H101,-'FPSO1 Otim'!H$3,0))</f>
        <v>0</v>
      </c>
      <c r="I104" s="19">
        <f ca="1">IF($A104-I$3&lt;2,0,OFFSET('FPSO1 Base'!I101,-'FPSO1 Otim'!I$3,0))</f>
        <v>0</v>
      </c>
      <c r="J104" s="19">
        <f ca="1">IF($A104-J$3&lt;2,0,OFFSET('FPSO1 Base'!J101,-'FPSO1 Otim'!J$3,0))</f>
        <v>367.66949999999997</v>
      </c>
      <c r="K104" s="19">
        <f ca="1">IF($A104-K$3&lt;2,0,OFFSET('FPSO1 Base'!K101,-'FPSO1 Otim'!K$3,0))</f>
        <v>518.7405</v>
      </c>
      <c r="L104" s="19">
        <f ca="1">IF($A104-L$3&lt;2,0,OFFSET('FPSO1 Base'!L101,-'FPSO1 Otim'!L$3,0))</f>
        <v>759.81600000000003</v>
      </c>
      <c r="M104" s="19">
        <f ca="1">IF($A104-M$3&lt;2,0,OFFSET('FPSO1 Base'!M101,-'FPSO1 Otim'!M$3,0))</f>
        <v>733.86300000000006</v>
      </c>
      <c r="N104" s="19">
        <f ca="1">IF($A104-N$3&lt;2,0,OFFSET('FPSO1 Base'!N101,-'FPSO1 Otim'!N$3,0))</f>
        <v>129.43545</v>
      </c>
      <c r="O104" s="19">
        <f ca="1">IF($A104-O$3&lt;2,0,OFFSET('FPSO1 Base'!O101,-'FPSO1 Otim'!O$3,0))</f>
        <v>0</v>
      </c>
      <c r="P104" s="19">
        <f ca="1">IF($A104-P$3&lt;2,0,OFFSET('FPSO1 Base'!P101,-'FPSO1 Otim'!P$3,0))</f>
        <v>269.3535</v>
      </c>
      <c r="Q104" s="19">
        <f ca="1">IF($A104-Q$3&lt;2,0,OFFSET('FPSO1 Base'!Q101,-'FPSO1 Otim'!Q$3,0))</f>
        <v>446.86649999999997</v>
      </c>
      <c r="R104" s="19">
        <f ca="1">IF($A104-R$3&lt;2,0,OFFSET('FPSO1 Base'!R101,-'FPSO1 Otim'!R$3,0))</f>
        <v>217.065</v>
      </c>
      <c r="S104" s="19">
        <f ca="1">IF($A104-S$3&lt;2,0,OFFSET('FPSO1 Base'!S101,-'FPSO1 Otim'!S$3,0))</f>
        <v>1029.8220000000001</v>
      </c>
      <c r="T104" s="19">
        <f ca="1">IF($A104-T$3&lt;2,0,OFFSET('FPSO1 Base'!T101,-'FPSO1 Otim'!T$3,0))</f>
        <v>613.3125</v>
      </c>
      <c r="U104" s="19">
        <f ca="1">IF($A104-U$3&lt;2,0,OFFSET('FPSO1 Base'!U101,-'FPSO1 Otim'!U$3,0))</f>
        <v>689.90250000000003</v>
      </c>
      <c r="V104" s="19">
        <f ca="1">IF($A104-V$3&lt;2,0,OFFSET('FPSO1 Base'!V101,-'FPSO1 Otim'!V$3,0))</f>
        <v>999.53250000000003</v>
      </c>
      <c r="W104" s="19">
        <f ca="1">IF($A104-W$3&lt;2,0,OFFSET('FPSO1 Base'!W101,-'FPSO1 Otim'!W$3,0))</f>
        <v>414.71250000000003</v>
      </c>
      <c r="X104" s="19">
        <f ca="1">IF($A104-X$3&lt;2,0,OFFSET('FPSO1 Base'!X101,-'FPSO1 Otim'!X$3,0))</f>
        <v>1270.3664999999999</v>
      </c>
      <c r="Y104" s="19">
        <f ca="1">IF($A104-Y$3&lt;2,0,OFFSET('FPSO1 Base'!Y101,-'FPSO1 Otim'!Y$3,0))</f>
        <v>572.39549999999997</v>
      </c>
      <c r="Z104" s="19">
        <f ca="1">IF($A104-Z$3&lt;2,0,OFFSET('FPSO1 Base'!Z101,-'FPSO1 Otim'!Z$3,0))</f>
        <v>1006.1189999999999</v>
      </c>
      <c r="AA104" s="20">
        <v>15000</v>
      </c>
      <c r="AB104" s="19">
        <f t="shared" ca="1" si="7"/>
        <v>14011.255949999999</v>
      </c>
      <c r="AC104" s="20">
        <f t="shared" ca="1" si="8"/>
        <v>988.74405000000115</v>
      </c>
      <c r="AD104" s="19">
        <f t="shared" ca="1" si="9"/>
        <v>6212.5927890334206</v>
      </c>
    </row>
    <row r="105" spans="1:30" x14ac:dyDescent="0.25">
      <c r="A105" s="19">
        <v>101</v>
      </c>
      <c r="B105" s="31">
        <v>48670</v>
      </c>
      <c r="C105" s="19">
        <f ca="1">IF($A105-C$3&lt;2,0,OFFSET('FPSO1 Base'!C102,-'FPSO1 Otim'!C$3,0))</f>
        <v>1584.192</v>
      </c>
      <c r="D105" s="19">
        <f ca="1">IF($A105-D$3&lt;2,0,OFFSET('FPSO1 Base'!D102,-'FPSO1 Otim'!D$3,0))</f>
        <v>458.31899999999996</v>
      </c>
      <c r="E105" s="19">
        <f ca="1">IF($A105-E$3&lt;2,0,OFFSET('FPSO1 Base'!E102,-'FPSO1 Otim'!E$3,0))</f>
        <v>663.66600000000005</v>
      </c>
      <c r="F105" s="19">
        <f ca="1">IF($A105-F$3&lt;2,0,OFFSET('FPSO1 Base'!F102,-'FPSO1 Otim'!F$3,0))</f>
        <v>924.81749999999988</v>
      </c>
      <c r="G105" s="19">
        <f ca="1">IF($A105-G$3&lt;2,0,OFFSET('FPSO1 Base'!G102,-'FPSO1 Otim'!G$3,0))</f>
        <v>313.09800000000001</v>
      </c>
      <c r="H105" s="19">
        <f ca="1">IF($A105-H$3&lt;2,0,OFFSET('FPSO1 Base'!H102,-'FPSO1 Otim'!H$3,0))</f>
        <v>0</v>
      </c>
      <c r="I105" s="19">
        <f ca="1">IF($A105-I$3&lt;2,0,OFFSET('FPSO1 Base'!I102,-'FPSO1 Otim'!I$3,0))</f>
        <v>0</v>
      </c>
      <c r="J105" s="19">
        <f ca="1">IF($A105-J$3&lt;2,0,OFFSET('FPSO1 Base'!J102,-'FPSO1 Otim'!J$3,0))</f>
        <v>367.875</v>
      </c>
      <c r="K105" s="19">
        <f ca="1">IF($A105-K$3&lt;2,0,OFFSET('FPSO1 Base'!K102,-'FPSO1 Otim'!K$3,0))</f>
        <v>516.74399999999991</v>
      </c>
      <c r="L105" s="19">
        <f ca="1">IF($A105-L$3&lt;2,0,OFFSET('FPSO1 Base'!L102,-'FPSO1 Otim'!L$3,0))</f>
        <v>753.06299999999999</v>
      </c>
      <c r="M105" s="19">
        <f ca="1">IF($A105-M$3&lt;2,0,OFFSET('FPSO1 Base'!M102,-'FPSO1 Otim'!M$3,0))</f>
        <v>729.99599999999998</v>
      </c>
      <c r="N105" s="19">
        <f ca="1">IF($A105-N$3&lt;2,0,OFFSET('FPSO1 Base'!N102,-'FPSO1 Otim'!N$3,0))</f>
        <v>127.7946</v>
      </c>
      <c r="O105" s="19">
        <f ca="1">IF($A105-O$3&lt;2,0,OFFSET('FPSO1 Base'!O102,-'FPSO1 Otim'!O$3,0))</f>
        <v>0</v>
      </c>
      <c r="P105" s="19">
        <f ca="1">IF($A105-P$3&lt;2,0,OFFSET('FPSO1 Base'!P102,-'FPSO1 Otim'!P$3,0))</f>
        <v>296.80650000000003</v>
      </c>
      <c r="Q105" s="19">
        <f ca="1">IF($A105-Q$3&lt;2,0,OFFSET('FPSO1 Base'!Q102,-'FPSO1 Otim'!Q$3,0))</f>
        <v>446.49149999999997</v>
      </c>
      <c r="R105" s="19">
        <f ca="1">IF($A105-R$3&lt;2,0,OFFSET('FPSO1 Base'!R102,-'FPSO1 Otim'!R$3,0))</f>
        <v>214.887</v>
      </c>
      <c r="S105" s="19">
        <f ca="1">IF($A105-S$3&lt;2,0,OFFSET('FPSO1 Base'!S102,-'FPSO1 Otim'!S$3,0))</f>
        <v>947.91599999999994</v>
      </c>
      <c r="T105" s="19">
        <f ca="1">IF($A105-T$3&lt;2,0,OFFSET('FPSO1 Base'!T102,-'FPSO1 Otim'!T$3,0))</f>
        <v>611.85450000000003</v>
      </c>
      <c r="U105" s="19">
        <f ca="1">IF($A105-U$3&lt;2,0,OFFSET('FPSO1 Base'!U102,-'FPSO1 Otim'!U$3,0))</f>
        <v>687.09749999999997</v>
      </c>
      <c r="V105" s="19">
        <f ca="1">IF($A105-V$3&lt;2,0,OFFSET('FPSO1 Base'!V102,-'FPSO1 Otim'!V$3,0))</f>
        <v>994.7684999999999</v>
      </c>
      <c r="W105" s="19">
        <f ca="1">IF($A105-W$3&lt;2,0,OFFSET('FPSO1 Base'!W102,-'FPSO1 Otim'!W$3,0))</f>
        <v>412.40250000000003</v>
      </c>
      <c r="X105" s="19">
        <f ca="1">IF($A105-X$3&lt;2,0,OFFSET('FPSO1 Base'!X102,-'FPSO1 Otim'!X$3,0))</f>
        <v>1269.1215</v>
      </c>
      <c r="Y105" s="19">
        <f ca="1">IF($A105-Y$3&lt;2,0,OFFSET('FPSO1 Base'!Y102,-'FPSO1 Otim'!Y$3,0))</f>
        <v>571.46849999999995</v>
      </c>
      <c r="Z105" s="19">
        <f ca="1">IF($A105-Z$3&lt;2,0,OFFSET('FPSO1 Base'!Z102,-'FPSO1 Otim'!Z$3,0))</f>
        <v>989.19299999999998</v>
      </c>
      <c r="AA105" s="20">
        <v>15000</v>
      </c>
      <c r="AB105" s="19">
        <f t="shared" ca="1" si="7"/>
        <v>13881.572099999998</v>
      </c>
      <c r="AC105" s="20">
        <f t="shared" ca="1" si="8"/>
        <v>1118.4279000000024</v>
      </c>
      <c r="AD105" s="19">
        <f t="shared" ca="1" si="9"/>
        <v>6104.2224320828163</v>
      </c>
    </row>
    <row r="106" spans="1:30" x14ac:dyDescent="0.25">
      <c r="A106" s="19">
        <v>102</v>
      </c>
      <c r="B106" s="31">
        <v>48700</v>
      </c>
      <c r="C106" s="19">
        <f ca="1">IF($A106-C$3&lt;2,0,OFFSET('FPSO1 Base'!C103,-'FPSO1 Otim'!C$3,0))</f>
        <v>1580.7314999999999</v>
      </c>
      <c r="D106" s="19">
        <f ca="1">IF($A106-D$3&lt;2,0,OFFSET('FPSO1 Base'!D103,-'FPSO1 Otim'!D$3,0))</f>
        <v>445.899</v>
      </c>
      <c r="E106" s="19">
        <f ca="1">IF($A106-E$3&lt;2,0,OFFSET('FPSO1 Base'!E103,-'FPSO1 Otim'!E$3,0))</f>
        <v>661.56000000000006</v>
      </c>
      <c r="F106" s="19">
        <f ca="1">IF($A106-F$3&lt;2,0,OFFSET('FPSO1 Base'!F103,-'FPSO1 Otim'!F$3,0))</f>
        <v>920.625</v>
      </c>
      <c r="G106" s="19">
        <f ca="1">IF($A106-G$3&lt;2,0,OFFSET('FPSO1 Base'!G103,-'FPSO1 Otim'!G$3,0))</f>
        <v>310.16250000000002</v>
      </c>
      <c r="H106" s="19">
        <f ca="1">IF($A106-H$3&lt;2,0,OFFSET('FPSO1 Base'!H103,-'FPSO1 Otim'!H$3,0))</f>
        <v>901.48200000000008</v>
      </c>
      <c r="I106" s="19">
        <f ca="1">IF($A106-I$3&lt;2,0,OFFSET('FPSO1 Base'!I103,-'FPSO1 Otim'!I$3,0))</f>
        <v>0</v>
      </c>
      <c r="J106" s="19">
        <f ca="1">IF($A106-J$3&lt;2,0,OFFSET('FPSO1 Base'!J103,-'FPSO1 Otim'!J$3,0))</f>
        <v>368.41949999999997</v>
      </c>
      <c r="K106" s="19">
        <f ca="1">IF($A106-K$3&lt;2,0,OFFSET('FPSO1 Base'!K103,-'FPSO1 Otim'!K$3,0))</f>
        <v>514.53899999999999</v>
      </c>
      <c r="L106" s="19">
        <f ca="1">IF($A106-L$3&lt;2,0,OFFSET('FPSO1 Base'!L103,-'FPSO1 Otim'!L$3,0))</f>
        <v>747.048</v>
      </c>
      <c r="M106" s="19">
        <f ca="1">IF($A106-M$3&lt;2,0,OFFSET('FPSO1 Base'!M103,-'FPSO1 Otim'!M$3,0))</f>
        <v>726.71399999999994</v>
      </c>
      <c r="N106" s="19">
        <f ca="1">IF($A106-N$3&lt;2,0,OFFSET('FPSO1 Base'!N103,-'FPSO1 Otim'!N$3,0))</f>
        <v>126.48389999999999</v>
      </c>
      <c r="O106" s="19">
        <f ca="1">IF($A106-O$3&lt;2,0,OFFSET('FPSO1 Base'!O103,-'FPSO1 Otim'!O$3,0))</f>
        <v>0</v>
      </c>
      <c r="P106" s="19">
        <f ca="1">IF($A106-P$3&lt;2,0,OFFSET('FPSO1 Base'!P103,-'FPSO1 Otim'!P$3,0))</f>
        <v>302.35050000000001</v>
      </c>
      <c r="Q106" s="19">
        <f ca="1">IF($A106-Q$3&lt;2,0,OFFSET('FPSO1 Base'!Q103,-'FPSO1 Otim'!Q$3,0))</f>
        <v>446.08799999999997</v>
      </c>
      <c r="R106" s="19">
        <f ca="1">IF($A106-R$3&lt;2,0,OFFSET('FPSO1 Base'!R103,-'FPSO1 Otim'!R$3,0))</f>
        <v>212.59950000000001</v>
      </c>
      <c r="S106" s="19">
        <f ca="1">IF($A106-S$3&lt;2,0,OFFSET('FPSO1 Base'!S103,-'FPSO1 Otim'!S$3,0))</f>
        <v>884.1869999999999</v>
      </c>
      <c r="T106" s="19">
        <f ca="1">IF($A106-T$3&lt;2,0,OFFSET('FPSO1 Base'!T103,-'FPSO1 Otim'!T$3,0))</f>
        <v>610.46399999999994</v>
      </c>
      <c r="U106" s="19">
        <f ca="1">IF($A106-U$3&lt;2,0,OFFSET('FPSO1 Base'!U103,-'FPSO1 Otim'!U$3,0))</f>
        <v>684.12450000000001</v>
      </c>
      <c r="V106" s="19">
        <f ca="1">IF($A106-V$3&lt;2,0,OFFSET('FPSO1 Base'!V103,-'FPSO1 Otim'!V$3,0))</f>
        <v>990.91950000000008</v>
      </c>
      <c r="W106" s="19">
        <f ca="1">IF($A106-W$3&lt;2,0,OFFSET('FPSO1 Base'!W103,-'FPSO1 Otim'!W$3,0))</f>
        <v>410.25</v>
      </c>
      <c r="X106" s="19">
        <f ca="1">IF($A106-X$3&lt;2,0,OFFSET('FPSO1 Base'!X103,-'FPSO1 Otim'!X$3,0))</f>
        <v>1267.6244999999999</v>
      </c>
      <c r="Y106" s="19">
        <f ca="1">IF($A106-Y$3&lt;2,0,OFFSET('FPSO1 Base'!Y103,-'FPSO1 Otim'!Y$3,0))</f>
        <v>567.6105</v>
      </c>
      <c r="Z106" s="19">
        <f ca="1">IF($A106-Z$3&lt;2,0,OFFSET('FPSO1 Base'!Z103,-'FPSO1 Otim'!Z$3,0))</f>
        <v>971.3130000000001</v>
      </c>
      <c r="AA106" s="20">
        <v>15000</v>
      </c>
      <c r="AB106" s="19">
        <f t="shared" ca="1" si="7"/>
        <v>14651.195400000001</v>
      </c>
      <c r="AC106" s="20">
        <f t="shared" ca="1" si="8"/>
        <v>348.80459999999948</v>
      </c>
      <c r="AD106" s="19">
        <f t="shared" ca="1" si="9"/>
        <v>6389.4081826993743</v>
      </c>
    </row>
    <row r="107" spans="1:30" x14ac:dyDescent="0.25">
      <c r="A107" s="19">
        <v>103</v>
      </c>
      <c r="B107" s="31">
        <v>48731</v>
      </c>
      <c r="C107" s="19">
        <f ca="1">IF($A107-C$3&lt;2,0,OFFSET('FPSO1 Base'!C104,-'FPSO1 Otim'!C$3,0))</f>
        <v>1577.442</v>
      </c>
      <c r="D107" s="19">
        <f ca="1">IF($A107-D$3&lt;2,0,OFFSET('FPSO1 Base'!D104,-'FPSO1 Otim'!D$3,0))</f>
        <v>432.51900000000001</v>
      </c>
      <c r="E107" s="19">
        <f ca="1">IF($A107-E$3&lt;2,0,OFFSET('FPSO1 Base'!E104,-'FPSO1 Otim'!E$3,0))</f>
        <v>659.36850000000004</v>
      </c>
      <c r="F107" s="19">
        <f ca="1">IF($A107-F$3&lt;2,0,OFFSET('FPSO1 Base'!F104,-'FPSO1 Otim'!F$3,0))</f>
        <v>915.76200000000006</v>
      </c>
      <c r="G107" s="19">
        <f ca="1">IF($A107-G$3&lt;2,0,OFFSET('FPSO1 Base'!G104,-'FPSO1 Otim'!G$3,0))</f>
        <v>307.59899999999999</v>
      </c>
      <c r="H107" s="19">
        <f ca="1">IF($A107-H$3&lt;2,0,OFFSET('FPSO1 Base'!H104,-'FPSO1 Otim'!H$3,0))</f>
        <v>882.16499999999996</v>
      </c>
      <c r="I107" s="19">
        <f ca="1">IF($A107-I$3&lt;2,0,OFFSET('FPSO1 Base'!I104,-'FPSO1 Otim'!I$3,0))</f>
        <v>0</v>
      </c>
      <c r="J107" s="19">
        <f ca="1">IF($A107-J$3&lt;2,0,OFFSET('FPSO1 Base'!J104,-'FPSO1 Otim'!J$3,0))</f>
        <v>368.685</v>
      </c>
      <c r="K107" s="19">
        <f ca="1">IF($A107-K$3&lt;2,0,OFFSET('FPSO1 Base'!K104,-'FPSO1 Otim'!K$3,0))</f>
        <v>512.61899999999991</v>
      </c>
      <c r="L107" s="19">
        <f ca="1">IF($A107-L$3&lt;2,0,OFFSET('FPSO1 Base'!L104,-'FPSO1 Otim'!L$3,0))</f>
        <v>741.09749999999997</v>
      </c>
      <c r="M107" s="19">
        <f ca="1">IF($A107-M$3&lt;2,0,OFFSET('FPSO1 Base'!M104,-'FPSO1 Otim'!M$3,0))</f>
        <v>723.06299999999999</v>
      </c>
      <c r="N107" s="19">
        <f ca="1">IF($A107-N$3&lt;2,0,OFFSET('FPSO1 Base'!N104,-'FPSO1 Otim'!N$3,0))</f>
        <v>125.02499999999999</v>
      </c>
      <c r="O107" s="19">
        <f ca="1">IF($A107-O$3&lt;2,0,OFFSET('FPSO1 Base'!O104,-'FPSO1 Otim'!O$3,0))</f>
        <v>0</v>
      </c>
      <c r="P107" s="19">
        <f ca="1">IF($A107-P$3&lt;2,0,OFFSET('FPSO1 Base'!P104,-'FPSO1 Otim'!P$3,0))</f>
        <v>303.12149999999997</v>
      </c>
      <c r="Q107" s="19">
        <f ca="1">IF($A107-Q$3&lt;2,0,OFFSET('FPSO1 Base'!Q104,-'FPSO1 Otim'!Q$3,0))</f>
        <v>445.74149999999997</v>
      </c>
      <c r="R107" s="19">
        <f ca="1">IF($A107-R$3&lt;2,0,OFFSET('FPSO1 Base'!R104,-'FPSO1 Otim'!R$3,0))</f>
        <v>210.435</v>
      </c>
      <c r="S107" s="19">
        <f ca="1">IF($A107-S$3&lt;2,0,OFFSET('FPSO1 Base'!S104,-'FPSO1 Otim'!S$3,0))</f>
        <v>848.02049999999997</v>
      </c>
      <c r="T107" s="19">
        <f ca="1">IF($A107-T$3&lt;2,0,OFFSET('FPSO1 Base'!T104,-'FPSO1 Otim'!T$3,0))</f>
        <v>609.02549999999997</v>
      </c>
      <c r="U107" s="19">
        <f ca="1">IF($A107-U$3&lt;2,0,OFFSET('FPSO1 Base'!U104,-'FPSO1 Otim'!U$3,0))</f>
        <v>681.53250000000003</v>
      </c>
      <c r="V107" s="19">
        <f ca="1">IF($A107-V$3&lt;2,0,OFFSET('FPSO1 Base'!V104,-'FPSO1 Otim'!V$3,0))</f>
        <v>986.29950000000008</v>
      </c>
      <c r="W107" s="19">
        <f ca="1">IF($A107-W$3&lt;2,0,OFFSET('FPSO1 Base'!W104,-'FPSO1 Otim'!W$3,0))</f>
        <v>407.77200000000005</v>
      </c>
      <c r="X107" s="19">
        <f ca="1">IF($A107-X$3&lt;2,0,OFFSET('FPSO1 Base'!X104,-'FPSO1 Otim'!X$3,0))</f>
        <v>1266.1935000000001</v>
      </c>
      <c r="Y107" s="19">
        <f ca="1">IF($A107-Y$3&lt;2,0,OFFSET('FPSO1 Base'!Y104,-'FPSO1 Otim'!Y$3,0))</f>
        <v>565.78499999999997</v>
      </c>
      <c r="Z107" s="19">
        <f ca="1">IF($A107-Z$3&lt;2,0,OFFSET('FPSO1 Base'!Z104,-'FPSO1 Otim'!Z$3,0))</f>
        <v>957.35100000000011</v>
      </c>
      <c r="AA107" s="20">
        <v>15000</v>
      </c>
      <c r="AB107" s="19">
        <f t="shared" ca="1" si="7"/>
        <v>14526.622500000001</v>
      </c>
      <c r="AC107" s="20">
        <f t="shared" ca="1" si="8"/>
        <v>473.37749999999869</v>
      </c>
      <c r="AD107" s="19">
        <f t="shared" ca="1" si="9"/>
        <v>6282.7257075060388</v>
      </c>
    </row>
    <row r="108" spans="1:30" x14ac:dyDescent="0.25">
      <c r="A108" s="19">
        <v>104</v>
      </c>
      <c r="B108" s="31">
        <v>48761</v>
      </c>
      <c r="C108" s="19">
        <f ca="1">IF($A108-C$3&lt;2,0,OFFSET('FPSO1 Base'!C105,-'FPSO1 Otim'!C$3,0))</f>
        <v>1574.0684999999999</v>
      </c>
      <c r="D108" s="19">
        <f ca="1">IF($A108-D$3&lt;2,0,OFFSET('FPSO1 Base'!D105,-'FPSO1 Otim'!D$3,0))</f>
        <v>418.20000000000005</v>
      </c>
      <c r="E108" s="19">
        <f ca="1">IF($A108-E$3&lt;2,0,OFFSET('FPSO1 Base'!E105,-'FPSO1 Otim'!E$3,0))</f>
        <v>657.36300000000006</v>
      </c>
      <c r="F108" s="19">
        <f ca="1">IF($A108-F$3&lt;2,0,OFFSET('FPSO1 Base'!F105,-'FPSO1 Otim'!F$3,0))</f>
        <v>911.31</v>
      </c>
      <c r="G108" s="19">
        <f ca="1">IF($A108-G$3&lt;2,0,OFFSET('FPSO1 Base'!G105,-'FPSO1 Otim'!G$3,0))</f>
        <v>305.01599999999996</v>
      </c>
      <c r="H108" s="19">
        <f ca="1">IF($A108-H$3&lt;2,0,OFFSET('FPSO1 Base'!H105,-'FPSO1 Otim'!H$3,0))</f>
        <v>874.57050000000004</v>
      </c>
      <c r="I108" s="19">
        <f ca="1">IF($A108-I$3&lt;2,0,OFFSET('FPSO1 Base'!I105,-'FPSO1 Otim'!I$3,0))</f>
        <v>0</v>
      </c>
      <c r="J108" s="19">
        <f ca="1">IF($A108-J$3&lt;2,0,OFFSET('FPSO1 Base'!J105,-'FPSO1 Otim'!J$3,0))</f>
        <v>368.83949999999999</v>
      </c>
      <c r="K108" s="19">
        <f ca="1">IF($A108-K$3&lt;2,0,OFFSET('FPSO1 Base'!K105,-'FPSO1 Otim'!K$3,0))</f>
        <v>510.46199999999999</v>
      </c>
      <c r="L108" s="19">
        <f ca="1">IF($A108-L$3&lt;2,0,OFFSET('FPSO1 Base'!L105,-'FPSO1 Otim'!L$3,0))</f>
        <v>734.8934999999999</v>
      </c>
      <c r="M108" s="19">
        <f ca="1">IF($A108-M$3&lt;2,0,OFFSET('FPSO1 Base'!M105,-'FPSO1 Otim'!M$3,0))</f>
        <v>719.79449999999997</v>
      </c>
      <c r="N108" s="19">
        <f ca="1">IF($A108-N$3&lt;2,0,OFFSET('FPSO1 Base'!N105,-'FPSO1 Otim'!N$3,0))</f>
        <v>123.70155</v>
      </c>
      <c r="O108" s="19">
        <f ca="1">IF($A108-O$3&lt;2,0,OFFSET('FPSO1 Base'!O105,-'FPSO1 Otim'!O$3,0))</f>
        <v>0</v>
      </c>
      <c r="P108" s="19">
        <f ca="1">IF($A108-P$3&lt;2,0,OFFSET('FPSO1 Base'!P105,-'FPSO1 Otim'!P$3,0))</f>
        <v>303.12450000000001</v>
      </c>
      <c r="Q108" s="19">
        <f ca="1">IF($A108-Q$3&lt;2,0,OFFSET('FPSO1 Base'!Q105,-'FPSO1 Otim'!Q$3,0))</f>
        <v>445.36200000000002</v>
      </c>
      <c r="R108" s="19">
        <f ca="1">IF($A108-R$3&lt;2,0,OFFSET('FPSO1 Base'!R105,-'FPSO1 Otim'!R$3,0))</f>
        <v>208.09950000000001</v>
      </c>
      <c r="S108" s="19">
        <f ca="1">IF($A108-S$3&lt;2,0,OFFSET('FPSO1 Base'!S105,-'FPSO1 Otim'!S$3,0))</f>
        <v>816</v>
      </c>
      <c r="T108" s="19">
        <f ca="1">IF($A108-T$3&lt;2,0,OFFSET('FPSO1 Base'!T105,-'FPSO1 Otim'!T$3,0))</f>
        <v>607.66949999999997</v>
      </c>
      <c r="U108" s="19">
        <f ca="1">IF($A108-U$3&lt;2,0,OFFSET('FPSO1 Base'!U105,-'FPSO1 Otim'!U$3,0))</f>
        <v>678.72450000000003</v>
      </c>
      <c r="V108" s="19">
        <f ca="1">IF($A108-V$3&lt;2,0,OFFSET('FPSO1 Base'!V105,-'FPSO1 Otim'!V$3,0))</f>
        <v>982.01549999999997</v>
      </c>
      <c r="W108" s="19">
        <f ca="1">IF($A108-W$3&lt;2,0,OFFSET('FPSO1 Base'!W105,-'FPSO1 Otim'!W$3,0))</f>
        <v>405.798</v>
      </c>
      <c r="X108" s="19">
        <f ca="1">IF($A108-X$3&lt;2,0,OFFSET('FPSO1 Base'!X105,-'FPSO1 Otim'!X$3,0))</f>
        <v>1264.6500000000001</v>
      </c>
      <c r="Y108" s="19">
        <f ca="1">IF($A108-Y$3&lt;2,0,OFFSET('FPSO1 Base'!Y105,-'FPSO1 Otim'!Y$3,0))</f>
        <v>564.375</v>
      </c>
      <c r="Z108" s="19">
        <f ca="1">IF($A108-Z$3&lt;2,0,OFFSET('FPSO1 Base'!Z105,-'FPSO1 Otim'!Z$3,0))</f>
        <v>941.7405</v>
      </c>
      <c r="AA108" s="20">
        <v>15000</v>
      </c>
      <c r="AB108" s="19">
        <f t="shared" ca="1" si="7"/>
        <v>14415.778049999999</v>
      </c>
      <c r="AC108" s="20">
        <f t="shared" ca="1" si="8"/>
        <v>584.22195000000102</v>
      </c>
      <c r="AD108" s="19">
        <f t="shared" ca="1" si="9"/>
        <v>6183.2586216535192</v>
      </c>
    </row>
    <row r="109" spans="1:30" x14ac:dyDescent="0.25">
      <c r="A109" s="19">
        <v>105</v>
      </c>
      <c r="B109" s="31">
        <v>48792</v>
      </c>
      <c r="C109" s="19">
        <f ca="1">IF($A109-C$3&lt;2,0,OFFSET('FPSO1 Base'!C106,-'FPSO1 Otim'!C$3,0))</f>
        <v>1570.761</v>
      </c>
      <c r="D109" s="19">
        <f ca="1">IF($A109-D$3&lt;2,0,OFFSET('FPSO1 Base'!D106,-'FPSO1 Otim'!D$3,0))</f>
        <v>408.822</v>
      </c>
      <c r="E109" s="19">
        <f ca="1">IF($A109-E$3&lt;2,0,OFFSET('FPSO1 Base'!E106,-'FPSO1 Otim'!E$3,0))</f>
        <v>655.17450000000008</v>
      </c>
      <c r="F109" s="19">
        <f ca="1">IF($A109-F$3&lt;2,0,OFFSET('FPSO1 Base'!F106,-'FPSO1 Otim'!F$3,0))</f>
        <v>906.4994999999999</v>
      </c>
      <c r="G109" s="19">
        <f ca="1">IF($A109-G$3&lt;2,0,OFFSET('FPSO1 Base'!G106,-'FPSO1 Otim'!G$3,0))</f>
        <v>302.88750000000005</v>
      </c>
      <c r="H109" s="19">
        <f ca="1">IF($A109-H$3&lt;2,0,OFFSET('FPSO1 Base'!H106,-'FPSO1 Otim'!H$3,0))</f>
        <v>868.04250000000002</v>
      </c>
      <c r="I109" s="19">
        <f ca="1">IF($A109-I$3&lt;2,0,OFFSET('FPSO1 Base'!I106,-'FPSO1 Otim'!I$3,0))</f>
        <v>0</v>
      </c>
      <c r="J109" s="19">
        <f ca="1">IF($A109-J$3&lt;2,0,OFFSET('FPSO1 Base'!J106,-'FPSO1 Otim'!J$3,0))</f>
        <v>368.87850000000003</v>
      </c>
      <c r="K109" s="19">
        <f ca="1">IF($A109-K$3&lt;2,0,OFFSET('FPSO1 Base'!K106,-'FPSO1 Otim'!K$3,0))</f>
        <v>508.48199999999997</v>
      </c>
      <c r="L109" s="19">
        <f ca="1">IF($A109-L$3&lt;2,0,OFFSET('FPSO1 Base'!L106,-'FPSO1 Otim'!L$3,0))</f>
        <v>729.35699999999997</v>
      </c>
      <c r="M109" s="19">
        <f ca="1">IF($A109-M$3&lt;2,0,OFFSET('FPSO1 Base'!M106,-'FPSO1 Otim'!M$3,0))</f>
        <v>716.27549999999997</v>
      </c>
      <c r="N109" s="19">
        <f ca="1">IF($A109-N$3&lt;2,0,OFFSET('FPSO1 Base'!N106,-'FPSO1 Otim'!N$3,0))</f>
        <v>122.27504999999999</v>
      </c>
      <c r="O109" s="19">
        <f ca="1">IF($A109-O$3&lt;2,0,OFFSET('FPSO1 Base'!O106,-'FPSO1 Otim'!O$3,0))</f>
        <v>0</v>
      </c>
      <c r="P109" s="19">
        <f ca="1">IF($A109-P$3&lt;2,0,OFFSET('FPSO1 Base'!P106,-'FPSO1 Otim'!P$3,0))</f>
        <v>302.661</v>
      </c>
      <c r="Q109" s="19">
        <f ca="1">IF($A109-Q$3&lt;2,0,OFFSET('FPSO1 Base'!Q106,-'FPSO1 Otim'!Q$3,0))</f>
        <v>445.00349999999997</v>
      </c>
      <c r="R109" s="19">
        <f ca="1">IF($A109-R$3&lt;2,0,OFFSET('FPSO1 Base'!R106,-'FPSO1 Otim'!R$3,0))</f>
        <v>203.976</v>
      </c>
      <c r="S109" s="19">
        <f ca="1">IF($A109-S$3&lt;2,0,OFFSET('FPSO1 Base'!S106,-'FPSO1 Otim'!S$3,0))</f>
        <v>780.43499999999995</v>
      </c>
      <c r="T109" s="19">
        <f ca="1">IF($A109-T$3&lt;2,0,OFFSET('FPSO1 Base'!T106,-'FPSO1 Otim'!T$3,0))</f>
        <v>606.21299999999997</v>
      </c>
      <c r="U109" s="19">
        <f ca="1">IF($A109-U$3&lt;2,0,OFFSET('FPSO1 Base'!U106,-'FPSO1 Otim'!U$3,0))</f>
        <v>671.56499999999994</v>
      </c>
      <c r="V109" s="19">
        <f ca="1">IF($A109-V$3&lt;2,0,OFFSET('FPSO1 Base'!V106,-'FPSO1 Otim'!V$3,0))</f>
        <v>977.35050000000001</v>
      </c>
      <c r="W109" s="19">
        <f ca="1">IF($A109-W$3&lt;2,0,OFFSET('FPSO1 Base'!W106,-'FPSO1 Otim'!W$3,0))</f>
        <v>403.36200000000002</v>
      </c>
      <c r="X109" s="19">
        <f ca="1">IF($A109-X$3&lt;2,0,OFFSET('FPSO1 Base'!X106,-'FPSO1 Otim'!X$3,0))</f>
        <v>1263.1455000000001</v>
      </c>
      <c r="Y109" s="19">
        <f ca="1">IF($A109-Y$3&lt;2,0,OFFSET('FPSO1 Base'!Y106,-'FPSO1 Otim'!Y$3,0))</f>
        <v>563.40750000000003</v>
      </c>
      <c r="Z109" s="19">
        <f ca="1">IF($A109-Z$3&lt;2,0,OFFSET('FPSO1 Base'!Z106,-'FPSO1 Otim'!Z$3,0))</f>
        <v>927.87149999999997</v>
      </c>
      <c r="AA109" s="20">
        <v>15000</v>
      </c>
      <c r="AB109" s="19">
        <f t="shared" ca="1" si="7"/>
        <v>14302.445549999999</v>
      </c>
      <c r="AC109" s="20">
        <f t="shared" ca="1" si="8"/>
        <v>697.55445000000145</v>
      </c>
      <c r="AD109" s="19">
        <f t="shared" ca="1" si="9"/>
        <v>6083.9481390850897</v>
      </c>
    </row>
    <row r="110" spans="1:30" x14ac:dyDescent="0.25">
      <c r="A110" s="19">
        <v>106</v>
      </c>
      <c r="B110" s="31">
        <v>48823</v>
      </c>
      <c r="C110" s="19">
        <f ca="1">IF($A110-C$3&lt;2,0,OFFSET('FPSO1 Base'!C107,-'FPSO1 Otim'!C$3,0))</f>
        <v>1567.6019999999999</v>
      </c>
      <c r="D110" s="19">
        <f ca="1">IF($A110-D$3&lt;2,0,OFFSET('FPSO1 Base'!D107,-'FPSO1 Otim'!D$3,0))</f>
        <v>387.30900000000003</v>
      </c>
      <c r="E110" s="19">
        <f ca="1">IF($A110-E$3&lt;2,0,OFFSET('FPSO1 Base'!E107,-'FPSO1 Otim'!E$3,0))</f>
        <v>653.11649999999997</v>
      </c>
      <c r="F110" s="19">
        <f ca="1">IF($A110-F$3&lt;2,0,OFFSET('FPSO1 Base'!F107,-'FPSO1 Otim'!F$3,0))</f>
        <v>902.03250000000003</v>
      </c>
      <c r="G110" s="19">
        <f ca="1">IF($A110-G$3&lt;2,0,OFFSET('FPSO1 Base'!G107,-'FPSO1 Otim'!G$3,0))</f>
        <v>300.23400000000004</v>
      </c>
      <c r="H110" s="19">
        <f ca="1">IF($A110-H$3&lt;2,0,OFFSET('FPSO1 Base'!H107,-'FPSO1 Otim'!H$3,0))</f>
        <v>861.8130000000001</v>
      </c>
      <c r="I110" s="19">
        <f ca="1">IF($A110-I$3&lt;2,0,OFFSET('FPSO1 Base'!I107,-'FPSO1 Otim'!I$3,0))</f>
        <v>0</v>
      </c>
      <c r="J110" s="19">
        <f ca="1">IF($A110-J$3&lt;2,0,OFFSET('FPSO1 Base'!J107,-'FPSO1 Otim'!J$3,0))</f>
        <v>368.87549999999999</v>
      </c>
      <c r="K110" s="19">
        <f ca="1">IF($A110-K$3&lt;2,0,OFFSET('FPSO1 Base'!K107,-'FPSO1 Otim'!K$3,0))</f>
        <v>506.35050000000001</v>
      </c>
      <c r="L110" s="19">
        <f ca="1">IF($A110-L$3&lt;2,0,OFFSET('FPSO1 Base'!L107,-'FPSO1 Otim'!L$3,0))</f>
        <v>723.42450000000008</v>
      </c>
      <c r="M110" s="19">
        <f ca="1">IF($A110-M$3&lt;2,0,OFFSET('FPSO1 Base'!M107,-'FPSO1 Otim'!M$3,0))</f>
        <v>712.97249999999997</v>
      </c>
      <c r="N110" s="19">
        <f ca="1">IF($A110-N$3&lt;2,0,OFFSET('FPSO1 Base'!N107,-'FPSO1 Otim'!N$3,0))</f>
        <v>121.01610000000001</v>
      </c>
      <c r="O110" s="19">
        <f ca="1">IF($A110-O$3&lt;2,0,OFFSET('FPSO1 Base'!O107,-'FPSO1 Otim'!O$3,0))</f>
        <v>0</v>
      </c>
      <c r="P110" s="19">
        <f ca="1">IF($A110-P$3&lt;2,0,OFFSET('FPSO1 Base'!P107,-'FPSO1 Otim'!P$3,0))</f>
        <v>301.959</v>
      </c>
      <c r="Q110" s="19">
        <f ca="1">IF($A110-Q$3&lt;2,0,OFFSET('FPSO1 Base'!Q107,-'FPSO1 Otim'!Q$3,0))</f>
        <v>444.702</v>
      </c>
      <c r="R110" s="19">
        <f ca="1">IF($A110-R$3&lt;2,0,OFFSET('FPSO1 Base'!R107,-'FPSO1 Otim'!R$3,0))</f>
        <v>201.339</v>
      </c>
      <c r="S110" s="19">
        <f ca="1">IF($A110-S$3&lt;2,0,OFFSET('FPSO1 Base'!S107,-'FPSO1 Otim'!S$3,0))</f>
        <v>758.673</v>
      </c>
      <c r="T110" s="19">
        <f ca="1">IF($A110-T$3&lt;2,0,OFFSET('FPSO1 Base'!T107,-'FPSO1 Otim'!T$3,0))</f>
        <v>600.351</v>
      </c>
      <c r="U110" s="19">
        <f ca="1">IF($A110-U$3&lt;2,0,OFFSET('FPSO1 Base'!U107,-'FPSO1 Otim'!U$3,0))</f>
        <v>669.024</v>
      </c>
      <c r="V110" s="19">
        <f ca="1">IF($A110-V$3&lt;2,0,OFFSET('FPSO1 Base'!V107,-'FPSO1 Otim'!V$3,0))</f>
        <v>972.87149999999997</v>
      </c>
      <c r="W110" s="19">
        <f ca="1">IF($A110-W$3&lt;2,0,OFFSET('FPSO1 Base'!W107,-'FPSO1 Otim'!W$3,0))</f>
        <v>401.08050000000003</v>
      </c>
      <c r="X110" s="19">
        <f ca="1">IF($A110-X$3&lt;2,0,OFFSET('FPSO1 Base'!X107,-'FPSO1 Otim'!X$3,0))</f>
        <v>1261.548</v>
      </c>
      <c r="Y110" s="19">
        <f ca="1">IF($A110-Y$3&lt;2,0,OFFSET('FPSO1 Base'!Y107,-'FPSO1 Otim'!Y$3,0))</f>
        <v>562.29300000000001</v>
      </c>
      <c r="Z110" s="19">
        <f ca="1">IF($A110-Z$3&lt;2,0,OFFSET('FPSO1 Base'!Z107,-'FPSO1 Otim'!Z$3,0))</f>
        <v>913.51200000000006</v>
      </c>
      <c r="AA110" s="20">
        <v>15000</v>
      </c>
      <c r="AB110" s="19">
        <f t="shared" ca="1" si="7"/>
        <v>14192.099100000001</v>
      </c>
      <c r="AC110" s="20">
        <f t="shared" ca="1" si="8"/>
        <v>807.90089999999873</v>
      </c>
      <c r="AD110" s="19">
        <f t="shared" ca="1" si="9"/>
        <v>5987.11653017758</v>
      </c>
    </row>
    <row r="111" spans="1:30" x14ac:dyDescent="0.25">
      <c r="A111" s="19">
        <v>107</v>
      </c>
      <c r="B111" s="31">
        <v>48853</v>
      </c>
      <c r="C111" s="19">
        <f ca="1">IF($A111-C$3&lt;2,0,OFFSET('FPSO1 Base'!C108,-'FPSO1 Otim'!C$3,0))</f>
        <v>1564.3815</v>
      </c>
      <c r="D111" s="19">
        <f ca="1">IF($A111-D$3&lt;2,0,OFFSET('FPSO1 Base'!D108,-'FPSO1 Otim'!D$3,0))</f>
        <v>376.923</v>
      </c>
      <c r="E111" s="19">
        <f ca="1">IF($A111-E$3&lt;2,0,OFFSET('FPSO1 Base'!E108,-'FPSO1 Otim'!E$3,0))</f>
        <v>651.10350000000005</v>
      </c>
      <c r="F111" s="19">
        <f ca="1">IF($A111-F$3&lt;2,0,OFFSET('FPSO1 Base'!F108,-'FPSO1 Otim'!F$3,0))</f>
        <v>897.58049999999992</v>
      </c>
      <c r="G111" s="19">
        <f ca="1">IF($A111-G$3&lt;2,0,OFFSET('FPSO1 Base'!G108,-'FPSO1 Otim'!G$3,0))</f>
        <v>294.28649999999999</v>
      </c>
      <c r="H111" s="19">
        <f ca="1">IF($A111-H$3&lt;2,0,OFFSET('FPSO1 Base'!H108,-'FPSO1 Otim'!H$3,0))</f>
        <v>884.12699999999995</v>
      </c>
      <c r="I111" s="19">
        <f ca="1">IF($A111-I$3&lt;2,0,OFFSET('FPSO1 Base'!I108,-'FPSO1 Otim'!I$3,0))</f>
        <v>0</v>
      </c>
      <c r="J111" s="19">
        <f ca="1">IF($A111-J$3&lt;2,0,OFFSET('FPSO1 Base'!J108,-'FPSO1 Otim'!J$3,0))</f>
        <v>368.73450000000003</v>
      </c>
      <c r="K111" s="19">
        <f ca="1">IF($A111-K$3&lt;2,0,OFFSET('FPSO1 Base'!K108,-'FPSO1 Otim'!K$3,0))</f>
        <v>504.33299999999997</v>
      </c>
      <c r="L111" s="19">
        <f ca="1">IF($A111-L$3&lt;2,0,OFFSET('FPSO1 Base'!L108,-'FPSO1 Otim'!L$3,0))</f>
        <v>717.65250000000003</v>
      </c>
      <c r="M111" s="19">
        <f ca="1">IF($A111-M$3&lt;2,0,OFFSET('FPSO1 Base'!M108,-'FPSO1 Otim'!M$3,0))</f>
        <v>709.71749999999997</v>
      </c>
      <c r="N111" s="19">
        <f ca="1">IF($A111-N$3&lt;2,0,OFFSET('FPSO1 Base'!N108,-'FPSO1 Otim'!N$3,0))</f>
        <v>119.78219999999999</v>
      </c>
      <c r="O111" s="19">
        <f ca="1">IF($A111-O$3&lt;2,0,OFFSET('FPSO1 Base'!O108,-'FPSO1 Otim'!O$3,0))</f>
        <v>0</v>
      </c>
      <c r="P111" s="19">
        <f ca="1">IF($A111-P$3&lt;2,0,OFFSET('FPSO1 Base'!P108,-'FPSO1 Otim'!P$3,0))</f>
        <v>301.125</v>
      </c>
      <c r="Q111" s="19">
        <f ca="1">IF($A111-Q$3&lt;2,0,OFFSET('FPSO1 Base'!Q108,-'FPSO1 Otim'!Q$3,0))</f>
        <v>444.33600000000001</v>
      </c>
      <c r="R111" s="19">
        <f ca="1">IF($A111-R$3&lt;2,0,OFFSET('FPSO1 Base'!R108,-'FPSO1 Otim'!R$3,0))</f>
        <v>198.8835</v>
      </c>
      <c r="S111" s="19">
        <f ca="1">IF($A111-S$3&lt;2,0,OFFSET('FPSO1 Base'!S108,-'FPSO1 Otim'!S$3,0))</f>
        <v>736.5809999999999</v>
      </c>
      <c r="T111" s="19">
        <f ca="1">IF($A111-T$3&lt;2,0,OFFSET('FPSO1 Base'!T108,-'FPSO1 Otim'!T$3,0))</f>
        <v>598.77750000000003</v>
      </c>
      <c r="U111" s="19">
        <f ca="1">IF($A111-U$3&lt;2,0,OFFSET('FPSO1 Base'!U108,-'FPSO1 Otim'!U$3,0))</f>
        <v>666.61649999999997</v>
      </c>
      <c r="V111" s="19">
        <f ca="1">IF($A111-V$3&lt;2,0,OFFSET('FPSO1 Base'!V108,-'FPSO1 Otim'!V$3,0))</f>
        <v>968.37149999999997</v>
      </c>
      <c r="W111" s="19">
        <f ca="1">IF($A111-W$3&lt;2,0,OFFSET('FPSO1 Base'!W108,-'FPSO1 Otim'!W$3,0))</f>
        <v>398.73749999999995</v>
      </c>
      <c r="X111" s="19">
        <f ca="1">IF($A111-X$3&lt;2,0,OFFSET('FPSO1 Base'!X108,-'FPSO1 Otim'!X$3,0))</f>
        <v>1259.8755000000001</v>
      </c>
      <c r="Y111" s="19">
        <f ca="1">IF($A111-Y$3&lt;2,0,OFFSET('FPSO1 Base'!Y108,-'FPSO1 Otim'!Y$3,0))</f>
        <v>561.25350000000003</v>
      </c>
      <c r="Z111" s="19">
        <f ca="1">IF($A111-Z$3&lt;2,0,OFFSET('FPSO1 Base'!Z108,-'FPSO1 Otim'!Z$3,0))</f>
        <v>900.6690000000001</v>
      </c>
      <c r="AA111" s="20">
        <v>15000</v>
      </c>
      <c r="AB111" s="19">
        <f t="shared" ca="1" si="7"/>
        <v>14123.848199999999</v>
      </c>
      <c r="AC111" s="20">
        <f t="shared" ca="1" si="8"/>
        <v>876.15180000000146</v>
      </c>
      <c r="AD111" s="19">
        <f t="shared" ca="1" si="9"/>
        <v>5909.0816773524839</v>
      </c>
    </row>
    <row r="112" spans="1:30" x14ac:dyDescent="0.25">
      <c r="A112" s="19">
        <v>108</v>
      </c>
      <c r="B112" s="31">
        <v>48884</v>
      </c>
      <c r="C112" s="19">
        <f ca="1">IF($A112-C$3&lt;2,0,OFFSET('FPSO1 Base'!C109,-'FPSO1 Otim'!C$3,0))</f>
        <v>1561.3035</v>
      </c>
      <c r="D112" s="19">
        <f ca="1">IF($A112-D$3&lt;2,0,OFFSET('FPSO1 Base'!D109,-'FPSO1 Otim'!D$3,0))</f>
        <v>366.03300000000002</v>
      </c>
      <c r="E112" s="19">
        <f ca="1">IF($A112-E$3&lt;2,0,OFFSET('FPSO1 Base'!E109,-'FPSO1 Otim'!E$3,0))</f>
        <v>648.89850000000001</v>
      </c>
      <c r="F112" s="19">
        <f ca="1">IF($A112-F$3&lt;2,0,OFFSET('FPSO1 Base'!F109,-'FPSO1 Otim'!F$3,0))</f>
        <v>892.88700000000006</v>
      </c>
      <c r="G112" s="19">
        <f ca="1">IF($A112-G$3&lt;2,0,OFFSET('FPSO1 Base'!G109,-'FPSO1 Otim'!G$3,0))</f>
        <v>291.94799999999998</v>
      </c>
      <c r="H112" s="19">
        <f ca="1">IF($A112-H$3&lt;2,0,OFFSET('FPSO1 Base'!H109,-'FPSO1 Otim'!H$3,0))</f>
        <v>877.98450000000003</v>
      </c>
      <c r="I112" s="19">
        <f ca="1">IF($A112-I$3&lt;2,0,OFFSET('FPSO1 Base'!I109,-'FPSO1 Otim'!I$3,0))</f>
        <v>0</v>
      </c>
      <c r="J112" s="19">
        <f ca="1">IF($A112-J$3&lt;2,0,OFFSET('FPSO1 Base'!J109,-'FPSO1 Otim'!J$3,0))</f>
        <v>368.47500000000002</v>
      </c>
      <c r="K112" s="19">
        <f ca="1">IF($A112-K$3&lt;2,0,OFFSET('FPSO1 Base'!K109,-'FPSO1 Otim'!K$3,0))</f>
        <v>502.33050000000003</v>
      </c>
      <c r="L112" s="19">
        <f ca="1">IF($A112-L$3&lt;2,0,OFFSET('FPSO1 Base'!L109,-'FPSO1 Otim'!L$3,0))</f>
        <v>712.11300000000006</v>
      </c>
      <c r="M112" s="19">
        <f ca="1">IF($A112-M$3&lt;2,0,OFFSET('FPSO1 Base'!M109,-'FPSO1 Otim'!M$3,0))</f>
        <v>706.32449999999994</v>
      </c>
      <c r="N112" s="19">
        <f ca="1">IF($A112-N$3&lt;2,0,OFFSET('FPSO1 Base'!N109,-'FPSO1 Otim'!N$3,0))</f>
        <v>118.45005</v>
      </c>
      <c r="O112" s="19">
        <f ca="1">IF($A112-O$3&lt;2,0,OFFSET('FPSO1 Base'!O109,-'FPSO1 Otim'!O$3,0))</f>
        <v>731.01750000000004</v>
      </c>
      <c r="P112" s="19">
        <f ca="1">IF($A112-P$3&lt;2,0,OFFSET('FPSO1 Base'!P109,-'FPSO1 Otim'!P$3,0))</f>
        <v>300.19349999999997</v>
      </c>
      <c r="Q112" s="19">
        <f ca="1">IF($A112-Q$3&lt;2,0,OFFSET('FPSO1 Base'!Q109,-'FPSO1 Otim'!Q$3,0))</f>
        <v>444.24149999999997</v>
      </c>
      <c r="R112" s="19">
        <f ca="1">IF($A112-R$3&lt;2,0,OFFSET('FPSO1 Base'!R109,-'FPSO1 Otim'!R$3,0))</f>
        <v>197.1525</v>
      </c>
      <c r="S112" s="19">
        <f ca="1">IF($A112-S$3&lt;2,0,OFFSET('FPSO1 Base'!S109,-'FPSO1 Otim'!S$3,0))</f>
        <v>726.03600000000006</v>
      </c>
      <c r="T112" s="19">
        <f ca="1">IF($A112-T$3&lt;2,0,OFFSET('FPSO1 Base'!T109,-'FPSO1 Otim'!T$3,0))</f>
        <v>597.57600000000002</v>
      </c>
      <c r="U112" s="19">
        <f ca="1">IF($A112-U$3&lt;2,0,OFFSET('FPSO1 Base'!U109,-'FPSO1 Otim'!U$3,0))</f>
        <v>664.62149999999997</v>
      </c>
      <c r="V112" s="19">
        <f ca="1">IF($A112-V$3&lt;2,0,OFFSET('FPSO1 Base'!V109,-'FPSO1 Otim'!V$3,0))</f>
        <v>963.59999999999991</v>
      </c>
      <c r="W112" s="19">
        <f ca="1">IF($A112-W$3&lt;2,0,OFFSET('FPSO1 Base'!W109,-'FPSO1 Otim'!W$3,0))</f>
        <v>396.58050000000003</v>
      </c>
      <c r="X112" s="19">
        <f ca="1">IF($A112-X$3&lt;2,0,OFFSET('FPSO1 Base'!X109,-'FPSO1 Otim'!X$3,0))</f>
        <v>1258.2825</v>
      </c>
      <c r="Y112" s="19">
        <f ca="1">IF($A112-Y$3&lt;2,0,OFFSET('FPSO1 Base'!Y109,-'FPSO1 Otim'!Y$3,0))</f>
        <v>560.11950000000002</v>
      </c>
      <c r="Z112" s="19">
        <f ca="1">IF($A112-Z$3&lt;2,0,OFFSET('FPSO1 Base'!Z109,-'FPSO1 Otim'!Z$3,0))</f>
        <v>888.42</v>
      </c>
      <c r="AA112" s="20">
        <v>15000</v>
      </c>
      <c r="AB112" s="19">
        <f t="shared" ca="1" si="7"/>
        <v>14774.58855</v>
      </c>
      <c r="AC112" s="20">
        <f t="shared" ca="1" si="8"/>
        <v>225.4114499999996</v>
      </c>
      <c r="AD112" s="19">
        <f t="shared" ca="1" si="9"/>
        <v>6130.2505191109567</v>
      </c>
    </row>
    <row r="113" spans="1:30" x14ac:dyDescent="0.25">
      <c r="A113" s="19">
        <v>109</v>
      </c>
      <c r="B113" s="31">
        <v>48914</v>
      </c>
      <c r="C113" s="19">
        <f ca="1">IF($A113-C$3&lt;2,0,OFFSET('FPSO1 Base'!C110,-'FPSO1 Otim'!C$3,0))</f>
        <v>1558.1685</v>
      </c>
      <c r="D113" s="19">
        <f ca="1">IF($A113-D$3&lt;2,0,OFFSET('FPSO1 Base'!D110,-'FPSO1 Otim'!D$3,0))</f>
        <v>357.94650000000001</v>
      </c>
      <c r="E113" s="19">
        <f ca="1">IF($A113-E$3&lt;2,0,OFFSET('FPSO1 Base'!E110,-'FPSO1 Otim'!E$3,0))</f>
        <v>647.93399999999997</v>
      </c>
      <c r="F113" s="19">
        <f ca="1">IF($A113-F$3&lt;2,0,OFFSET('FPSO1 Base'!F110,-'FPSO1 Otim'!F$3,0))</f>
        <v>888.65249999999992</v>
      </c>
      <c r="G113" s="19">
        <f ca="1">IF($A113-G$3&lt;2,0,OFFSET('FPSO1 Base'!G110,-'FPSO1 Otim'!G$3,0))</f>
        <v>289.47149999999999</v>
      </c>
      <c r="H113" s="19">
        <f ca="1">IF($A113-H$3&lt;2,0,OFFSET('FPSO1 Base'!H110,-'FPSO1 Otim'!H$3,0))</f>
        <v>872.05500000000006</v>
      </c>
      <c r="I113" s="19">
        <f ca="1">IF($A113-I$3&lt;2,0,OFFSET('FPSO1 Base'!I110,-'FPSO1 Otim'!I$3,0))</f>
        <v>0</v>
      </c>
      <c r="J113" s="19">
        <f ca="1">IF($A113-J$3&lt;2,0,OFFSET('FPSO1 Base'!J110,-'FPSO1 Otim'!J$3,0))</f>
        <v>368.178</v>
      </c>
      <c r="K113" s="19">
        <f ca="1">IF($A113-K$3&lt;2,0,OFFSET('FPSO1 Base'!K110,-'FPSO1 Otim'!K$3,0))</f>
        <v>500.23050000000001</v>
      </c>
      <c r="L113" s="19">
        <f ca="1">IF($A113-L$3&lt;2,0,OFFSET('FPSO1 Base'!L110,-'FPSO1 Otim'!L$3,0))</f>
        <v>705.8309999999999</v>
      </c>
      <c r="M113" s="19">
        <f ca="1">IF($A113-M$3&lt;2,0,OFFSET('FPSO1 Base'!M110,-'FPSO1 Otim'!M$3,0))</f>
        <v>703.27049999999997</v>
      </c>
      <c r="N113" s="19">
        <f ca="1">IF($A113-N$3&lt;2,0,OFFSET('FPSO1 Base'!N110,-'FPSO1 Otim'!N$3,0))</f>
        <v>117.29040000000001</v>
      </c>
      <c r="O113" s="19">
        <f ca="1">IF($A113-O$3&lt;2,0,OFFSET('FPSO1 Base'!O110,-'FPSO1 Otim'!O$3,0))</f>
        <v>992.12850000000003</v>
      </c>
      <c r="P113" s="19">
        <f ca="1">IF($A113-P$3&lt;2,0,OFFSET('FPSO1 Base'!P110,-'FPSO1 Otim'!P$3,0))</f>
        <v>299.14949999999999</v>
      </c>
      <c r="Q113" s="19">
        <f ca="1">IF($A113-Q$3&lt;2,0,OFFSET('FPSO1 Base'!Q110,-'FPSO1 Otim'!Q$3,0))</f>
        <v>444.28800000000001</v>
      </c>
      <c r="R113" s="19">
        <f ca="1">IF($A113-R$3&lt;2,0,OFFSET('FPSO1 Base'!R110,-'FPSO1 Otim'!R$3,0))</f>
        <v>195.12450000000001</v>
      </c>
      <c r="S113" s="19">
        <f ca="1">IF($A113-S$3&lt;2,0,OFFSET('FPSO1 Base'!S110,-'FPSO1 Otim'!S$3,0))</f>
        <v>715.27500000000009</v>
      </c>
      <c r="T113" s="19">
        <f ca="1">IF($A113-T$3&lt;2,0,OFFSET('FPSO1 Base'!T110,-'FPSO1 Otim'!T$3,0))</f>
        <v>596.50350000000003</v>
      </c>
      <c r="U113" s="19">
        <f ca="1">IF($A113-U$3&lt;2,0,OFFSET('FPSO1 Base'!U110,-'FPSO1 Otim'!U$3,0))</f>
        <v>662.35050000000001</v>
      </c>
      <c r="V113" s="19">
        <f ca="1">IF($A113-V$3&lt;2,0,OFFSET('FPSO1 Base'!V110,-'FPSO1 Otim'!V$3,0))</f>
        <v>959.178</v>
      </c>
      <c r="W113" s="19">
        <f ca="1">IF($A113-W$3&lt;2,0,OFFSET('FPSO1 Base'!W110,-'FPSO1 Otim'!W$3,0))</f>
        <v>394.428</v>
      </c>
      <c r="X113" s="19">
        <f ca="1">IF($A113-X$3&lt;2,0,OFFSET('FPSO1 Base'!X110,-'FPSO1 Otim'!X$3,0))</f>
        <v>1256.6999999999998</v>
      </c>
      <c r="Y113" s="19">
        <f ca="1">IF($A113-Y$3&lt;2,0,OFFSET('FPSO1 Base'!Y110,-'FPSO1 Otim'!Y$3,0))</f>
        <v>559.02149999999995</v>
      </c>
      <c r="Z113" s="19">
        <f ca="1">IF($A113-Z$3&lt;2,0,OFFSET('FPSO1 Base'!Z110,-'FPSO1 Otim'!Z$3,0))</f>
        <v>876.25350000000003</v>
      </c>
      <c r="AA113" s="20">
        <v>15000</v>
      </c>
      <c r="AB113" s="19">
        <f t="shared" ca="1" si="7"/>
        <v>14959.428900000003</v>
      </c>
      <c r="AC113" s="20">
        <f t="shared" ca="1" si="8"/>
        <v>40.571099999997386</v>
      </c>
      <c r="AD113" s="19">
        <f t="shared" ca="1" si="9"/>
        <v>6155.6471453301392</v>
      </c>
    </row>
    <row r="114" spans="1:30" x14ac:dyDescent="0.25">
      <c r="A114" s="19">
        <v>110</v>
      </c>
      <c r="B114" s="31">
        <v>48945</v>
      </c>
      <c r="C114" s="19">
        <f ca="1">IF($A114-C$3&lt;2,0,OFFSET('FPSO1 Base'!C111,-'FPSO1 Otim'!C$3,0))</f>
        <v>1547.7495000000001</v>
      </c>
      <c r="D114" s="19">
        <f ca="1">IF($A114-D$3&lt;2,0,OFFSET('FPSO1 Base'!D111,-'FPSO1 Otim'!D$3,0))</f>
        <v>350.12099999999998</v>
      </c>
      <c r="E114" s="19">
        <f ca="1">IF($A114-E$3&lt;2,0,OFFSET('FPSO1 Base'!E111,-'FPSO1 Otim'!E$3,0))</f>
        <v>646.85550000000001</v>
      </c>
      <c r="F114" s="19">
        <f ca="1">IF($A114-F$3&lt;2,0,OFFSET('FPSO1 Base'!F111,-'FPSO1 Otim'!F$3,0))</f>
        <v>884.02500000000009</v>
      </c>
      <c r="G114" s="19">
        <f ca="1">IF($A114-G$3&lt;2,0,OFFSET('FPSO1 Base'!G111,-'FPSO1 Otim'!G$3,0))</f>
        <v>284.91149999999999</v>
      </c>
      <c r="H114" s="19">
        <f ca="1">IF($A114-H$3&lt;2,0,OFFSET('FPSO1 Base'!H111,-'FPSO1 Otim'!H$3,0))</f>
        <v>866.34449999999993</v>
      </c>
      <c r="I114" s="19">
        <f ca="1">IF($A114-I$3&lt;2,0,OFFSET('FPSO1 Base'!I111,-'FPSO1 Otim'!I$3,0))</f>
        <v>0</v>
      </c>
      <c r="J114" s="19">
        <f ca="1">IF($A114-J$3&lt;2,0,OFFSET('FPSO1 Base'!J111,-'FPSO1 Otim'!J$3,0))</f>
        <v>367.69349999999997</v>
      </c>
      <c r="K114" s="19">
        <f ca="1">IF($A114-K$3&lt;2,0,OFFSET('FPSO1 Base'!K111,-'FPSO1 Otim'!K$3,0))</f>
        <v>498.32100000000003</v>
      </c>
      <c r="L114" s="19">
        <f ca="1">IF($A114-L$3&lt;2,0,OFFSET('FPSO1 Base'!L111,-'FPSO1 Otim'!L$3,0))</f>
        <v>701.03250000000003</v>
      </c>
      <c r="M114" s="19">
        <f ca="1">IF($A114-M$3&lt;2,0,OFFSET('FPSO1 Base'!M111,-'FPSO1 Otim'!M$3,0))</f>
        <v>699.96299999999997</v>
      </c>
      <c r="N114" s="19">
        <f ca="1">IF($A114-N$3&lt;2,0,OFFSET('FPSO1 Base'!N111,-'FPSO1 Otim'!N$3,0))</f>
        <v>115.94999999999999</v>
      </c>
      <c r="O114" s="19">
        <f ca="1">IF($A114-O$3&lt;2,0,OFFSET('FPSO1 Base'!O111,-'FPSO1 Otim'!O$3,0))</f>
        <v>914.55000000000007</v>
      </c>
      <c r="P114" s="19">
        <f ca="1">IF($A114-P$3&lt;2,0,OFFSET('FPSO1 Base'!P111,-'FPSO1 Otim'!P$3,0))</f>
        <v>295.30650000000003</v>
      </c>
      <c r="Q114" s="19">
        <f ca="1">IF($A114-Q$3&lt;2,0,OFFSET('FPSO1 Base'!Q111,-'FPSO1 Otim'!Q$3,0))</f>
        <v>444.43500000000006</v>
      </c>
      <c r="R114" s="19">
        <f ca="1">IF($A114-R$3&lt;2,0,OFFSET('FPSO1 Base'!R111,-'FPSO1 Otim'!R$3,0))</f>
        <v>193.2585</v>
      </c>
      <c r="S114" s="19">
        <f ca="1">IF($A114-S$3&lt;2,0,OFFSET('FPSO1 Base'!S111,-'FPSO1 Otim'!S$3,0))</f>
        <v>707.02049999999997</v>
      </c>
      <c r="T114" s="19">
        <f ca="1">IF($A114-T$3&lt;2,0,OFFSET('FPSO1 Base'!T111,-'FPSO1 Otim'!T$3,0))</f>
        <v>595.27500000000009</v>
      </c>
      <c r="U114" s="19">
        <f ca="1">IF($A114-U$3&lt;2,0,OFFSET('FPSO1 Base'!U111,-'FPSO1 Otim'!U$3,0))</f>
        <v>660.29100000000005</v>
      </c>
      <c r="V114" s="19">
        <f ca="1">IF($A114-V$3&lt;2,0,OFFSET('FPSO1 Base'!V111,-'FPSO1 Otim'!V$3,0))</f>
        <v>954.30000000000007</v>
      </c>
      <c r="W114" s="19">
        <f ca="1">IF($A114-W$3&lt;2,0,OFFSET('FPSO1 Base'!W111,-'FPSO1 Otim'!W$3,0))</f>
        <v>392.21250000000003</v>
      </c>
      <c r="X114" s="19">
        <f ca="1">IF($A114-X$3&lt;2,0,OFFSET('FPSO1 Base'!X111,-'FPSO1 Otim'!X$3,0))</f>
        <v>1254.9195</v>
      </c>
      <c r="Y114" s="19">
        <f ca="1">IF($A114-Y$3&lt;2,0,OFFSET('FPSO1 Base'!Y111,-'FPSO1 Otim'!Y$3,0))</f>
        <v>557.90250000000003</v>
      </c>
      <c r="Z114" s="19">
        <f ca="1">IF($A114-Z$3&lt;2,0,OFFSET('FPSO1 Base'!Z111,-'FPSO1 Otim'!Z$3,0))</f>
        <v>865.15200000000004</v>
      </c>
      <c r="AA114" s="20">
        <v>15000</v>
      </c>
      <c r="AB114" s="19">
        <f t="shared" ca="1" si="7"/>
        <v>14797.589999999998</v>
      </c>
      <c r="AC114" s="20">
        <f t="shared" ca="1" si="8"/>
        <v>202.41000000000167</v>
      </c>
      <c r="AD114" s="19">
        <f t="shared" ca="1" si="9"/>
        <v>6038.7294006460961</v>
      </c>
    </row>
    <row r="115" spans="1:30" x14ac:dyDescent="0.25">
      <c r="A115" s="19">
        <v>111</v>
      </c>
      <c r="B115" s="31">
        <v>48976</v>
      </c>
      <c r="C115" s="19">
        <f ca="1">IF($A115-C$3&lt;2,0,OFFSET('FPSO1 Base'!C112,-'FPSO1 Otim'!C$3,0))</f>
        <v>1545.2460000000001</v>
      </c>
      <c r="D115" s="19">
        <f ca="1">IF($A115-D$3&lt;2,0,OFFSET('FPSO1 Base'!D112,-'FPSO1 Otim'!D$3,0))</f>
        <v>343.5915</v>
      </c>
      <c r="E115" s="19">
        <f ca="1">IF($A115-E$3&lt;2,0,OFFSET('FPSO1 Base'!E112,-'FPSO1 Otim'!E$3,0))</f>
        <v>645.774</v>
      </c>
      <c r="F115" s="19">
        <f ca="1">IF($A115-F$3&lt;2,0,OFFSET('FPSO1 Base'!F112,-'FPSO1 Otim'!F$3,0))</f>
        <v>879.81</v>
      </c>
      <c r="G115" s="19">
        <f ca="1">IF($A115-G$3&lt;2,0,OFFSET('FPSO1 Base'!G112,-'FPSO1 Otim'!G$3,0))</f>
        <v>281.988</v>
      </c>
      <c r="H115" s="19">
        <f ca="1">IF($A115-H$3&lt;2,0,OFFSET('FPSO1 Base'!H112,-'FPSO1 Otim'!H$3,0))</f>
        <v>860.65499999999997</v>
      </c>
      <c r="I115" s="19">
        <f ca="1">IF($A115-I$3&lt;2,0,OFFSET('FPSO1 Base'!I112,-'FPSO1 Otim'!I$3,0))</f>
        <v>0</v>
      </c>
      <c r="J115" s="19">
        <f ca="1">IF($A115-J$3&lt;2,0,OFFSET('FPSO1 Base'!J112,-'FPSO1 Otim'!J$3,0))</f>
        <v>367.15049999999997</v>
      </c>
      <c r="K115" s="19">
        <f ca="1">IF($A115-K$3&lt;2,0,OFFSET('FPSO1 Base'!K112,-'FPSO1 Otim'!K$3,0))</f>
        <v>496.22550000000001</v>
      </c>
      <c r="L115" s="19">
        <f ca="1">IF($A115-L$3&lt;2,0,OFFSET('FPSO1 Base'!L112,-'FPSO1 Otim'!L$3,0))</f>
        <v>695.42550000000006</v>
      </c>
      <c r="M115" s="19">
        <f ca="1">IF($A115-M$3&lt;2,0,OFFSET('FPSO1 Base'!M112,-'FPSO1 Otim'!M$3,0))</f>
        <v>690.52049999999997</v>
      </c>
      <c r="N115" s="19">
        <f ca="1">IF($A115-N$3&lt;2,0,OFFSET('FPSO1 Base'!N112,-'FPSO1 Otim'!N$3,0))</f>
        <v>114.79845</v>
      </c>
      <c r="O115" s="19">
        <f ca="1">IF($A115-O$3&lt;2,0,OFFSET('FPSO1 Base'!O112,-'FPSO1 Otim'!O$3,0))</f>
        <v>880.76549999999997</v>
      </c>
      <c r="P115" s="19">
        <f ca="1">IF($A115-P$3&lt;2,0,OFFSET('FPSO1 Base'!P112,-'FPSO1 Otim'!P$3,0))</f>
        <v>293.85449999999997</v>
      </c>
      <c r="Q115" s="19">
        <f ca="1">IF($A115-Q$3&lt;2,0,OFFSET('FPSO1 Base'!Q112,-'FPSO1 Otim'!Q$3,0))</f>
        <v>444.61200000000002</v>
      </c>
      <c r="R115" s="19">
        <f ca="1">IF($A115-R$3&lt;2,0,OFFSET('FPSO1 Base'!R112,-'FPSO1 Otim'!R$3,0))</f>
        <v>191.35049999999998</v>
      </c>
      <c r="S115" s="19">
        <f ca="1">IF($A115-S$3&lt;2,0,OFFSET('FPSO1 Base'!S112,-'FPSO1 Otim'!S$3,0))</f>
        <v>699.51299999999992</v>
      </c>
      <c r="T115" s="19">
        <f ca="1">IF($A115-T$3&lt;2,0,OFFSET('FPSO1 Base'!T112,-'FPSO1 Otim'!T$3,0))</f>
        <v>594.072</v>
      </c>
      <c r="U115" s="19">
        <f ca="1">IF($A115-U$3&lt;2,0,OFFSET('FPSO1 Base'!U112,-'FPSO1 Otim'!U$3,0))</f>
        <v>658.05</v>
      </c>
      <c r="V115" s="19">
        <f ca="1">IF($A115-V$3&lt;2,0,OFFSET('FPSO1 Base'!V112,-'FPSO1 Otim'!V$3,0))</f>
        <v>949.69350000000009</v>
      </c>
      <c r="W115" s="19">
        <f ca="1">IF($A115-W$3&lt;2,0,OFFSET('FPSO1 Base'!W112,-'FPSO1 Otim'!W$3,0))</f>
        <v>390.19350000000003</v>
      </c>
      <c r="X115" s="19">
        <f ca="1">IF($A115-X$3&lt;2,0,OFFSET('FPSO1 Base'!X112,-'FPSO1 Otim'!X$3,0))</f>
        <v>1253.4195</v>
      </c>
      <c r="Y115" s="19">
        <f ca="1">IF($A115-Y$3&lt;2,0,OFFSET('FPSO1 Base'!Y112,-'FPSO1 Otim'!Y$3,0))</f>
        <v>556.69350000000009</v>
      </c>
      <c r="Z115" s="19">
        <f ca="1">IF($A115-Z$3&lt;2,0,OFFSET('FPSO1 Base'!Z112,-'FPSO1 Otim'!Z$3,0))</f>
        <v>853.65899999999999</v>
      </c>
      <c r="AA115" s="20">
        <v>15000</v>
      </c>
      <c r="AB115" s="19">
        <f t="shared" ca="1" si="7"/>
        <v>14687.061449999996</v>
      </c>
      <c r="AC115" s="20">
        <f t="shared" ca="1" si="8"/>
        <v>312.9385500000044</v>
      </c>
      <c r="AD115" s="19">
        <f t="shared" ca="1" si="9"/>
        <v>5944.0898651501484</v>
      </c>
    </row>
    <row r="116" spans="1:30" x14ac:dyDescent="0.25">
      <c r="A116" s="19">
        <v>112</v>
      </c>
      <c r="B116" s="31">
        <v>49004</v>
      </c>
      <c r="C116" s="19">
        <f ca="1">IF($A116-C$3&lt;2,0,OFFSET('FPSO1 Base'!C113,-'FPSO1 Otim'!C$3,0))</f>
        <v>1542.5280000000002</v>
      </c>
      <c r="D116" s="19">
        <f ca="1">IF($A116-D$3&lt;2,0,OFFSET('FPSO1 Base'!D113,-'FPSO1 Otim'!D$3,0))</f>
        <v>338.745</v>
      </c>
      <c r="E116" s="19">
        <f ca="1">IF($A116-E$3&lt;2,0,OFFSET('FPSO1 Base'!E113,-'FPSO1 Otim'!E$3,0))</f>
        <v>644.45699999999999</v>
      </c>
      <c r="F116" s="19">
        <f ca="1">IF($A116-F$3&lt;2,0,OFFSET('FPSO1 Base'!F113,-'FPSO1 Otim'!F$3,0))</f>
        <v>875.73450000000003</v>
      </c>
      <c r="G116" s="19">
        <f ca="1">IF($A116-G$3&lt;2,0,OFFSET('FPSO1 Base'!G113,-'FPSO1 Otim'!G$3,0))</f>
        <v>278.67449999999997</v>
      </c>
      <c r="H116" s="19">
        <f ca="1">IF($A116-H$3&lt;2,0,OFFSET('FPSO1 Base'!H113,-'FPSO1 Otim'!H$3,0))</f>
        <v>855.31050000000005</v>
      </c>
      <c r="I116" s="19">
        <f ca="1">IF($A116-I$3&lt;2,0,OFFSET('FPSO1 Base'!I113,-'FPSO1 Otim'!I$3,0))</f>
        <v>0</v>
      </c>
      <c r="J116" s="19">
        <f ca="1">IF($A116-J$3&lt;2,0,OFFSET('FPSO1 Base'!J113,-'FPSO1 Otim'!J$3,0))</f>
        <v>366.89550000000003</v>
      </c>
      <c r="K116" s="19">
        <f ca="1">IF($A116-K$3&lt;2,0,OFFSET('FPSO1 Base'!K113,-'FPSO1 Otim'!K$3,0))</f>
        <v>489.786</v>
      </c>
      <c r="L116" s="19">
        <f ca="1">IF($A116-L$3&lt;2,0,OFFSET('FPSO1 Base'!L113,-'FPSO1 Otim'!L$3,0))</f>
        <v>690.49649999999997</v>
      </c>
      <c r="M116" s="19">
        <f ca="1">IF($A116-M$3&lt;2,0,OFFSET('FPSO1 Base'!M113,-'FPSO1 Otim'!M$3,0))</f>
        <v>687.09749999999997</v>
      </c>
      <c r="N116" s="19">
        <f ca="1">IF($A116-N$3&lt;2,0,OFFSET('FPSO1 Base'!N113,-'FPSO1 Otim'!N$3,0))</f>
        <v>113.68545</v>
      </c>
      <c r="O116" s="19">
        <f ca="1">IF($A116-O$3&lt;2,0,OFFSET('FPSO1 Base'!O113,-'FPSO1 Otim'!O$3,0))</f>
        <v>864.22499999999991</v>
      </c>
      <c r="P116" s="19">
        <f ca="1">IF($A116-P$3&lt;2,0,OFFSET('FPSO1 Base'!P113,-'FPSO1 Otim'!P$3,0))</f>
        <v>292.82100000000003</v>
      </c>
      <c r="Q116" s="19">
        <f ca="1">IF($A116-Q$3&lt;2,0,OFFSET('FPSO1 Base'!Q113,-'FPSO1 Otim'!Q$3,0))</f>
        <v>444.83399999999995</v>
      </c>
      <c r="R116" s="19">
        <f ca="1">IF($A116-R$3&lt;2,0,OFFSET('FPSO1 Base'!R113,-'FPSO1 Otim'!R$3,0))</f>
        <v>189.5565</v>
      </c>
      <c r="S116" s="19">
        <f ca="1">IF($A116-S$3&lt;2,0,OFFSET('FPSO1 Base'!S113,-'FPSO1 Otim'!S$3,0))</f>
        <v>693.52049999999997</v>
      </c>
      <c r="T116" s="19">
        <f ca="1">IF($A116-T$3&lt;2,0,OFFSET('FPSO1 Base'!T113,-'FPSO1 Otim'!T$3,0))</f>
        <v>592.82549999999992</v>
      </c>
      <c r="U116" s="19">
        <f ca="1">IF($A116-U$3&lt;2,0,OFFSET('FPSO1 Base'!U113,-'FPSO1 Otim'!U$3,0))</f>
        <v>656.05649999999991</v>
      </c>
      <c r="V116" s="19">
        <f ca="1">IF($A116-V$3&lt;2,0,OFFSET('FPSO1 Base'!V113,-'FPSO1 Otim'!V$3,0))</f>
        <v>945.33899999999994</v>
      </c>
      <c r="W116" s="19">
        <f ca="1">IF($A116-W$3&lt;2,0,OFFSET('FPSO1 Base'!W113,-'FPSO1 Otim'!W$3,0))</f>
        <v>388.03800000000001</v>
      </c>
      <c r="X116" s="19">
        <f ca="1">IF($A116-X$3&lt;2,0,OFFSET('FPSO1 Base'!X113,-'FPSO1 Otim'!X$3,0))</f>
        <v>1251.6434999999999</v>
      </c>
      <c r="Y116" s="19">
        <f ca="1">IF($A116-Y$3&lt;2,0,OFFSET('FPSO1 Base'!Y113,-'FPSO1 Otim'!Y$3,0))</f>
        <v>555.5625</v>
      </c>
      <c r="Z116" s="19">
        <f ca="1">IF($A116-Z$3&lt;2,0,OFFSET('FPSO1 Base'!Z113,-'FPSO1 Otim'!Z$3,0))</f>
        <v>843.36599999999999</v>
      </c>
      <c r="AA116" s="20">
        <v>15000</v>
      </c>
      <c r="AB116" s="19">
        <f t="shared" ca="1" si="7"/>
        <v>14601.198450000002</v>
      </c>
      <c r="AC116" s="20">
        <f t="shared" ca="1" si="8"/>
        <v>398.80154999999831</v>
      </c>
      <c r="AD116" s="19">
        <f t="shared" ca="1" si="9"/>
        <v>5860.5022103720039</v>
      </c>
    </row>
    <row r="117" spans="1:30" x14ac:dyDescent="0.25">
      <c r="A117" s="19">
        <v>113</v>
      </c>
      <c r="B117" s="31">
        <v>49035</v>
      </c>
      <c r="C117" s="19">
        <f ca="1">IF($A117-C$3&lt;2,0,OFFSET('FPSO1 Base'!C114,-'FPSO1 Otim'!C$3,0))</f>
        <v>1539.8685</v>
      </c>
      <c r="D117" s="19">
        <f ca="1">IF($A117-D$3&lt;2,0,OFFSET('FPSO1 Base'!D114,-'FPSO1 Otim'!D$3,0))</f>
        <v>331.89300000000003</v>
      </c>
      <c r="E117" s="19">
        <f ca="1">IF($A117-E$3&lt;2,0,OFFSET('FPSO1 Base'!E114,-'FPSO1 Otim'!E$3,0))</f>
        <v>643.08299999999997</v>
      </c>
      <c r="F117" s="19">
        <f ca="1">IF($A117-F$3&lt;2,0,OFFSET('FPSO1 Base'!F114,-'FPSO1 Otim'!F$3,0))</f>
        <v>871.21499999999992</v>
      </c>
      <c r="G117" s="19">
        <f ca="1">IF($A117-G$3&lt;2,0,OFFSET('FPSO1 Base'!G114,-'FPSO1 Otim'!G$3,0))</f>
        <v>275.65649999999999</v>
      </c>
      <c r="H117" s="19">
        <f ca="1">IF($A117-H$3&lt;2,0,OFFSET('FPSO1 Base'!H114,-'FPSO1 Otim'!H$3,0))</f>
        <v>849.88049999999998</v>
      </c>
      <c r="I117" s="19">
        <f ca="1">IF($A117-I$3&lt;2,0,OFFSET('FPSO1 Base'!I114,-'FPSO1 Otim'!I$3,0))</f>
        <v>0</v>
      </c>
      <c r="J117" s="19">
        <f ca="1">IF($A117-J$3&lt;2,0,OFFSET('FPSO1 Base'!J114,-'FPSO1 Otim'!J$3,0))</f>
        <v>366.10050000000001</v>
      </c>
      <c r="K117" s="19">
        <f ca="1">IF($A117-K$3&lt;2,0,OFFSET('FPSO1 Base'!K114,-'FPSO1 Otim'!K$3,0))</f>
        <v>487.57800000000003</v>
      </c>
      <c r="L117" s="19">
        <f ca="1">IF($A117-L$3&lt;2,0,OFFSET('FPSO1 Base'!L114,-'FPSO1 Otim'!L$3,0))</f>
        <v>685.46250000000009</v>
      </c>
      <c r="M117" s="19">
        <f ca="1">IF($A117-M$3&lt;2,0,OFFSET('FPSO1 Base'!M114,-'FPSO1 Otim'!M$3,0))</f>
        <v>683.85299999999995</v>
      </c>
      <c r="N117" s="19">
        <f ca="1">IF($A117-N$3&lt;2,0,OFFSET('FPSO1 Base'!N114,-'FPSO1 Otim'!N$3,0))</f>
        <v>112.4196</v>
      </c>
      <c r="O117" s="19">
        <f ca="1">IF($A117-O$3&lt;2,0,OFFSET('FPSO1 Base'!O114,-'FPSO1 Otim'!O$3,0))</f>
        <v>853.11299999999994</v>
      </c>
      <c r="P117" s="19">
        <f ca="1">IF($A117-P$3&lt;2,0,OFFSET('FPSO1 Base'!P114,-'FPSO1 Otim'!P$3,0))</f>
        <v>291.87149999999997</v>
      </c>
      <c r="Q117" s="19">
        <f ca="1">IF($A117-Q$3&lt;2,0,OFFSET('FPSO1 Base'!Q114,-'FPSO1 Otim'!Q$3,0))</f>
        <v>445.089</v>
      </c>
      <c r="R117" s="19">
        <f ca="1">IF($A117-R$3&lt;2,0,OFFSET('FPSO1 Base'!R114,-'FPSO1 Otim'!R$3,0))</f>
        <v>187.7655</v>
      </c>
      <c r="S117" s="19">
        <f ca="1">IF($A117-S$3&lt;2,0,OFFSET('FPSO1 Base'!S114,-'FPSO1 Otim'!S$3,0))</f>
        <v>687.54449999999997</v>
      </c>
      <c r="T117" s="19">
        <f ca="1">IF($A117-T$3&lt;2,0,OFFSET('FPSO1 Base'!T114,-'FPSO1 Otim'!T$3,0))</f>
        <v>591.60450000000003</v>
      </c>
      <c r="U117" s="19">
        <f ca="1">IF($A117-U$3&lt;2,0,OFFSET('FPSO1 Base'!U114,-'FPSO1 Otim'!U$3,0))</f>
        <v>654</v>
      </c>
      <c r="V117" s="19">
        <f ca="1">IF($A117-V$3&lt;2,0,OFFSET('FPSO1 Base'!V114,-'FPSO1 Otim'!V$3,0))</f>
        <v>940.34550000000013</v>
      </c>
      <c r="W117" s="19">
        <f ca="1">IF($A117-W$3&lt;2,0,OFFSET('FPSO1 Base'!W114,-'FPSO1 Otim'!W$3,0))</f>
        <v>385.98449999999997</v>
      </c>
      <c r="X117" s="19">
        <f ca="1">IF($A117-X$3&lt;2,0,OFFSET('FPSO1 Base'!X114,-'FPSO1 Otim'!X$3,0))</f>
        <v>1250.202</v>
      </c>
      <c r="Y117" s="19">
        <f ca="1">IF($A117-Y$3&lt;2,0,OFFSET('FPSO1 Base'!Y114,-'FPSO1 Otim'!Y$3,0))</f>
        <v>554.29349999999999</v>
      </c>
      <c r="Z117" s="19">
        <f ca="1">IF($A117-Z$3&lt;2,0,OFFSET('FPSO1 Base'!Z114,-'FPSO1 Otim'!Z$3,0))</f>
        <v>833.98799999999994</v>
      </c>
      <c r="AA117" s="20">
        <v>15000</v>
      </c>
      <c r="AB117" s="19">
        <f t="shared" ca="1" si="7"/>
        <v>14522.811599999999</v>
      </c>
      <c r="AC117" s="20">
        <f t="shared" ca="1" si="8"/>
        <v>477.18840000000091</v>
      </c>
      <c r="AD117" s="19">
        <f t="shared" ca="1" si="9"/>
        <v>5780.8660932631246</v>
      </c>
    </row>
    <row r="118" spans="1:30" x14ac:dyDescent="0.25">
      <c r="A118" s="19">
        <v>114</v>
      </c>
      <c r="B118" s="31">
        <v>49065</v>
      </c>
      <c r="C118" s="19">
        <f ca="1">IF($A118-C$3&lt;2,0,OFFSET('FPSO1 Base'!C115,-'FPSO1 Otim'!C$3,0))</f>
        <v>1537.1174999999998</v>
      </c>
      <c r="D118" s="19">
        <f ca="1">IF($A118-D$3&lt;2,0,OFFSET('FPSO1 Base'!D115,-'FPSO1 Otim'!D$3,0))</f>
        <v>328.05149999999998</v>
      </c>
      <c r="E118" s="19">
        <f ca="1">IF($A118-E$3&lt;2,0,OFFSET('FPSO1 Base'!E115,-'FPSO1 Otim'!E$3,0))</f>
        <v>641.63100000000009</v>
      </c>
      <c r="F118" s="19">
        <f ca="1">IF($A118-F$3&lt;2,0,OFFSET('FPSO1 Base'!F115,-'FPSO1 Otim'!F$3,0))</f>
        <v>867.375</v>
      </c>
      <c r="G118" s="19">
        <f ca="1">IF($A118-G$3&lt;2,0,OFFSET('FPSO1 Base'!G115,-'FPSO1 Otim'!G$3,0))</f>
        <v>273.14550000000003</v>
      </c>
      <c r="H118" s="19">
        <f ca="1">IF($A118-H$3&lt;2,0,OFFSET('FPSO1 Base'!H115,-'FPSO1 Otim'!H$3,0))</f>
        <v>844.54200000000003</v>
      </c>
      <c r="I118" s="19">
        <f ca="1">IF($A118-I$3&lt;2,0,OFFSET('FPSO1 Base'!I115,-'FPSO1 Otim'!I$3,0))</f>
        <v>0</v>
      </c>
      <c r="J118" s="19">
        <f ca="1">IF($A118-J$3&lt;2,0,OFFSET('FPSO1 Base'!J115,-'FPSO1 Otim'!J$3,0))</f>
        <v>365.78249999999997</v>
      </c>
      <c r="K118" s="19">
        <f ca="1">IF($A118-K$3&lt;2,0,OFFSET('FPSO1 Base'!K115,-'FPSO1 Otim'!K$3,0))</f>
        <v>485.51099999999997</v>
      </c>
      <c r="L118" s="19">
        <f ca="1">IF($A118-L$3&lt;2,0,OFFSET('FPSO1 Base'!L115,-'FPSO1 Otim'!L$3,0))</f>
        <v>680.91600000000005</v>
      </c>
      <c r="M118" s="19">
        <f ca="1">IF($A118-M$3&lt;2,0,OFFSET('FPSO1 Base'!M115,-'FPSO1 Otim'!M$3,0))</f>
        <v>681.27750000000003</v>
      </c>
      <c r="N118" s="19">
        <f ca="1">IF($A118-N$3&lt;2,0,OFFSET('FPSO1 Base'!N115,-'FPSO1 Otim'!N$3,0))</f>
        <v>111.38714999999999</v>
      </c>
      <c r="O118" s="19">
        <f ca="1">IF($A118-O$3&lt;2,0,OFFSET('FPSO1 Base'!O115,-'FPSO1 Otim'!O$3,0))</f>
        <v>840.87149999999997</v>
      </c>
      <c r="P118" s="19">
        <f ca="1">IF($A118-P$3&lt;2,0,OFFSET('FPSO1 Base'!P115,-'FPSO1 Otim'!P$3,0))</f>
        <v>290.85000000000002</v>
      </c>
      <c r="Q118" s="19">
        <f ca="1">IF($A118-Q$3&lt;2,0,OFFSET('FPSO1 Base'!Q115,-'FPSO1 Otim'!Q$3,0))</f>
        <v>445.34999999999997</v>
      </c>
      <c r="R118" s="19">
        <f ca="1">IF($A118-R$3&lt;2,0,OFFSET('FPSO1 Base'!R115,-'FPSO1 Otim'!R$3,0))</f>
        <v>185.97450000000001</v>
      </c>
      <c r="S118" s="19">
        <f ca="1">IF($A118-S$3&lt;2,0,OFFSET('FPSO1 Base'!S115,-'FPSO1 Otim'!S$3,0))</f>
        <v>681.92550000000006</v>
      </c>
      <c r="T118" s="19">
        <f ca="1">IF($A118-T$3&lt;2,0,OFFSET('FPSO1 Base'!T115,-'FPSO1 Otim'!T$3,0))</f>
        <v>590.41949999999997</v>
      </c>
      <c r="U118" s="19">
        <f ca="1">IF($A118-U$3&lt;2,0,OFFSET('FPSO1 Base'!U115,-'FPSO1 Otim'!U$3,0))</f>
        <v>651.92550000000006</v>
      </c>
      <c r="V118" s="19">
        <f ca="1">IF($A118-V$3&lt;2,0,OFFSET('FPSO1 Base'!V115,-'FPSO1 Otim'!V$3,0))</f>
        <v>936.048</v>
      </c>
      <c r="W118" s="19">
        <f ca="1">IF($A118-W$3&lt;2,0,OFFSET('FPSO1 Base'!W115,-'FPSO1 Otim'!W$3,0))</f>
        <v>384.036</v>
      </c>
      <c r="X118" s="19">
        <f ca="1">IF($A118-X$3&lt;2,0,OFFSET('FPSO1 Base'!X115,-'FPSO1 Otim'!X$3,0))</f>
        <v>1248.375</v>
      </c>
      <c r="Y118" s="19">
        <f ca="1">IF($A118-Y$3&lt;2,0,OFFSET('FPSO1 Base'!Y115,-'FPSO1 Otim'!Y$3,0))</f>
        <v>538.2405</v>
      </c>
      <c r="Z118" s="19">
        <f ca="1">IF($A118-Z$3&lt;2,0,OFFSET('FPSO1 Base'!Z115,-'FPSO1 Otim'!Z$3,0))</f>
        <v>823.56</v>
      </c>
      <c r="AA118" s="20">
        <v>15000</v>
      </c>
      <c r="AB118" s="19">
        <f t="shared" ca="1" si="7"/>
        <v>14434.31265</v>
      </c>
      <c r="AC118" s="20">
        <f t="shared" ca="1" si="8"/>
        <v>565.68735000000015</v>
      </c>
      <c r="AD118" s="19">
        <f t="shared" ca="1" si="9"/>
        <v>5698.1540974068175</v>
      </c>
    </row>
    <row r="119" spans="1:30" x14ac:dyDescent="0.25">
      <c r="A119" s="19">
        <v>115</v>
      </c>
      <c r="B119" s="31">
        <v>49096</v>
      </c>
      <c r="C119" s="19">
        <f ca="1">IF($A119-C$3&lt;2,0,OFFSET('FPSO1 Base'!C116,-'FPSO1 Otim'!C$3,0))</f>
        <v>1534.4475</v>
      </c>
      <c r="D119" s="19">
        <f ca="1">IF($A119-D$3&lt;2,0,OFFSET('FPSO1 Base'!D116,-'FPSO1 Otim'!D$3,0))</f>
        <v>323.12850000000003</v>
      </c>
      <c r="E119" s="19">
        <f ca="1">IF($A119-E$3&lt;2,0,OFFSET('FPSO1 Base'!E116,-'FPSO1 Otim'!E$3,0))</f>
        <v>640.03800000000001</v>
      </c>
      <c r="F119" s="19">
        <f ca="1">IF($A119-F$3&lt;2,0,OFFSET('FPSO1 Base'!F116,-'FPSO1 Otim'!F$3,0))</f>
        <v>863.08800000000008</v>
      </c>
      <c r="G119" s="19">
        <f ca="1">IF($A119-G$3&lt;2,0,OFFSET('FPSO1 Base'!G116,-'FPSO1 Otim'!G$3,0))</f>
        <v>270.91050000000001</v>
      </c>
      <c r="H119" s="19">
        <f ca="1">IF($A119-H$3&lt;2,0,OFFSET('FPSO1 Base'!H116,-'FPSO1 Otim'!H$3,0))</f>
        <v>839.50199999999995</v>
      </c>
      <c r="I119" s="19">
        <f ca="1">IF($A119-I$3&lt;2,0,OFFSET('FPSO1 Base'!I116,-'FPSO1 Otim'!I$3,0))</f>
        <v>0</v>
      </c>
      <c r="J119" s="19">
        <f ca="1">IF($A119-J$3&lt;2,0,OFFSET('FPSO1 Base'!J116,-'FPSO1 Otim'!J$3,0))</f>
        <v>364.791</v>
      </c>
      <c r="K119" s="19">
        <f ca="1">IF($A119-K$3&lt;2,0,OFFSET('FPSO1 Base'!K116,-'FPSO1 Otim'!K$3,0))</f>
        <v>483.85949999999997</v>
      </c>
      <c r="L119" s="19">
        <f ca="1">IF($A119-L$3&lt;2,0,OFFSET('FPSO1 Base'!L116,-'FPSO1 Otim'!L$3,0))</f>
        <v>676.28250000000003</v>
      </c>
      <c r="M119" s="19">
        <f ca="1">IF($A119-M$3&lt;2,0,OFFSET('FPSO1 Base'!M116,-'FPSO1 Otim'!M$3,0))</f>
        <v>678.25049999999999</v>
      </c>
      <c r="N119" s="19">
        <f ca="1">IF($A119-N$3&lt;2,0,OFFSET('FPSO1 Base'!N116,-'FPSO1 Otim'!N$3,0))</f>
        <v>110.20005</v>
      </c>
      <c r="O119" s="19">
        <f ca="1">IF($A119-O$3&lt;2,0,OFFSET('FPSO1 Base'!O116,-'FPSO1 Otim'!O$3,0))</f>
        <v>826.84949999999992</v>
      </c>
      <c r="P119" s="19">
        <f ca="1">IF($A119-P$3&lt;2,0,OFFSET('FPSO1 Base'!P116,-'FPSO1 Otim'!P$3,0))</f>
        <v>289.791</v>
      </c>
      <c r="Q119" s="19">
        <f ca="1">IF($A119-Q$3&lt;2,0,OFFSET('FPSO1 Base'!Q116,-'FPSO1 Otim'!Q$3,0))</f>
        <v>445.572</v>
      </c>
      <c r="R119" s="19">
        <f ca="1">IF($A119-R$3&lt;2,0,OFFSET('FPSO1 Base'!R116,-'FPSO1 Otim'!R$3,0))</f>
        <v>184.065</v>
      </c>
      <c r="S119" s="19">
        <f ca="1">IF($A119-S$3&lt;2,0,OFFSET('FPSO1 Base'!S116,-'FPSO1 Otim'!S$3,0))</f>
        <v>677.40750000000003</v>
      </c>
      <c r="T119" s="19">
        <f ca="1">IF($A119-T$3&lt;2,0,OFFSET('FPSO1 Base'!T116,-'FPSO1 Otim'!T$3,0))</f>
        <v>589.16249999999991</v>
      </c>
      <c r="U119" s="19">
        <f ca="1">IF($A119-U$3&lt;2,0,OFFSET('FPSO1 Base'!U116,-'FPSO1 Otim'!U$3,0))</f>
        <v>650.00850000000003</v>
      </c>
      <c r="V119" s="19">
        <f ca="1">IF($A119-V$3&lt;2,0,OFFSET('FPSO1 Base'!V116,-'FPSO1 Otim'!V$3,0))</f>
        <v>931.34999999999991</v>
      </c>
      <c r="W119" s="19">
        <f ca="1">IF($A119-W$3&lt;2,0,OFFSET('FPSO1 Base'!W116,-'FPSO1 Otim'!W$3,0))</f>
        <v>381.87900000000002</v>
      </c>
      <c r="X119" s="19">
        <f ca="1">IF($A119-X$3&lt;2,0,OFFSET('FPSO1 Base'!X116,-'FPSO1 Otim'!X$3,0))</f>
        <v>1246.7175</v>
      </c>
      <c r="Y119" s="19">
        <f ca="1">IF($A119-Y$3&lt;2,0,OFFSET('FPSO1 Base'!Y116,-'FPSO1 Otim'!Y$3,0))</f>
        <v>535.851</v>
      </c>
      <c r="Z119" s="19">
        <f ca="1">IF($A119-Z$3&lt;2,0,OFFSET('FPSO1 Base'!Z116,-'FPSO1 Otim'!Z$3,0))</f>
        <v>815.298</v>
      </c>
      <c r="AA119" s="20">
        <v>15000</v>
      </c>
      <c r="AB119" s="19">
        <f t="shared" ca="1" si="7"/>
        <v>14358.449550000003</v>
      </c>
      <c r="AC119" s="20">
        <f t="shared" ca="1" si="8"/>
        <v>641.550449999997</v>
      </c>
      <c r="AD119" s="19">
        <f t="shared" ca="1" si="9"/>
        <v>5621.3613612801337</v>
      </c>
    </row>
    <row r="120" spans="1:30" x14ac:dyDescent="0.25">
      <c r="A120" s="19">
        <v>116</v>
      </c>
      <c r="B120" s="31">
        <v>49126</v>
      </c>
      <c r="C120" s="19">
        <f ca="1">IF($A120-C$3&lt;2,0,OFFSET('FPSO1 Base'!C117,-'FPSO1 Otim'!C$3,0))</f>
        <v>1531.731</v>
      </c>
      <c r="D120" s="19">
        <f ca="1">IF($A120-D$3&lt;2,0,OFFSET('FPSO1 Base'!D117,-'FPSO1 Otim'!D$3,0))</f>
        <v>318.1635</v>
      </c>
      <c r="E120" s="19">
        <f ca="1">IF($A120-E$3&lt;2,0,OFFSET('FPSO1 Base'!E117,-'FPSO1 Otim'!E$3,0))</f>
        <v>638.53499999999997</v>
      </c>
      <c r="F120" s="19">
        <f ca="1">IF($A120-F$3&lt;2,0,OFFSET('FPSO1 Base'!F117,-'FPSO1 Otim'!F$3,0))</f>
        <v>859.23450000000003</v>
      </c>
      <c r="G120" s="19">
        <f ca="1">IF($A120-G$3&lt;2,0,OFFSET('FPSO1 Base'!G117,-'FPSO1 Otim'!G$3,0))</f>
        <v>269.26499999999999</v>
      </c>
      <c r="H120" s="19">
        <f ca="1">IF($A120-H$3&lt;2,0,OFFSET('FPSO1 Base'!H117,-'FPSO1 Otim'!H$3,0))</f>
        <v>834.54750000000001</v>
      </c>
      <c r="I120" s="19">
        <f ca="1">IF($A120-I$3&lt;2,0,OFFSET('FPSO1 Base'!I117,-'FPSO1 Otim'!I$3,0))</f>
        <v>0</v>
      </c>
      <c r="J120" s="19">
        <f ca="1">IF($A120-J$3&lt;2,0,OFFSET('FPSO1 Base'!J117,-'FPSO1 Otim'!J$3,0))</f>
        <v>363.40199999999999</v>
      </c>
      <c r="K120" s="19">
        <f ca="1">IF($A120-K$3&lt;2,0,OFFSET('FPSO1 Base'!K117,-'FPSO1 Otim'!K$3,0))</f>
        <v>481.88699999999994</v>
      </c>
      <c r="L120" s="19">
        <f ca="1">IF($A120-L$3&lt;2,0,OFFSET('FPSO1 Base'!L117,-'FPSO1 Otim'!L$3,0))</f>
        <v>670.63799999999992</v>
      </c>
      <c r="M120" s="19">
        <f ca="1">IF($A120-M$3&lt;2,0,OFFSET('FPSO1 Base'!M117,-'FPSO1 Otim'!M$3,0))</f>
        <v>675.50850000000003</v>
      </c>
      <c r="N120" s="19">
        <f ca="1">IF($A120-N$3&lt;2,0,OFFSET('FPSO1 Base'!N117,-'FPSO1 Otim'!N$3,0))</f>
        <v>109.08870000000002</v>
      </c>
      <c r="O120" s="19">
        <f ca="1">IF($A120-O$3&lt;2,0,OFFSET('FPSO1 Base'!O117,-'FPSO1 Otim'!O$3,0))</f>
        <v>816.45900000000006</v>
      </c>
      <c r="P120" s="19">
        <f ca="1">IF($A120-P$3&lt;2,0,OFFSET('FPSO1 Base'!P117,-'FPSO1 Otim'!P$3,0))</f>
        <v>288.70050000000003</v>
      </c>
      <c r="Q120" s="19">
        <f ca="1">IF($A120-Q$3&lt;2,0,OFFSET('FPSO1 Base'!Q117,-'FPSO1 Otim'!Q$3,0))</f>
        <v>445.79999999999995</v>
      </c>
      <c r="R120" s="19">
        <f ca="1">IF($A120-R$3&lt;2,0,OFFSET('FPSO1 Base'!R117,-'FPSO1 Otim'!R$3,0))</f>
        <v>181.95</v>
      </c>
      <c r="S120" s="19">
        <f ca="1">IF($A120-S$3&lt;2,0,OFFSET('FPSO1 Base'!S117,-'FPSO1 Otim'!S$3,0))</f>
        <v>673.06200000000001</v>
      </c>
      <c r="T120" s="19">
        <f ca="1">IF($A120-T$3&lt;2,0,OFFSET('FPSO1 Base'!T117,-'FPSO1 Otim'!T$3,0))</f>
        <v>650.298</v>
      </c>
      <c r="U120" s="19">
        <f ca="1">IF($A120-U$3&lt;2,0,OFFSET('FPSO1 Base'!U117,-'FPSO1 Otim'!U$3,0))</f>
        <v>648.375</v>
      </c>
      <c r="V120" s="19">
        <f ca="1">IF($A120-V$3&lt;2,0,OFFSET('FPSO1 Base'!V117,-'FPSO1 Otim'!V$3,0))</f>
        <v>927.048</v>
      </c>
      <c r="W120" s="19">
        <f ca="1">IF($A120-W$3&lt;2,0,OFFSET('FPSO1 Base'!W117,-'FPSO1 Otim'!W$3,0))</f>
        <v>380.04449999999997</v>
      </c>
      <c r="X120" s="19">
        <f ca="1">IF($A120-X$3&lt;2,0,OFFSET('FPSO1 Base'!X117,-'FPSO1 Otim'!X$3,0))</f>
        <v>1244.8755000000001</v>
      </c>
      <c r="Y120" s="19">
        <f ca="1">IF($A120-Y$3&lt;2,0,OFFSET('FPSO1 Base'!Y117,-'FPSO1 Otim'!Y$3,0))</f>
        <v>535.69350000000009</v>
      </c>
      <c r="Z120" s="19">
        <f ca="1">IF($A120-Z$3&lt;2,0,OFFSET('FPSO1 Base'!Z117,-'FPSO1 Otim'!Z$3,0))</f>
        <v>806.01900000000001</v>
      </c>
      <c r="AA120" s="20">
        <v>15000</v>
      </c>
      <c r="AB120" s="19">
        <f ca="1">SUM(C120:Z120)</f>
        <v>14350.325700000001</v>
      </c>
      <c r="AC120" s="20">
        <f t="shared" ca="1" si="8"/>
        <v>649.67429999999877</v>
      </c>
      <c r="AD120" s="19">
        <f t="shared" ca="1" si="9"/>
        <v>5571.749611197989</v>
      </c>
    </row>
    <row r="121" spans="1:30" x14ac:dyDescent="0.25">
      <c r="A121" s="19">
        <v>117</v>
      </c>
      <c r="B121" s="31">
        <v>49157</v>
      </c>
      <c r="C121" s="19">
        <f ca="1">IF($A121-C$3&lt;2,0,OFFSET('FPSO1 Base'!C118,-'FPSO1 Otim'!C$3,0))</f>
        <v>1529.001</v>
      </c>
      <c r="D121" s="19">
        <f ca="1">IF($A121-D$3&lt;2,0,OFFSET('FPSO1 Base'!D118,-'FPSO1 Otim'!D$3,0))</f>
        <v>315.15449999999998</v>
      </c>
      <c r="E121" s="19">
        <f ca="1">IF($A121-E$3&lt;2,0,OFFSET('FPSO1 Base'!E118,-'FPSO1 Otim'!E$3,0))</f>
        <v>636.82500000000005</v>
      </c>
      <c r="F121" s="19">
        <f ca="1">IF($A121-F$3&lt;2,0,OFFSET('FPSO1 Base'!F118,-'FPSO1 Otim'!F$3,0))</f>
        <v>855.02550000000008</v>
      </c>
      <c r="G121" s="19">
        <f ca="1">IF($A121-G$3&lt;2,0,OFFSET('FPSO1 Base'!G118,-'FPSO1 Otim'!G$3,0))</f>
        <v>267.20550000000003</v>
      </c>
      <c r="H121" s="19">
        <f ca="1">IF($A121-H$3&lt;2,0,OFFSET('FPSO1 Base'!H118,-'FPSO1 Otim'!H$3,0))</f>
        <v>831.79950000000008</v>
      </c>
      <c r="I121" s="19">
        <f ca="1">IF($A121-I$3&lt;2,0,OFFSET('FPSO1 Base'!I118,-'FPSO1 Otim'!I$3,0))</f>
        <v>0</v>
      </c>
      <c r="J121" s="19">
        <f ca="1">IF($A121-J$3&lt;2,0,OFFSET('FPSO1 Base'!J118,-'FPSO1 Otim'!J$3,0))</f>
        <v>362.322</v>
      </c>
      <c r="K121" s="19">
        <f ca="1">IF($A121-K$3&lt;2,0,OFFSET('FPSO1 Base'!K118,-'FPSO1 Otim'!K$3,0))</f>
        <v>480.08399999999995</v>
      </c>
      <c r="L121" s="19">
        <f ca="1">IF($A121-L$3&lt;2,0,OFFSET('FPSO1 Base'!L118,-'FPSO1 Otim'!L$3,0))</f>
        <v>665.93999999999994</v>
      </c>
      <c r="M121" s="19">
        <f ca="1">IF($A121-M$3&lt;2,0,OFFSET('FPSO1 Base'!M118,-'FPSO1 Otim'!M$3,0))</f>
        <v>672.55050000000006</v>
      </c>
      <c r="N121" s="19">
        <f ca="1">IF($A121-N$3&lt;2,0,OFFSET('FPSO1 Base'!N118,-'FPSO1 Otim'!N$3,0))</f>
        <v>107.92500000000001</v>
      </c>
      <c r="O121" s="19">
        <f ca="1">IF($A121-O$3&lt;2,0,OFFSET('FPSO1 Base'!O118,-'FPSO1 Otim'!O$3,0))</f>
        <v>805.875</v>
      </c>
      <c r="P121" s="19">
        <f ca="1">IF($A121-P$3&lt;2,0,OFFSET('FPSO1 Base'!P118,-'FPSO1 Otim'!P$3,0))</f>
        <v>287.589</v>
      </c>
      <c r="Q121" s="19">
        <f ca="1">IF($A121-Q$3&lt;2,0,OFFSET('FPSO1 Base'!Q118,-'FPSO1 Otim'!Q$3,0))</f>
        <v>442.428</v>
      </c>
      <c r="R121" s="19">
        <f ca="1">IF($A121-R$3&lt;2,0,OFFSET('FPSO1 Base'!R118,-'FPSO1 Otim'!R$3,0))</f>
        <v>180.048</v>
      </c>
      <c r="S121" s="19">
        <f ca="1">IF($A121-S$3&lt;2,0,OFFSET('FPSO1 Base'!S118,-'FPSO1 Otim'!S$3,0))</f>
        <v>669.81000000000006</v>
      </c>
      <c r="T121" s="19">
        <f ca="1">IF($A121-T$3&lt;2,0,OFFSET('FPSO1 Base'!T118,-'FPSO1 Otim'!T$3,0))</f>
        <v>655.8</v>
      </c>
      <c r="U121" s="19">
        <f ca="1">IF($A121-U$3&lt;2,0,OFFSET('FPSO1 Base'!U118,-'FPSO1 Otim'!U$3,0))</f>
        <v>646.13699999999994</v>
      </c>
      <c r="V121" s="19">
        <f ca="1">IF($A121-V$3&lt;2,0,OFFSET('FPSO1 Base'!V118,-'FPSO1 Otim'!V$3,0))</f>
        <v>922.2494999999999</v>
      </c>
      <c r="W121" s="19">
        <f ca="1">IF($A121-W$3&lt;2,0,OFFSET('FPSO1 Base'!W118,-'FPSO1 Otim'!W$3,0))</f>
        <v>378.012</v>
      </c>
      <c r="X121" s="19">
        <f ca="1">IF($A121-X$3&lt;2,0,OFFSET('FPSO1 Base'!X118,-'FPSO1 Otim'!X$3,0))</f>
        <v>1243.0889999999999</v>
      </c>
      <c r="Y121" s="19">
        <f ca="1">IF($A121-Y$3&lt;2,0,OFFSET('FPSO1 Base'!Y118,-'FPSO1 Otim'!Y$3,0))</f>
        <v>535.58399999999995</v>
      </c>
      <c r="Z121" s="19">
        <f ca="1">IF($A121-Z$3&lt;2,0,OFFSET('FPSO1 Base'!Z118,-'FPSO1 Otim'!Z$3,0))</f>
        <v>797.77649999999994</v>
      </c>
      <c r="AA121" s="20">
        <v>15000</v>
      </c>
      <c r="AB121" s="19">
        <f t="shared" ca="1" si="7"/>
        <v>14288.230500000001</v>
      </c>
      <c r="AC121" s="20">
        <f t="shared" ca="1" si="8"/>
        <v>711.76949999999852</v>
      </c>
      <c r="AD121" s="19">
        <f t="shared" ca="1" si="9"/>
        <v>5501.7918645451819</v>
      </c>
    </row>
    <row r="122" spans="1:30" x14ac:dyDescent="0.25">
      <c r="A122" s="19">
        <v>118</v>
      </c>
      <c r="B122" s="31">
        <v>49188</v>
      </c>
      <c r="C122" s="19">
        <f ca="1">IF($A122-C$3&lt;2,0,OFFSET('FPSO1 Base'!C119,-'FPSO1 Otim'!C$3,0))</f>
        <v>1526.367</v>
      </c>
      <c r="D122" s="19">
        <f ca="1">IF($A122-D$3&lt;2,0,OFFSET('FPSO1 Base'!D119,-'FPSO1 Otim'!D$3,0))</f>
        <v>311.28000000000003</v>
      </c>
      <c r="E122" s="19">
        <f ca="1">IF($A122-E$3&lt;2,0,OFFSET('FPSO1 Base'!E119,-'FPSO1 Otim'!E$3,0))</f>
        <v>630.4905</v>
      </c>
      <c r="F122" s="19">
        <f ca="1">IF($A122-F$3&lt;2,0,OFFSET('FPSO1 Base'!F119,-'FPSO1 Otim'!F$3,0))</f>
        <v>851.12850000000003</v>
      </c>
      <c r="G122" s="19">
        <f ca="1">IF($A122-G$3&lt;2,0,OFFSET('FPSO1 Base'!G119,-'FPSO1 Otim'!G$3,0))</f>
        <v>264.53399999999999</v>
      </c>
      <c r="H122" s="19">
        <f ca="1">IF($A122-H$3&lt;2,0,OFFSET('FPSO1 Base'!H119,-'FPSO1 Otim'!H$3,0))</f>
        <v>826.72649999999999</v>
      </c>
      <c r="I122" s="19">
        <f ca="1">IF($A122-I$3&lt;2,0,OFFSET('FPSO1 Base'!I119,-'FPSO1 Otim'!I$3,0))</f>
        <v>0</v>
      </c>
      <c r="J122" s="19">
        <f ca="1">IF($A122-J$3&lt;2,0,OFFSET('FPSO1 Base'!J119,-'FPSO1 Otim'!J$3,0))</f>
        <v>361.00049999999999</v>
      </c>
      <c r="K122" s="19">
        <f ca="1">IF($A122-K$3&lt;2,0,OFFSET('FPSO1 Base'!K119,-'FPSO1 Otim'!K$3,0))</f>
        <v>478.11899999999997</v>
      </c>
      <c r="L122" s="19">
        <f ca="1">IF($A122-L$3&lt;2,0,OFFSET('FPSO1 Base'!L119,-'FPSO1 Otim'!L$3,0))</f>
        <v>660.86249999999995</v>
      </c>
      <c r="M122" s="19">
        <f ca="1">IF($A122-M$3&lt;2,0,OFFSET('FPSO1 Base'!M119,-'FPSO1 Otim'!M$3,0))</f>
        <v>669.83399999999995</v>
      </c>
      <c r="N122" s="19">
        <f ca="1">IF($A122-N$3&lt;2,0,OFFSET('FPSO1 Base'!N119,-'FPSO1 Otim'!N$3,0))</f>
        <v>106.76610000000001</v>
      </c>
      <c r="O122" s="19">
        <f ca="1">IF($A122-O$3&lt;2,0,OFFSET('FPSO1 Base'!O119,-'FPSO1 Otim'!O$3,0))</f>
        <v>787.47600000000011</v>
      </c>
      <c r="P122" s="19">
        <f ca="1">IF($A122-P$3&lt;2,0,OFFSET('FPSO1 Base'!P119,-'FPSO1 Otim'!P$3,0))</f>
        <v>286.452</v>
      </c>
      <c r="Q122" s="19">
        <f ca="1">IF($A122-Q$3&lt;2,0,OFFSET('FPSO1 Base'!Q119,-'FPSO1 Otim'!Q$3,0))</f>
        <v>442.23449999999997</v>
      </c>
      <c r="R122" s="19">
        <f ca="1">IF($A122-R$3&lt;2,0,OFFSET('FPSO1 Base'!R119,-'FPSO1 Otim'!R$3,0))</f>
        <v>178.209</v>
      </c>
      <c r="S122" s="19">
        <f ca="1">IF($A122-S$3&lt;2,0,OFFSET('FPSO1 Base'!S119,-'FPSO1 Otim'!S$3,0))</f>
        <v>666.43500000000006</v>
      </c>
      <c r="T122" s="19">
        <f ca="1">IF($A122-T$3&lt;2,0,OFFSET('FPSO1 Base'!T119,-'FPSO1 Otim'!T$3,0))</f>
        <v>657.88350000000003</v>
      </c>
      <c r="U122" s="19">
        <f ca="1">IF($A122-U$3&lt;2,0,OFFSET('FPSO1 Base'!U119,-'FPSO1 Otim'!U$3,0))</f>
        <v>644.34749999999997</v>
      </c>
      <c r="V122" s="19">
        <f ca="1">IF($A122-V$3&lt;2,0,OFFSET('FPSO1 Base'!V119,-'FPSO1 Otim'!V$3,0))</f>
        <v>917.85450000000003</v>
      </c>
      <c r="W122" s="19">
        <f ca="1">IF($A122-W$3&lt;2,0,OFFSET('FPSO1 Base'!W119,-'FPSO1 Otim'!W$3,0))</f>
        <v>376.185</v>
      </c>
      <c r="X122" s="19">
        <f ca="1">IF($A122-X$3&lt;2,0,OFFSET('FPSO1 Base'!X119,-'FPSO1 Otim'!X$3,0))</f>
        <v>1241.25</v>
      </c>
      <c r="Y122" s="19">
        <f ca="1">IF($A122-Y$3&lt;2,0,OFFSET('FPSO1 Base'!Y119,-'FPSO1 Otim'!Y$3,0))</f>
        <v>535.45650000000001</v>
      </c>
      <c r="Z122" s="19">
        <f ca="1">IF($A122-Z$3&lt;2,0,OFFSET('FPSO1 Base'!Z119,-'FPSO1 Otim'!Z$3,0))</f>
        <v>789.25650000000007</v>
      </c>
      <c r="AA122" s="20">
        <v>15000</v>
      </c>
      <c r="AB122" s="19">
        <f t="shared" ca="1" si="7"/>
        <v>14210.148599999999</v>
      </c>
      <c r="AC122" s="20">
        <f t="shared" ca="1" si="8"/>
        <v>789.85140000000138</v>
      </c>
      <c r="AD122" s="19">
        <f t="shared" ca="1" si="9"/>
        <v>5426.504960203777</v>
      </c>
    </row>
    <row r="123" spans="1:30" x14ac:dyDescent="0.25">
      <c r="A123" s="19">
        <v>119</v>
      </c>
      <c r="B123" s="31">
        <v>49218</v>
      </c>
      <c r="C123" s="19">
        <f ca="1">IF($A123-C$3&lt;2,0,OFFSET('FPSO1 Base'!C120,-'FPSO1 Otim'!C$3,0))</f>
        <v>1523.6505000000002</v>
      </c>
      <c r="D123" s="19">
        <f ca="1">IF($A123-D$3&lt;2,0,OFFSET('FPSO1 Base'!D120,-'FPSO1 Otim'!D$3,0))</f>
        <v>308.70299999999997</v>
      </c>
      <c r="E123" s="19">
        <f ca="1">IF($A123-E$3&lt;2,0,OFFSET('FPSO1 Base'!E120,-'FPSO1 Otim'!E$3,0))</f>
        <v>628.64549999999997</v>
      </c>
      <c r="F123" s="19">
        <f ca="1">IF($A123-F$3&lt;2,0,OFFSET('FPSO1 Base'!F120,-'FPSO1 Otim'!F$3,0))</f>
        <v>847.25850000000014</v>
      </c>
      <c r="G123" s="19">
        <f ca="1">IF($A123-G$3&lt;2,0,OFFSET('FPSO1 Base'!G120,-'FPSO1 Otim'!G$3,0))</f>
        <v>260.26349999999996</v>
      </c>
      <c r="H123" s="19">
        <f ca="1">IF($A123-H$3&lt;2,0,OFFSET('FPSO1 Base'!H120,-'FPSO1 Otim'!H$3,0))</f>
        <v>806.32499999999993</v>
      </c>
      <c r="I123" s="19">
        <f ca="1">IF($A123-I$3&lt;2,0,OFFSET('FPSO1 Base'!I120,-'FPSO1 Otim'!I$3,0))</f>
        <v>0</v>
      </c>
      <c r="J123" s="19">
        <f ca="1">IF($A123-J$3&lt;2,0,OFFSET('FPSO1 Base'!J120,-'FPSO1 Otim'!J$3,0))</f>
        <v>359.85449999999997</v>
      </c>
      <c r="K123" s="19">
        <f ca="1">IF($A123-K$3&lt;2,0,OFFSET('FPSO1 Base'!K120,-'FPSO1 Otim'!K$3,0))</f>
        <v>476.29200000000003</v>
      </c>
      <c r="L123" s="19">
        <f ca="1">IF($A123-L$3&lt;2,0,OFFSET('FPSO1 Base'!L120,-'FPSO1 Otim'!L$3,0))</f>
        <v>655.923</v>
      </c>
      <c r="M123" s="19">
        <f ca="1">IF($A123-M$3&lt;2,0,OFFSET('FPSO1 Base'!M120,-'FPSO1 Otim'!M$3,0))</f>
        <v>667.101</v>
      </c>
      <c r="N123" s="19">
        <f ca="1">IF($A123-N$3&lt;2,0,OFFSET('FPSO1 Base'!N120,-'FPSO1 Otim'!N$3,0))</f>
        <v>105.70155</v>
      </c>
      <c r="O123" s="19">
        <f ca="1">IF($A123-O$3&lt;2,0,OFFSET('FPSO1 Base'!O120,-'FPSO1 Otim'!O$3,0))</f>
        <v>776.78250000000003</v>
      </c>
      <c r="P123" s="19">
        <f ca="1">IF($A123-P$3&lt;2,0,OFFSET('FPSO1 Base'!P120,-'FPSO1 Otim'!P$3,0))</f>
        <v>285.27449999999999</v>
      </c>
      <c r="Q123" s="19">
        <f ca="1">IF($A123-Q$3&lt;2,0,OFFSET('FPSO1 Base'!Q120,-'FPSO1 Otim'!Q$3,0))</f>
        <v>442.5675</v>
      </c>
      <c r="R123" s="19">
        <f ca="1">IF($A123-R$3&lt;2,0,OFFSET('FPSO1 Base'!R120,-'FPSO1 Otim'!R$3,0))</f>
        <v>176.14350000000002</v>
      </c>
      <c r="S123" s="19">
        <f ca="1">IF($A123-S$3&lt;2,0,OFFSET('FPSO1 Base'!S120,-'FPSO1 Otim'!S$3,0))</f>
        <v>662.49149999999997</v>
      </c>
      <c r="T123" s="19">
        <f ca="1">IF($A123-T$3&lt;2,0,OFFSET('FPSO1 Base'!T120,-'FPSO1 Otim'!T$3,0))</f>
        <v>659.44350000000009</v>
      </c>
      <c r="U123" s="19">
        <f ca="1">IF($A123-U$3&lt;2,0,OFFSET('FPSO1 Base'!U120,-'FPSO1 Otim'!U$3,0))</f>
        <v>642.32100000000003</v>
      </c>
      <c r="V123" s="19">
        <f ca="1">IF($A123-V$3&lt;2,0,OFFSET('FPSO1 Base'!V120,-'FPSO1 Otim'!V$3,0))</f>
        <v>913.452</v>
      </c>
      <c r="W123" s="19">
        <f ca="1">IF($A123-W$3&lt;2,0,OFFSET('FPSO1 Base'!W120,-'FPSO1 Otim'!W$3,0))</f>
        <v>374.18700000000001</v>
      </c>
      <c r="X123" s="19">
        <f ca="1">IF($A123-X$3&lt;2,0,OFFSET('FPSO1 Base'!X120,-'FPSO1 Otim'!X$3,0))</f>
        <v>1239.2745</v>
      </c>
      <c r="Y123" s="19">
        <f ca="1">IF($A123-Y$3&lt;2,0,OFFSET('FPSO1 Base'!Y120,-'FPSO1 Otim'!Y$3,0))</f>
        <v>535.23450000000003</v>
      </c>
      <c r="Z123" s="19">
        <f ca="1">IF($A123-Z$3&lt;2,0,OFFSET('FPSO1 Base'!Z120,-'FPSO1 Otim'!Z$3,0))</f>
        <v>781.46399999999994</v>
      </c>
      <c r="AA123" s="20">
        <v>15000</v>
      </c>
      <c r="AB123" s="19">
        <f t="shared" ca="1" si="7"/>
        <v>14128.354049999998</v>
      </c>
      <c r="AC123" s="20">
        <f t="shared" ca="1" si="8"/>
        <v>871.6459500000019</v>
      </c>
      <c r="AD123" s="19">
        <f t="shared" ca="1" si="9"/>
        <v>5350.6806354345863</v>
      </c>
    </row>
    <row r="124" spans="1:30" x14ac:dyDescent="0.25">
      <c r="A124" s="19">
        <v>120</v>
      </c>
      <c r="B124" s="31">
        <v>49249</v>
      </c>
      <c r="C124" s="19">
        <f ca="1">IF($A124-C$3&lt;2,0,OFFSET('FPSO1 Base'!C121,-'FPSO1 Otim'!C$3,0))</f>
        <v>1521.0450000000001</v>
      </c>
      <c r="D124" s="19">
        <f ca="1">IF($A124-D$3&lt;2,0,OFFSET('FPSO1 Base'!D121,-'FPSO1 Otim'!D$3,0))</f>
        <v>305.56200000000001</v>
      </c>
      <c r="E124" s="19">
        <f ca="1">IF($A124-E$3&lt;2,0,OFFSET('FPSO1 Base'!E121,-'FPSO1 Otim'!E$3,0))</f>
        <v>626.84550000000002</v>
      </c>
      <c r="F124" s="19">
        <f ca="1">IF($A124-F$3&lt;2,0,OFFSET('FPSO1 Base'!F121,-'FPSO1 Otim'!F$3,0))</f>
        <v>843.22499999999991</v>
      </c>
      <c r="G124" s="19">
        <f ca="1">IF($A124-G$3&lt;2,0,OFFSET('FPSO1 Base'!G121,-'FPSO1 Otim'!G$3,0))</f>
        <v>257.75400000000002</v>
      </c>
      <c r="H124" s="19">
        <f ca="1">IF($A124-H$3&lt;2,0,OFFSET('FPSO1 Base'!H121,-'FPSO1 Otim'!H$3,0))</f>
        <v>802.96949999999993</v>
      </c>
      <c r="I124" s="19">
        <f ca="1">IF($A124-I$3&lt;2,0,OFFSET('FPSO1 Base'!I121,-'FPSO1 Otim'!I$3,0))</f>
        <v>0</v>
      </c>
      <c r="J124" s="19">
        <f ca="1">IF($A124-J$3&lt;2,0,OFFSET('FPSO1 Base'!J121,-'FPSO1 Otim'!J$3,0))</f>
        <v>358.54949999999997</v>
      </c>
      <c r="K124" s="19">
        <f ca="1">IF($A124-K$3&lt;2,0,OFFSET('FPSO1 Base'!K121,-'FPSO1 Otim'!K$3,0))</f>
        <v>474.47249999999997</v>
      </c>
      <c r="L124" s="19">
        <f ca="1">IF($A124-L$3&lt;2,0,OFFSET('FPSO1 Base'!L121,-'FPSO1 Otim'!L$3,0))</f>
        <v>650.86649999999997</v>
      </c>
      <c r="M124" s="19">
        <f ca="1">IF($A124-M$3&lt;2,0,OFFSET('FPSO1 Base'!M121,-'FPSO1 Otim'!M$3,0))</f>
        <v>664.28700000000003</v>
      </c>
      <c r="N124" s="19">
        <f ca="1">IF($A124-N$3&lt;2,0,OFFSET('FPSO1 Base'!N121,-'FPSO1 Otim'!N$3,0))</f>
        <v>104.57505</v>
      </c>
      <c r="O124" s="19">
        <f ca="1">IF($A124-O$3&lt;2,0,OFFSET('FPSO1 Base'!O121,-'FPSO1 Otim'!O$3,0))</f>
        <v>764.08949999999993</v>
      </c>
      <c r="P124" s="19">
        <f ca="1">IF($A124-P$3&lt;2,0,OFFSET('FPSO1 Base'!P121,-'FPSO1 Otim'!P$3,0))</f>
        <v>285.024</v>
      </c>
      <c r="Q124" s="19">
        <f ca="1">IF($A124-Q$3&lt;2,0,OFFSET('FPSO1 Base'!Q121,-'FPSO1 Otim'!Q$3,0))</f>
        <v>442.77750000000003</v>
      </c>
      <c r="R124" s="19">
        <f ca="1">IF($A124-R$3&lt;2,0,OFFSET('FPSO1 Base'!R121,-'FPSO1 Otim'!R$3,0))</f>
        <v>174.5565</v>
      </c>
      <c r="S124" s="19">
        <f ca="1">IF($A124-S$3&lt;2,0,OFFSET('FPSO1 Base'!S121,-'FPSO1 Otim'!S$3,0))</f>
        <v>659.35950000000003</v>
      </c>
      <c r="T124" s="19">
        <f ca="1">IF($A124-T$3&lt;2,0,OFFSET('FPSO1 Base'!T121,-'FPSO1 Otim'!T$3,0))</f>
        <v>661.25850000000003</v>
      </c>
      <c r="U124" s="19">
        <f ca="1">IF($A124-U$3&lt;2,0,OFFSET('FPSO1 Base'!U121,-'FPSO1 Otim'!U$3,0))</f>
        <v>640.74149999999997</v>
      </c>
      <c r="V124" s="19">
        <f ca="1">IF($A124-V$3&lt;2,0,OFFSET('FPSO1 Base'!V121,-'FPSO1 Otim'!V$3,0))</f>
        <v>908.7494999999999</v>
      </c>
      <c r="W124" s="19">
        <f ca="1">IF($A124-W$3&lt;2,0,OFFSET('FPSO1 Base'!W121,-'FPSO1 Otim'!W$3,0))</f>
        <v>372.387</v>
      </c>
      <c r="X124" s="19">
        <f ca="1">IF($A124-X$3&lt;2,0,OFFSET('FPSO1 Base'!X121,-'FPSO1 Otim'!X$3,0))</f>
        <v>1237.452</v>
      </c>
      <c r="Y124" s="19">
        <f ca="1">IF($A124-Y$3&lt;2,0,OFFSET('FPSO1 Base'!Y121,-'FPSO1 Otim'!Y$3,0))</f>
        <v>534.86850000000004</v>
      </c>
      <c r="Z124" s="19">
        <f ca="1">IF($A124-Z$3&lt;2,0,OFFSET('FPSO1 Base'!Z121,-'FPSO1 Otim'!Z$3,0))</f>
        <v>773.91000000000008</v>
      </c>
      <c r="AA124" s="20">
        <v>15000</v>
      </c>
      <c r="AB124" s="19">
        <f ca="1">SUM(C124:Z124)</f>
        <v>14065.325550000001</v>
      </c>
      <c r="AC124" s="20">
        <f t="shared" ca="1" si="8"/>
        <v>934.67444999999861</v>
      </c>
      <c r="AD124" s="19">
        <f t="shared" ca="1" si="9"/>
        <v>5282.7872973102139</v>
      </c>
    </row>
    <row r="125" spans="1:30" x14ac:dyDescent="0.25">
      <c r="A125" s="19">
        <v>121</v>
      </c>
      <c r="B125" s="31">
        <v>49279</v>
      </c>
      <c r="C125" s="19">
        <f ca="1">IF($A125-C$3&lt;2,0,OFFSET('FPSO1 Base'!C122,-'FPSO1 Otim'!C$3,0))</f>
        <v>1518.3344999999999</v>
      </c>
      <c r="D125" s="19">
        <f ca="1">IF($A125-D$3&lt;2,0,OFFSET('FPSO1 Base'!D122,-'FPSO1 Otim'!D$3,0))</f>
        <v>302.85599999999999</v>
      </c>
      <c r="E125" s="19">
        <f ca="1">IF($A125-E$3&lt;2,0,OFFSET('FPSO1 Base'!E122,-'FPSO1 Otim'!E$3,0))</f>
        <v>625.30649999999991</v>
      </c>
      <c r="F125" s="19">
        <f ca="1">IF($A125-F$3&lt;2,0,OFFSET('FPSO1 Base'!F122,-'FPSO1 Otim'!F$3,0))</f>
        <v>839.553</v>
      </c>
      <c r="G125" s="19">
        <f ca="1">IF($A125-G$3&lt;2,0,OFFSET('FPSO1 Base'!G122,-'FPSO1 Otim'!G$3,0))</f>
        <v>254.94749999999999</v>
      </c>
      <c r="H125" s="19">
        <f ca="1">IF($A125-H$3&lt;2,0,OFFSET('FPSO1 Base'!H122,-'FPSO1 Otim'!H$3,0))</f>
        <v>799.73399999999992</v>
      </c>
      <c r="I125" s="19">
        <f ca="1">IF($A125-I$3&lt;2,0,OFFSET('FPSO1 Base'!I122,-'FPSO1 Otim'!I$3,0))</f>
        <v>14.125005</v>
      </c>
      <c r="J125" s="19">
        <f ca="1">IF($A125-J$3&lt;2,0,OFFSET('FPSO1 Base'!J122,-'FPSO1 Otim'!J$3,0))</f>
        <v>357.315</v>
      </c>
      <c r="K125" s="19">
        <f ca="1">IF($A125-K$3&lt;2,0,OFFSET('FPSO1 Base'!K122,-'FPSO1 Otim'!K$3,0))</f>
        <v>472.54950000000002</v>
      </c>
      <c r="L125" s="19">
        <f ca="1">IF($A125-L$3&lt;2,0,OFFSET('FPSO1 Base'!L122,-'FPSO1 Otim'!L$3,0))</f>
        <v>645.29700000000003</v>
      </c>
      <c r="M125" s="19">
        <f ca="1">IF($A125-M$3&lt;2,0,OFFSET('FPSO1 Base'!M122,-'FPSO1 Otim'!M$3,0))</f>
        <v>661.70550000000003</v>
      </c>
      <c r="N125" s="19">
        <f ca="1">IF($A125-N$3&lt;2,0,OFFSET('FPSO1 Base'!N122,-'FPSO1 Otim'!N$3,0))</f>
        <v>103.52414999999999</v>
      </c>
      <c r="O125" s="19">
        <f ca="1">IF($A125-O$3&lt;2,0,OFFSET('FPSO1 Base'!O122,-'FPSO1 Otim'!O$3,0))</f>
        <v>755.75850000000003</v>
      </c>
      <c r="P125" s="19">
        <f ca="1">IF($A125-P$3&lt;2,0,OFFSET('FPSO1 Base'!P122,-'FPSO1 Otim'!P$3,0))</f>
        <v>284.8245</v>
      </c>
      <c r="Q125" s="19">
        <f ca="1">IF($A125-Q$3&lt;2,0,OFFSET('FPSO1 Base'!Q122,-'FPSO1 Otim'!Q$3,0))</f>
        <v>442.98749999999995</v>
      </c>
      <c r="R125" s="19">
        <f ca="1">IF($A125-R$3&lt;2,0,OFFSET('FPSO1 Base'!R122,-'FPSO1 Otim'!R$3,0))</f>
        <v>172.6995</v>
      </c>
      <c r="S125" s="19">
        <f ca="1">IF($A125-S$3&lt;2,0,OFFSET('FPSO1 Base'!S122,-'FPSO1 Otim'!S$3,0))</f>
        <v>655.78800000000001</v>
      </c>
      <c r="T125" s="19">
        <f ca="1">IF($A125-T$3&lt;2,0,OFFSET('FPSO1 Base'!T122,-'FPSO1 Otim'!T$3,0))</f>
        <v>662.47950000000003</v>
      </c>
      <c r="U125" s="19">
        <f ca="1">IF($A125-U$3&lt;2,0,OFFSET('FPSO1 Base'!U122,-'FPSO1 Otim'!U$3,0))</f>
        <v>638.84999999999991</v>
      </c>
      <c r="V125" s="19">
        <f ca="1">IF($A125-V$3&lt;2,0,OFFSET('FPSO1 Base'!V122,-'FPSO1 Otim'!V$3,0))</f>
        <v>904.548</v>
      </c>
      <c r="W125" s="19">
        <f ca="1">IF($A125-W$3&lt;2,0,OFFSET('FPSO1 Base'!W122,-'FPSO1 Otim'!W$3,0))</f>
        <v>370.584</v>
      </c>
      <c r="X125" s="19">
        <f ca="1">IF($A125-X$3&lt;2,0,OFFSET('FPSO1 Base'!X122,-'FPSO1 Otim'!X$3,0))</f>
        <v>1235.3505</v>
      </c>
      <c r="Y125" s="19">
        <f ca="1">IF($A125-Y$3&lt;2,0,OFFSET('FPSO1 Base'!Y122,-'FPSO1 Otim'!Y$3,0))</f>
        <v>534.39300000000003</v>
      </c>
      <c r="Z125" s="19">
        <f ca="1">IF($A125-Z$3&lt;2,0,OFFSET('FPSO1 Base'!Z122,-'FPSO1 Otim'!Z$3,0))</f>
        <v>766.32449999999994</v>
      </c>
      <c r="AA125" s="20">
        <v>15000</v>
      </c>
      <c r="AB125" s="19">
        <f t="shared" ca="1" si="7"/>
        <v>14019.835155000002</v>
      </c>
      <c r="AC125" s="20">
        <f t="shared" ca="1" si="8"/>
        <v>980.16484499999751</v>
      </c>
      <c r="AD125" s="19">
        <f t="shared" ca="1" si="9"/>
        <v>5222.1833918482798</v>
      </c>
    </row>
    <row r="126" spans="1:30" x14ac:dyDescent="0.25">
      <c r="A126" s="19">
        <v>122</v>
      </c>
      <c r="B126" s="31">
        <v>49310</v>
      </c>
      <c r="C126" s="19">
        <f ca="1">IF($A126-C$3&lt;2,0,OFFSET('FPSO1 Base'!C123,-'FPSO1 Otim'!C$3,0))</f>
        <v>1501.3110000000001</v>
      </c>
      <c r="D126" s="19">
        <f ca="1">IF($A126-D$3&lt;2,0,OFFSET('FPSO1 Base'!D123,-'FPSO1 Otim'!D$3,0))</f>
        <v>300.02100000000002</v>
      </c>
      <c r="E126" s="19">
        <f ca="1">IF($A126-E$3&lt;2,0,OFFSET('FPSO1 Base'!E123,-'FPSO1 Otim'!E$3,0))</f>
        <v>623.44949999999994</v>
      </c>
      <c r="F126" s="19">
        <f ca="1">IF($A126-F$3&lt;2,0,OFFSET('FPSO1 Base'!F123,-'FPSO1 Otim'!F$3,0))</f>
        <v>835.57499999999993</v>
      </c>
      <c r="G126" s="19">
        <f ca="1">IF($A126-G$3&lt;2,0,OFFSET('FPSO1 Base'!G123,-'FPSO1 Otim'!G$3,0))</f>
        <v>252.80700000000002</v>
      </c>
      <c r="H126" s="19">
        <f ca="1">IF($A126-H$3&lt;2,0,OFFSET('FPSO1 Base'!H123,-'FPSO1 Otim'!H$3,0))</f>
        <v>796.6065000000001</v>
      </c>
      <c r="I126" s="19">
        <f ca="1">IF($A126-I$3&lt;2,0,OFFSET('FPSO1 Base'!I123,-'FPSO1 Otim'!I$3,0))</f>
        <v>650.625</v>
      </c>
      <c r="J126" s="19">
        <f ca="1">IF($A126-J$3&lt;2,0,OFFSET('FPSO1 Base'!J123,-'FPSO1 Otim'!J$3,0))</f>
        <v>356.12850000000003</v>
      </c>
      <c r="K126" s="19">
        <f ca="1">IF($A126-K$3&lt;2,0,OFFSET('FPSO1 Base'!K123,-'FPSO1 Otim'!K$3,0))</f>
        <v>470.8125</v>
      </c>
      <c r="L126" s="19">
        <f ca="1">IF($A126-L$3&lt;2,0,OFFSET('FPSO1 Base'!L123,-'FPSO1 Otim'!L$3,0))</f>
        <v>640.68149999999991</v>
      </c>
      <c r="M126" s="19">
        <f ca="1">IF($A126-M$3&lt;2,0,OFFSET('FPSO1 Base'!M123,-'FPSO1 Otim'!M$3,0))</f>
        <v>659.55</v>
      </c>
      <c r="N126" s="19">
        <f ca="1">IF($A126-N$3&lt;2,0,OFFSET('FPSO1 Base'!N123,-'FPSO1 Otim'!N$3,0))</f>
        <v>102.44999999999999</v>
      </c>
      <c r="O126" s="19">
        <f ca="1">IF($A126-O$3&lt;2,0,OFFSET('FPSO1 Base'!O123,-'FPSO1 Otim'!O$3,0))</f>
        <v>746.27549999999997</v>
      </c>
      <c r="P126" s="19">
        <f ca="1">IF($A126-P$3&lt;2,0,OFFSET('FPSO1 Base'!P123,-'FPSO1 Otim'!P$3,0))</f>
        <v>285.14550000000003</v>
      </c>
      <c r="Q126" s="19">
        <f ca="1">IF($A126-Q$3&lt;2,0,OFFSET('FPSO1 Base'!Q123,-'FPSO1 Otim'!Q$3,0))</f>
        <v>443.14050000000003</v>
      </c>
      <c r="R126" s="19">
        <f ca="1">IF($A126-R$3&lt;2,0,OFFSET('FPSO1 Base'!R123,-'FPSO1 Otim'!R$3,0))</f>
        <v>170.976</v>
      </c>
      <c r="S126" s="19">
        <f ca="1">IF($A126-S$3&lt;2,0,OFFSET('FPSO1 Base'!S123,-'FPSO1 Otim'!S$3,0))</f>
        <v>652.53600000000006</v>
      </c>
      <c r="T126" s="19">
        <f ca="1">IF($A126-T$3&lt;2,0,OFFSET('FPSO1 Base'!T123,-'FPSO1 Otim'!T$3,0))</f>
        <v>663.82500000000005</v>
      </c>
      <c r="U126" s="19">
        <f ca="1">IF($A126-U$3&lt;2,0,OFFSET('FPSO1 Base'!U123,-'FPSO1 Otim'!U$3,0))</f>
        <v>637.20899999999995</v>
      </c>
      <c r="V126" s="19">
        <f ca="1">IF($A126-V$3&lt;2,0,OFFSET('FPSO1 Base'!V123,-'FPSO1 Otim'!V$3,0))</f>
        <v>900</v>
      </c>
      <c r="W126" s="19">
        <f ca="1">IF($A126-W$3&lt;2,0,OFFSET('FPSO1 Base'!W123,-'FPSO1 Otim'!W$3,0))</f>
        <v>368.67449999999997</v>
      </c>
      <c r="X126" s="19">
        <f ca="1">IF($A126-X$3&lt;2,0,OFFSET('FPSO1 Base'!X123,-'FPSO1 Otim'!X$3,0))</f>
        <v>1231.2090000000001</v>
      </c>
      <c r="Y126" s="19">
        <f ca="1">IF($A126-Y$3&lt;2,0,OFFSET('FPSO1 Base'!Y123,-'FPSO1 Otim'!Y$3,0))</f>
        <v>533.82449999999994</v>
      </c>
      <c r="Z126" s="19">
        <f ca="1">IF($A126-Z$3&lt;2,0,OFFSET('FPSO1 Base'!Z123,-'FPSO1 Otim'!Z$3,0))</f>
        <v>759.56850000000009</v>
      </c>
      <c r="AA126" s="20">
        <v>15000</v>
      </c>
      <c r="AB126" s="19">
        <f ca="1">SUM(C126:Z126)</f>
        <v>14582.4015</v>
      </c>
      <c r="AC126" s="20">
        <f t="shared" ca="1" si="8"/>
        <v>417.59850000000006</v>
      </c>
      <c r="AD126" s="19">
        <f t="shared" ca="1" si="9"/>
        <v>5386.840781430079</v>
      </c>
    </row>
    <row r="127" spans="1:30" x14ac:dyDescent="0.25">
      <c r="A127" s="19">
        <v>123</v>
      </c>
      <c r="B127" s="31">
        <v>49341</v>
      </c>
      <c r="C127" s="19">
        <f ca="1">IF($A127-C$3&lt;2,0,OFFSET('FPSO1 Base'!C124,-'FPSO1 Otim'!C$3,0))</f>
        <v>1499.5815</v>
      </c>
      <c r="D127" s="19">
        <f ca="1">IF($A127-D$3&lt;2,0,OFFSET('FPSO1 Base'!D124,-'FPSO1 Otim'!D$3,0))</f>
        <v>297.13200000000001</v>
      </c>
      <c r="E127" s="19">
        <f ca="1">IF($A127-E$3&lt;2,0,OFFSET('FPSO1 Base'!E124,-'FPSO1 Otim'!E$3,0))</f>
        <v>621.73199999999997</v>
      </c>
      <c r="F127" s="19">
        <f ca="1">IF($A127-F$3&lt;2,0,OFFSET('FPSO1 Base'!F124,-'FPSO1 Otim'!F$3,0))</f>
        <v>826.33049999999992</v>
      </c>
      <c r="G127" s="19">
        <f ca="1">IF($A127-G$3&lt;2,0,OFFSET('FPSO1 Base'!G124,-'FPSO1 Otim'!G$3,0))</f>
        <v>250.64849999999998</v>
      </c>
      <c r="H127" s="19">
        <f ca="1">IF($A127-H$3&lt;2,0,OFFSET('FPSO1 Base'!H124,-'FPSO1 Otim'!H$3,0))</f>
        <v>793.44900000000007</v>
      </c>
      <c r="I127" s="19">
        <f ca="1">IF($A127-I$3&lt;2,0,OFFSET('FPSO1 Base'!I124,-'FPSO1 Otim'!I$3,0))</f>
        <v>797.40000000000009</v>
      </c>
      <c r="J127" s="19">
        <f ca="1">IF($A127-J$3&lt;2,0,OFFSET('FPSO1 Base'!J124,-'FPSO1 Otim'!J$3,0))</f>
        <v>354.79949999999997</v>
      </c>
      <c r="K127" s="19">
        <f ca="1">IF($A127-K$3&lt;2,0,OFFSET('FPSO1 Base'!K124,-'FPSO1 Otim'!K$3,0))</f>
        <v>469.34400000000005</v>
      </c>
      <c r="L127" s="19">
        <f ca="1">IF($A127-L$3&lt;2,0,OFFSET('FPSO1 Base'!L124,-'FPSO1 Otim'!L$3,0))</f>
        <v>635.54999999999995</v>
      </c>
      <c r="M127" s="19">
        <f ca="1">IF($A127-M$3&lt;2,0,OFFSET('FPSO1 Base'!M124,-'FPSO1 Otim'!M$3,0))</f>
        <v>656.37149999999997</v>
      </c>
      <c r="N127" s="19">
        <f ca="1">IF($A127-N$3&lt;2,0,OFFSET('FPSO1 Base'!N124,-'FPSO1 Otim'!N$3,0))</f>
        <v>101.41934999999999</v>
      </c>
      <c r="O127" s="19">
        <f ca="1">IF($A127-O$3&lt;2,0,OFFSET('FPSO1 Base'!O124,-'FPSO1 Otim'!O$3,0))</f>
        <v>737.322</v>
      </c>
      <c r="P127" s="19">
        <f ca="1">IF($A127-P$3&lt;2,0,OFFSET('FPSO1 Base'!P124,-'FPSO1 Otim'!P$3,0))</f>
        <v>285.048</v>
      </c>
      <c r="Q127" s="19">
        <f ca="1">IF($A127-Q$3&lt;2,0,OFFSET('FPSO1 Base'!Q124,-'FPSO1 Otim'!Q$3,0))</f>
        <v>443.28749999999997</v>
      </c>
      <c r="R127" s="19">
        <f ca="1">IF($A127-R$3&lt;2,0,OFFSET('FPSO1 Base'!R124,-'FPSO1 Otim'!R$3,0))</f>
        <v>169.17449999999999</v>
      </c>
      <c r="S127" s="19">
        <f ca="1">IF($A127-S$3&lt;2,0,OFFSET('FPSO1 Base'!S124,-'FPSO1 Otim'!S$3,0))</f>
        <v>648.94949999999994</v>
      </c>
      <c r="T127" s="19">
        <f ca="1">IF($A127-T$3&lt;2,0,OFFSET('FPSO1 Base'!T124,-'FPSO1 Otim'!T$3,0))</f>
        <v>664.86300000000006</v>
      </c>
      <c r="U127" s="19">
        <f ca="1">IF($A127-U$3&lt;2,0,OFFSET('FPSO1 Base'!U124,-'FPSO1 Otim'!U$3,0))</f>
        <v>635.40000000000009</v>
      </c>
      <c r="V127" s="19">
        <f ca="1">IF($A127-V$3&lt;2,0,OFFSET('FPSO1 Base'!V124,-'FPSO1 Otim'!V$3,0))</f>
        <v>888.43499999999995</v>
      </c>
      <c r="W127" s="19">
        <f ca="1">IF($A127-W$3&lt;2,0,OFFSET('FPSO1 Base'!W124,-'FPSO1 Otim'!W$3,0))</f>
        <v>366.99149999999997</v>
      </c>
      <c r="X127" s="19">
        <f ca="1">IF($A127-X$3&lt;2,0,OFFSET('FPSO1 Base'!X124,-'FPSO1 Otim'!X$3,0))</f>
        <v>1227.9435000000001</v>
      </c>
      <c r="Y127" s="19">
        <f ca="1">IF($A127-Y$3&lt;2,0,OFFSET('FPSO1 Base'!Y124,-'FPSO1 Otim'!Y$3,0))</f>
        <v>533.12549999999999</v>
      </c>
      <c r="Z127" s="19">
        <f ca="1">IF($A127-Z$3&lt;2,0,OFFSET('FPSO1 Base'!Z124,-'FPSO1 Otim'!Z$3,0))</f>
        <v>752.50649999999996</v>
      </c>
      <c r="AA127" s="20">
        <v>15000</v>
      </c>
      <c r="AB127" s="19">
        <f t="shared" ca="1" si="7"/>
        <v>14656.804349999999</v>
      </c>
      <c r="AC127" s="20">
        <f t="shared" ca="1" si="8"/>
        <v>343.19565000000148</v>
      </c>
      <c r="AD127" s="19">
        <f t="shared" ca="1" si="9"/>
        <v>5369.5792194553032</v>
      </c>
    </row>
    <row r="128" spans="1:30" x14ac:dyDescent="0.25">
      <c r="A128" s="19">
        <v>124</v>
      </c>
      <c r="B128" s="31">
        <v>49369</v>
      </c>
      <c r="C128" s="19">
        <f ca="1">IF($A128-C$3&lt;2,0,OFFSET('FPSO1 Base'!C125,-'FPSO1 Otim'!C$3,0))</f>
        <v>1497.4725000000001</v>
      </c>
      <c r="D128" s="19">
        <f ca="1">IF($A128-D$3&lt;2,0,OFFSET('FPSO1 Base'!D125,-'FPSO1 Otim'!D$3,0))</f>
        <v>294.39749999999998</v>
      </c>
      <c r="E128" s="19">
        <f ca="1">IF($A128-E$3&lt;2,0,OFFSET('FPSO1 Base'!E125,-'FPSO1 Otim'!E$3,0))</f>
        <v>619.85550000000001</v>
      </c>
      <c r="F128" s="19">
        <f ca="1">IF($A128-F$3&lt;2,0,OFFSET('FPSO1 Base'!F125,-'FPSO1 Otim'!F$3,0))</f>
        <v>822.66599999999994</v>
      </c>
      <c r="G128" s="19">
        <f ca="1">IF($A128-G$3&lt;2,0,OFFSET('FPSO1 Base'!G125,-'FPSO1 Otim'!G$3,0))</f>
        <v>248.67000000000002</v>
      </c>
      <c r="H128" s="19">
        <f ca="1">IF($A128-H$3&lt;2,0,OFFSET('FPSO1 Base'!H125,-'FPSO1 Otim'!H$3,0))</f>
        <v>790.69799999999987</v>
      </c>
      <c r="I128" s="19">
        <f ca="1">IF($A128-I$3&lt;2,0,OFFSET('FPSO1 Base'!I125,-'FPSO1 Otim'!I$3,0))</f>
        <v>812.14049999999997</v>
      </c>
      <c r="J128" s="19">
        <f ca="1">IF($A128-J$3&lt;2,0,OFFSET('FPSO1 Base'!J125,-'FPSO1 Otim'!J$3,0))</f>
        <v>353.589</v>
      </c>
      <c r="K128" s="19">
        <f ca="1">IF($A128-K$3&lt;2,0,OFFSET('FPSO1 Base'!K125,-'FPSO1 Otim'!K$3,0))</f>
        <v>467.17199999999997</v>
      </c>
      <c r="L128" s="19">
        <f ca="1">IF($A128-L$3&lt;2,0,OFFSET('FPSO1 Base'!L125,-'FPSO1 Otim'!L$3,0))</f>
        <v>630.822</v>
      </c>
      <c r="M128" s="19">
        <f ca="1">IF($A128-M$3&lt;2,0,OFFSET('FPSO1 Base'!M125,-'FPSO1 Otim'!M$3,0))</f>
        <v>653.91600000000005</v>
      </c>
      <c r="N128" s="19">
        <f ca="1">IF($A128-N$3&lt;2,0,OFFSET('FPSO1 Base'!N125,-'FPSO1 Otim'!N$3,0))</f>
        <v>100.42740000000001</v>
      </c>
      <c r="O128" s="19">
        <f ca="1">IF($A128-O$3&lt;2,0,OFFSET('FPSO1 Base'!O125,-'FPSO1 Otim'!O$3,0))</f>
        <v>726.40049999999997</v>
      </c>
      <c r="P128" s="19">
        <f ca="1">IF($A128-P$3&lt;2,0,OFFSET('FPSO1 Base'!P125,-'FPSO1 Otim'!P$3,0))</f>
        <v>284.8125</v>
      </c>
      <c r="Q128" s="19">
        <f ca="1">IF($A128-Q$3&lt;2,0,OFFSET('FPSO1 Base'!Q125,-'FPSO1 Otim'!Q$3,0))</f>
        <v>443.37150000000003</v>
      </c>
      <c r="R128" s="19">
        <f ca="1">IF($A128-R$3&lt;2,0,OFFSET('FPSO1 Base'!R125,-'FPSO1 Otim'!R$3,0))</f>
        <v>167.4915</v>
      </c>
      <c r="S128" s="19">
        <f ca="1">IF($A128-S$3&lt;2,0,OFFSET('FPSO1 Base'!S125,-'FPSO1 Otim'!S$3,0))</f>
        <v>645.43500000000006</v>
      </c>
      <c r="T128" s="19">
        <f ca="1">IF($A128-T$3&lt;2,0,OFFSET('FPSO1 Base'!T125,-'FPSO1 Otim'!T$3,0))</f>
        <v>665.91300000000001</v>
      </c>
      <c r="U128" s="19">
        <f ca="1">IF($A128-U$3&lt;2,0,OFFSET('FPSO1 Base'!U125,-'FPSO1 Otim'!U$3,0))</f>
        <v>633.726</v>
      </c>
      <c r="V128" s="19">
        <f ca="1">IF($A128-V$3&lt;2,0,OFFSET('FPSO1 Base'!V125,-'FPSO1 Otim'!V$3,0))</f>
        <v>884.12850000000003</v>
      </c>
      <c r="W128" s="19">
        <f ca="1">IF($A128-W$3&lt;2,0,OFFSET('FPSO1 Base'!W125,-'FPSO1 Otim'!W$3,0))</f>
        <v>365.14949999999999</v>
      </c>
      <c r="X128" s="19">
        <f ca="1">IF($A128-X$3&lt;2,0,OFFSET('FPSO1 Base'!X125,-'FPSO1 Otim'!X$3,0))</f>
        <v>1224.2684999999999</v>
      </c>
      <c r="Y128" s="19">
        <f ca="1">IF($A128-Y$3&lt;2,0,OFFSET('FPSO1 Base'!Y125,-'FPSO1 Otim'!Y$3,0))</f>
        <v>532.41600000000005</v>
      </c>
      <c r="Z128" s="19">
        <f ca="1">IF($A128-Z$3&lt;2,0,OFFSET('FPSO1 Base'!Z125,-'FPSO1 Otim'!Z$3,0))</f>
        <v>746.02649999999994</v>
      </c>
      <c r="AA128" s="20">
        <v>15000</v>
      </c>
      <c r="AB128" s="19">
        <f t="shared" ca="1" si="7"/>
        <v>14610.965399999997</v>
      </c>
      <c r="AC128" s="20">
        <f t="shared" ca="1" si="8"/>
        <v>389.03460000000268</v>
      </c>
      <c r="AD128" s="19">
        <f t="shared" ca="1" si="9"/>
        <v>5308.5480354749134</v>
      </c>
    </row>
    <row r="129" spans="1:30" x14ac:dyDescent="0.25">
      <c r="A129" s="19">
        <v>125</v>
      </c>
      <c r="B129" s="31">
        <v>49400</v>
      </c>
      <c r="C129" s="19">
        <f ca="1">IF($A129-C$3&lt;2,0,OFFSET('FPSO1 Base'!C126,-'FPSO1 Otim'!C$3,0))</f>
        <v>1495.3364999999999</v>
      </c>
      <c r="D129" s="19">
        <f ca="1">IF($A129-D$3&lt;2,0,OFFSET('FPSO1 Base'!D126,-'FPSO1 Otim'!D$3,0))</f>
        <v>291.78750000000002</v>
      </c>
      <c r="E129" s="19">
        <f ca="1">IF($A129-E$3&lt;2,0,OFFSET('FPSO1 Base'!E126,-'FPSO1 Otim'!E$3,0))</f>
        <v>618.03</v>
      </c>
      <c r="F129" s="19">
        <f ca="1">IF($A129-F$3&lt;2,0,OFFSET('FPSO1 Base'!F126,-'FPSO1 Otim'!F$3,0))</f>
        <v>819.01350000000002</v>
      </c>
      <c r="G129" s="19">
        <f ca="1">IF($A129-G$3&lt;2,0,OFFSET('FPSO1 Base'!G126,-'FPSO1 Otim'!G$3,0))</f>
        <v>246.75</v>
      </c>
      <c r="H129" s="19">
        <f ca="1">IF($A129-H$3&lt;2,0,OFFSET('FPSO1 Base'!H126,-'FPSO1 Otim'!H$3,0))</f>
        <v>788.0145</v>
      </c>
      <c r="I129" s="19">
        <f ca="1">IF($A129-I$3&lt;2,0,OFFSET('FPSO1 Base'!I126,-'FPSO1 Otim'!I$3,0))</f>
        <v>799.93499999999995</v>
      </c>
      <c r="J129" s="19">
        <f ca="1">IF($A129-J$3&lt;2,0,OFFSET('FPSO1 Base'!J126,-'FPSO1 Otim'!J$3,0))</f>
        <v>352.27499999999998</v>
      </c>
      <c r="K129" s="19">
        <f ca="1">IF($A129-K$3&lt;2,0,OFFSET('FPSO1 Base'!K126,-'FPSO1 Otim'!K$3,0))</f>
        <v>465.46500000000003</v>
      </c>
      <c r="L129" s="19">
        <f ca="1">IF($A129-L$3&lt;2,0,OFFSET('FPSO1 Base'!L126,-'FPSO1 Otim'!L$3,0))</f>
        <v>625.79999999999995</v>
      </c>
      <c r="M129" s="19">
        <f ca="1">IF($A129-M$3&lt;2,0,OFFSET('FPSO1 Base'!M126,-'FPSO1 Otim'!M$3,0))</f>
        <v>651.04049999999995</v>
      </c>
      <c r="N129" s="19">
        <f ca="1">IF($A129-N$3&lt;2,0,OFFSET('FPSO1 Base'!N126,-'FPSO1 Otim'!N$3,0))</f>
        <v>99.348150000000004</v>
      </c>
      <c r="O129" s="19">
        <f ca="1">IF($A129-O$3&lt;2,0,OFFSET('FPSO1 Base'!O126,-'FPSO1 Otim'!O$3,0))</f>
        <v>716.49149999999997</v>
      </c>
      <c r="P129" s="19">
        <f ca="1">IF($A129-P$3&lt;2,0,OFFSET('FPSO1 Base'!P126,-'FPSO1 Otim'!P$3,0))</f>
        <v>284.46750000000003</v>
      </c>
      <c r="Q129" s="19">
        <f ca="1">IF($A129-Q$3&lt;2,0,OFFSET('FPSO1 Base'!Q126,-'FPSO1 Otim'!Q$3,0))</f>
        <v>443.44350000000003</v>
      </c>
      <c r="R129" s="19">
        <f ca="1">IF($A129-R$3&lt;2,0,OFFSET('FPSO1 Base'!R126,-'FPSO1 Otim'!R$3,0))</f>
        <v>165.822</v>
      </c>
      <c r="S129" s="19">
        <f ca="1">IF($A129-S$3&lt;2,0,OFFSET('FPSO1 Base'!S126,-'FPSO1 Otim'!S$3,0))</f>
        <v>641.86649999999997</v>
      </c>
      <c r="T129" s="19">
        <f ca="1">IF($A129-T$3&lt;2,0,OFFSET('FPSO1 Base'!T126,-'FPSO1 Otim'!T$3,0))</f>
        <v>666.94350000000009</v>
      </c>
      <c r="U129" s="19">
        <f ca="1">IF($A129-U$3&lt;2,0,OFFSET('FPSO1 Base'!U126,-'FPSO1 Otim'!U$3,0))</f>
        <v>632.05649999999991</v>
      </c>
      <c r="V129" s="19">
        <f ca="1">IF($A129-V$3&lt;2,0,OFFSET('FPSO1 Base'!V126,-'FPSO1 Otim'!V$3,0))</f>
        <v>879.75</v>
      </c>
      <c r="W129" s="19">
        <f ca="1">IF($A129-W$3&lt;2,0,OFFSET('FPSO1 Base'!W126,-'FPSO1 Otim'!W$3,0))</f>
        <v>360.423</v>
      </c>
      <c r="X129" s="19">
        <f ca="1">IF($A129-X$3&lt;2,0,OFFSET('FPSO1 Base'!X126,-'FPSO1 Otim'!X$3,0))</f>
        <v>1221.4590000000001</v>
      </c>
      <c r="Y129" s="19">
        <f ca="1">IF($A129-Y$3&lt;2,0,OFFSET('FPSO1 Base'!Y126,-'FPSO1 Otim'!Y$3,0))</f>
        <v>531.55050000000006</v>
      </c>
      <c r="Z129" s="19">
        <f ca="1">IF($A129-Z$3&lt;2,0,OFFSET('FPSO1 Base'!Z126,-'FPSO1 Otim'!Z$3,0))</f>
        <v>739.99649999999997</v>
      </c>
      <c r="AA129" s="20">
        <v>15000</v>
      </c>
      <c r="AB129" s="19">
        <f t="shared" ca="1" si="7"/>
        <v>14537.06565</v>
      </c>
      <c r="AC129" s="20">
        <f t="shared" ca="1" si="8"/>
        <v>462.93434999999954</v>
      </c>
      <c r="AD129" s="19">
        <f t="shared" ca="1" si="9"/>
        <v>5238.0479132707533</v>
      </c>
    </row>
    <row r="130" spans="1:30" x14ac:dyDescent="0.25">
      <c r="A130" s="19">
        <v>126</v>
      </c>
      <c r="B130" s="31">
        <v>49430</v>
      </c>
      <c r="C130" s="19">
        <f ca="1">IF($A130-C$3&lt;2,0,OFFSET('FPSO1 Base'!C127,-'FPSO1 Otim'!C$3,0))</f>
        <v>1493.0294999999999</v>
      </c>
      <c r="D130" s="19">
        <f ca="1">IF($A130-D$3&lt;2,0,OFFSET('FPSO1 Base'!D127,-'FPSO1 Otim'!D$3,0))</f>
        <v>289.46550000000002</v>
      </c>
      <c r="E130" s="19">
        <f ca="1">IF($A130-E$3&lt;2,0,OFFSET('FPSO1 Base'!E127,-'FPSO1 Otim'!E$3,0))</f>
        <v>616.18500000000006</v>
      </c>
      <c r="F130" s="19">
        <f ca="1">IF($A130-F$3&lt;2,0,OFFSET('FPSO1 Base'!F127,-'FPSO1 Otim'!F$3,0))</f>
        <v>815.928</v>
      </c>
      <c r="G130" s="19">
        <f ca="1">IF($A130-G$3&lt;2,0,OFFSET('FPSO1 Base'!G127,-'FPSO1 Otim'!G$3,0))</f>
        <v>244.79399999999998</v>
      </c>
      <c r="H130" s="19">
        <f ca="1">IF($A130-H$3&lt;2,0,OFFSET('FPSO1 Base'!H127,-'FPSO1 Otim'!H$3,0))</f>
        <v>785.36849999999993</v>
      </c>
      <c r="I130" s="19">
        <f ca="1">IF($A130-I$3&lt;2,0,OFFSET('FPSO1 Base'!I127,-'FPSO1 Otim'!I$3,0))</f>
        <v>766.99199999999996</v>
      </c>
      <c r="J130" s="19">
        <f ca="1">IF($A130-J$3&lt;2,0,OFFSET('FPSO1 Base'!J127,-'FPSO1 Otim'!J$3,0))</f>
        <v>349.452</v>
      </c>
      <c r="K130" s="19">
        <f ca="1">IF($A130-K$3&lt;2,0,OFFSET('FPSO1 Base'!K127,-'FPSO1 Otim'!K$3,0))</f>
        <v>463.48050000000001</v>
      </c>
      <c r="L130" s="19">
        <f ca="1">IF($A130-L$3&lt;2,0,OFFSET('FPSO1 Base'!L127,-'FPSO1 Otim'!L$3,0))</f>
        <v>621.16949999999997</v>
      </c>
      <c r="M130" s="19">
        <f ca="1">IF($A130-M$3&lt;2,0,OFFSET('FPSO1 Base'!M127,-'FPSO1 Otim'!M$3,0))</f>
        <v>648.76199999999994</v>
      </c>
      <c r="N130" s="19">
        <f ca="1">IF($A130-N$3&lt;2,0,OFFSET('FPSO1 Base'!N127,-'FPSO1 Otim'!N$3,0))</f>
        <v>98.4435</v>
      </c>
      <c r="O130" s="19">
        <f ca="1">IF($A130-O$3&lt;2,0,OFFSET('FPSO1 Base'!O127,-'FPSO1 Otim'!O$3,0))</f>
        <v>707.03250000000003</v>
      </c>
      <c r="P130" s="19">
        <f ca="1">IF($A130-P$3&lt;2,0,OFFSET('FPSO1 Base'!P127,-'FPSO1 Otim'!P$3,0))</f>
        <v>283.97550000000001</v>
      </c>
      <c r="Q130" s="19">
        <f ca="1">IF($A130-Q$3&lt;2,0,OFFSET('FPSO1 Base'!Q127,-'FPSO1 Otim'!Q$3,0))</f>
        <v>443.50049999999999</v>
      </c>
      <c r="R130" s="19">
        <f ca="1">IF($A130-R$3&lt;2,0,OFFSET('FPSO1 Base'!R127,-'FPSO1 Otim'!R$3,0))</f>
        <v>164.14950000000002</v>
      </c>
      <c r="S130" s="19">
        <f ca="1">IF($A130-S$3&lt;2,0,OFFSET('FPSO1 Base'!S127,-'FPSO1 Otim'!S$3,0))</f>
        <v>638.05050000000006</v>
      </c>
      <c r="T130" s="19">
        <f ca="1">IF($A130-T$3&lt;2,0,OFFSET('FPSO1 Base'!T127,-'FPSO1 Otim'!T$3,0))</f>
        <v>667.851</v>
      </c>
      <c r="U130" s="19">
        <f ca="1">IF($A130-U$3&lt;2,0,OFFSET('FPSO1 Base'!U127,-'FPSO1 Otim'!U$3,0))</f>
        <v>630.25049999999999</v>
      </c>
      <c r="V130" s="19">
        <f ca="1">IF($A130-V$3&lt;2,0,OFFSET('FPSO1 Base'!V127,-'FPSO1 Otim'!V$3,0))</f>
        <v>876.14549999999997</v>
      </c>
      <c r="W130" s="19">
        <f ca="1">IF($A130-W$3&lt;2,0,OFFSET('FPSO1 Base'!W127,-'FPSO1 Otim'!W$3,0))</f>
        <v>358.536</v>
      </c>
      <c r="X130" s="19">
        <f ca="1">IF($A130-X$3&lt;2,0,OFFSET('FPSO1 Base'!X127,-'FPSO1 Otim'!X$3,0))</f>
        <v>1218.2505000000001</v>
      </c>
      <c r="Y130" s="19">
        <f ca="1">IF($A130-Y$3&lt;2,0,OFFSET('FPSO1 Base'!Y127,-'FPSO1 Otim'!Y$3,0))</f>
        <v>530.67899999999997</v>
      </c>
      <c r="Z130" s="19">
        <f ca="1">IF($A130-Z$3&lt;2,0,OFFSET('FPSO1 Base'!Z127,-'FPSO1 Otim'!Z$3,0))</f>
        <v>733.25249999999994</v>
      </c>
      <c r="AA130" s="20">
        <v>15000</v>
      </c>
      <c r="AB130" s="19">
        <f t="shared" ca="1" si="7"/>
        <v>14444.7435</v>
      </c>
      <c r="AC130" s="20">
        <f t="shared" ca="1" si="8"/>
        <v>555.25649999999951</v>
      </c>
      <c r="AD130" s="19">
        <f t="shared" ca="1" si="9"/>
        <v>5161.7673354885583</v>
      </c>
    </row>
    <row r="131" spans="1:30" x14ac:dyDescent="0.25">
      <c r="A131" s="19">
        <v>127</v>
      </c>
      <c r="B131" s="31">
        <v>49461</v>
      </c>
      <c r="C131" s="19">
        <f ca="1">IF($A131-C$3&lt;2,0,OFFSET('FPSO1 Base'!C128,-'FPSO1 Otim'!C$3,0))</f>
        <v>1490.7465</v>
      </c>
      <c r="D131" s="19">
        <f ca="1">IF($A131-D$3&lt;2,0,OFFSET('FPSO1 Base'!D128,-'FPSO1 Otim'!D$3,0))</f>
        <v>287.23950000000002</v>
      </c>
      <c r="E131" s="19">
        <f ca="1">IF($A131-E$3&lt;2,0,OFFSET('FPSO1 Base'!E128,-'FPSO1 Otim'!E$3,0))</f>
        <v>614.18700000000001</v>
      </c>
      <c r="F131" s="19">
        <f ca="1">IF($A131-F$3&lt;2,0,OFFSET('FPSO1 Base'!F128,-'FPSO1 Otim'!F$3,0))</f>
        <v>812.40000000000009</v>
      </c>
      <c r="G131" s="19">
        <f ca="1">IF($A131-G$3&lt;2,0,OFFSET('FPSO1 Base'!G128,-'FPSO1 Otim'!G$3,0))</f>
        <v>243.048</v>
      </c>
      <c r="H131" s="19">
        <f ca="1">IF($A131-H$3&lt;2,0,OFFSET('FPSO1 Base'!H128,-'FPSO1 Otim'!H$3,0))</f>
        <v>782.88599999999997</v>
      </c>
      <c r="I131" s="19">
        <f ca="1">IF($A131-I$3&lt;2,0,OFFSET('FPSO1 Base'!I128,-'FPSO1 Otim'!I$3,0))</f>
        <v>700.95899999999995</v>
      </c>
      <c r="J131" s="19">
        <f ca="1">IF($A131-J$3&lt;2,0,OFFSET('FPSO1 Base'!J128,-'FPSO1 Otim'!J$3,0))</f>
        <v>348.072</v>
      </c>
      <c r="K131" s="19">
        <f ca="1">IF($A131-K$3&lt;2,0,OFFSET('FPSO1 Base'!K128,-'FPSO1 Otim'!K$3,0))</f>
        <v>461.90999999999997</v>
      </c>
      <c r="L131" s="19">
        <f ca="1">IF($A131-L$3&lt;2,0,OFFSET('FPSO1 Base'!L128,-'FPSO1 Otim'!L$3,0))</f>
        <v>616.62149999999997</v>
      </c>
      <c r="M131" s="19">
        <f ca="1">IF($A131-M$3&lt;2,0,OFFSET('FPSO1 Base'!M128,-'FPSO1 Otim'!M$3,0))</f>
        <v>646.16249999999991</v>
      </c>
      <c r="N131" s="19">
        <f ca="1">IF($A131-N$3&lt;2,0,OFFSET('FPSO1 Base'!N128,-'FPSO1 Otim'!N$3,0))</f>
        <v>97.399950000000004</v>
      </c>
      <c r="O131" s="19">
        <f ca="1">IF($A131-O$3&lt;2,0,OFFSET('FPSO1 Base'!O128,-'FPSO1 Otim'!O$3,0))</f>
        <v>697.47450000000003</v>
      </c>
      <c r="P131" s="19">
        <f ca="1">IF($A131-P$3&lt;2,0,OFFSET('FPSO1 Base'!P128,-'FPSO1 Otim'!P$3,0))</f>
        <v>283.524</v>
      </c>
      <c r="Q131" s="19">
        <f ca="1">IF($A131-Q$3&lt;2,0,OFFSET('FPSO1 Base'!Q128,-'FPSO1 Otim'!Q$3,0))</f>
        <v>443.553</v>
      </c>
      <c r="R131" s="19">
        <f ca="1">IF($A131-R$3&lt;2,0,OFFSET('FPSO1 Base'!R128,-'FPSO1 Otim'!R$3,0))</f>
        <v>162.5805</v>
      </c>
      <c r="S131" s="19">
        <f ca="1">IF($A131-S$3&lt;2,0,OFFSET('FPSO1 Base'!S128,-'FPSO1 Otim'!S$3,0))</f>
        <v>558.85950000000003</v>
      </c>
      <c r="T131" s="19">
        <f ca="1">IF($A131-T$3&lt;2,0,OFFSET('FPSO1 Base'!T128,-'FPSO1 Otim'!T$3,0))</f>
        <v>668.7</v>
      </c>
      <c r="U131" s="19">
        <f ca="1">IF($A131-U$3&lt;2,0,OFFSET('FPSO1 Base'!U128,-'FPSO1 Otim'!U$3,0))</f>
        <v>628.69350000000009</v>
      </c>
      <c r="V131" s="19">
        <f ca="1">IF($A131-V$3&lt;2,0,OFFSET('FPSO1 Base'!V128,-'FPSO1 Otim'!V$3,0))</f>
        <v>871.9994999999999</v>
      </c>
      <c r="W131" s="19">
        <f ca="1">IF($A131-W$3&lt;2,0,OFFSET('FPSO1 Base'!W128,-'FPSO1 Otim'!W$3,0))</f>
        <v>356.70600000000002</v>
      </c>
      <c r="X131" s="19">
        <f ca="1">IF($A131-X$3&lt;2,0,OFFSET('FPSO1 Base'!X128,-'FPSO1 Otim'!X$3,0))</f>
        <v>1215.3389999999999</v>
      </c>
      <c r="Y131" s="19">
        <f ca="1">IF($A131-Y$3&lt;2,0,OFFSET('FPSO1 Base'!Y128,-'FPSO1 Otim'!Y$3,0))</f>
        <v>529.82100000000003</v>
      </c>
      <c r="Z131" s="19">
        <f ca="1">IF($A131-Z$3&lt;2,0,OFFSET('FPSO1 Base'!Z128,-'FPSO1 Otim'!Z$3,0))</f>
        <v>727.923</v>
      </c>
      <c r="AA131" s="20">
        <v>15000</v>
      </c>
      <c r="AB131" s="19">
        <f t="shared" ca="1" si="7"/>
        <v>14246.805450000002</v>
      </c>
      <c r="AC131" s="20">
        <f t="shared" ca="1" si="8"/>
        <v>753.19454999999834</v>
      </c>
      <c r="AD131" s="19">
        <f t="shared" ca="1" si="9"/>
        <v>5048.9603499637269</v>
      </c>
    </row>
    <row r="132" spans="1:30" x14ac:dyDescent="0.25">
      <c r="A132" s="19">
        <v>128</v>
      </c>
      <c r="B132" s="31">
        <v>49491</v>
      </c>
      <c r="C132" s="19">
        <f ca="1">IF($A132-C$3&lt;2,0,OFFSET('FPSO1 Base'!C129,-'FPSO1 Otim'!C$3,0))</f>
        <v>1488.3525</v>
      </c>
      <c r="D132" s="19">
        <f ca="1">IF($A132-D$3&lt;2,0,OFFSET('FPSO1 Base'!D129,-'FPSO1 Otim'!D$3,0))</f>
        <v>284.5575</v>
      </c>
      <c r="E132" s="19">
        <f ca="1">IF($A132-E$3&lt;2,0,OFFSET('FPSO1 Base'!E129,-'FPSO1 Otim'!E$3,0))</f>
        <v>612.62850000000003</v>
      </c>
      <c r="F132" s="19">
        <f ca="1">IF($A132-F$3&lt;2,0,OFFSET('FPSO1 Base'!F129,-'FPSO1 Otim'!F$3,0))</f>
        <v>809.178</v>
      </c>
      <c r="G132" s="19">
        <f ca="1">IF($A132-G$3&lt;2,0,OFFSET('FPSO1 Base'!G129,-'FPSO1 Otim'!G$3,0))</f>
        <v>241.33350000000002</v>
      </c>
      <c r="H132" s="19">
        <f ca="1">IF($A132-H$3&lt;2,0,OFFSET('FPSO1 Base'!H129,-'FPSO1 Otim'!H$3,0))</f>
        <v>780.43050000000005</v>
      </c>
      <c r="I132" s="19">
        <f ca="1">IF($A132-I$3&lt;2,0,OFFSET('FPSO1 Base'!I129,-'FPSO1 Otim'!I$3,0))</f>
        <v>671.27549999999997</v>
      </c>
      <c r="J132" s="19">
        <f ca="1">IF($A132-J$3&lt;2,0,OFFSET('FPSO1 Base'!J129,-'FPSO1 Otim'!J$3,0))</f>
        <v>346.73250000000002</v>
      </c>
      <c r="K132" s="19">
        <f ca="1">IF($A132-K$3&lt;2,0,OFFSET('FPSO1 Base'!K129,-'FPSO1 Otim'!K$3,0))</f>
        <v>460.08750000000003</v>
      </c>
      <c r="L132" s="19">
        <f ca="1">IF($A132-L$3&lt;2,0,OFFSET('FPSO1 Base'!L129,-'FPSO1 Otim'!L$3,0))</f>
        <v>611.86200000000008</v>
      </c>
      <c r="M132" s="19">
        <f ca="1">IF($A132-M$3&lt;2,0,OFFSET('FPSO1 Base'!M129,-'FPSO1 Otim'!M$3,0))</f>
        <v>643.76549999999997</v>
      </c>
      <c r="N132" s="19">
        <f ca="1">IF($A132-N$3&lt;2,0,OFFSET('FPSO1 Base'!N129,-'FPSO1 Otim'!N$3,0))</f>
        <v>96.459599999999995</v>
      </c>
      <c r="O132" s="19">
        <f ca="1">IF($A132-O$3&lt;2,0,OFFSET('FPSO1 Base'!O129,-'FPSO1 Otim'!O$3,0))</f>
        <v>689.10450000000003</v>
      </c>
      <c r="P132" s="19">
        <f ca="1">IF($A132-P$3&lt;2,0,OFFSET('FPSO1 Base'!P129,-'FPSO1 Otim'!P$3,0))</f>
        <v>282.9495</v>
      </c>
      <c r="Q132" s="19">
        <f ca="1">IF($A132-Q$3&lt;2,0,OFFSET('FPSO1 Base'!Q129,-'FPSO1 Otim'!Q$3,0))</f>
        <v>443.68799999999999</v>
      </c>
      <c r="R132" s="19">
        <f ca="1">IF($A132-R$3&lt;2,0,OFFSET('FPSO1 Base'!R129,-'FPSO1 Otim'!R$3,0))</f>
        <v>160.97549999999998</v>
      </c>
      <c r="S132" s="19">
        <f ca="1">IF($A132-S$3&lt;2,0,OFFSET('FPSO1 Base'!S129,-'FPSO1 Otim'!S$3,0))</f>
        <v>547.57500000000005</v>
      </c>
      <c r="T132" s="19">
        <f ca="1">IF($A132-T$3&lt;2,0,OFFSET('FPSO1 Base'!T129,-'FPSO1 Otim'!T$3,0))</f>
        <v>669.38699999999994</v>
      </c>
      <c r="U132" s="19">
        <f ca="1">IF($A132-U$3&lt;2,0,OFFSET('FPSO1 Base'!U129,-'FPSO1 Otim'!U$3,0))</f>
        <v>626.95049999999992</v>
      </c>
      <c r="V132" s="19">
        <f ca="1">IF($A132-V$3&lt;2,0,OFFSET('FPSO1 Base'!V129,-'FPSO1 Otim'!V$3,0))</f>
        <v>868.20900000000006</v>
      </c>
      <c r="W132" s="19">
        <f ca="1">IF($A132-W$3&lt;2,0,OFFSET('FPSO1 Base'!W129,-'FPSO1 Otim'!W$3,0))</f>
        <v>355.24649999999997</v>
      </c>
      <c r="X132" s="19">
        <f ca="1">IF($A132-X$3&lt;2,0,OFFSET('FPSO1 Base'!X129,-'FPSO1 Otim'!X$3,0))</f>
        <v>1212.2249999999999</v>
      </c>
      <c r="Y132" s="19">
        <f ca="1">IF($A132-Y$3&lt;2,0,OFFSET('FPSO1 Base'!Y129,-'FPSO1 Otim'!Y$3,0))</f>
        <v>528.78300000000002</v>
      </c>
      <c r="Z132" s="19">
        <f ca="1">IF($A132-Z$3&lt;2,0,OFFSET('FPSO1 Base'!Z129,-'FPSO1 Otim'!Z$3,0))</f>
        <v>721.91849999999999</v>
      </c>
      <c r="AA132" s="20">
        <v>15000</v>
      </c>
      <c r="AB132" s="19">
        <f t="shared" ca="1" si="7"/>
        <v>14153.675100000002</v>
      </c>
      <c r="AC132" s="20">
        <f t="shared" ca="1" si="8"/>
        <v>846.3248999999978</v>
      </c>
      <c r="AD132" s="19">
        <f t="shared" ca="1" si="9"/>
        <v>4974.5014776728549</v>
      </c>
    </row>
    <row r="133" spans="1:30" x14ac:dyDescent="0.25">
      <c r="A133" s="19">
        <v>129</v>
      </c>
      <c r="B133" s="31">
        <v>49522</v>
      </c>
      <c r="C133" s="19">
        <f ca="1">IF($A133-C$3&lt;2,0,OFFSET('FPSO1 Base'!C130,-'FPSO1 Otim'!C$3,0))</f>
        <v>1485.8475000000001</v>
      </c>
      <c r="D133" s="19">
        <f ca="1">IF($A133-D$3&lt;2,0,OFFSET('FPSO1 Base'!D130,-'FPSO1 Otim'!D$3,0))</f>
        <v>282.23099999999999</v>
      </c>
      <c r="E133" s="19">
        <f ca="1">IF($A133-E$3&lt;2,0,OFFSET('FPSO1 Base'!E130,-'FPSO1 Otim'!E$3,0))</f>
        <v>611.38799999999992</v>
      </c>
      <c r="F133" s="19">
        <f ca="1">IF($A133-F$3&lt;2,0,OFFSET('FPSO1 Base'!F130,-'FPSO1 Otim'!F$3,0))</f>
        <v>805.73700000000008</v>
      </c>
      <c r="G133" s="19">
        <f ca="1">IF($A133-G$3&lt;2,0,OFFSET('FPSO1 Base'!G130,-'FPSO1 Otim'!G$3,0))</f>
        <v>239.40450000000001</v>
      </c>
      <c r="H133" s="19">
        <f ca="1">IF($A133-H$3&lt;2,0,OFFSET('FPSO1 Base'!H130,-'FPSO1 Otim'!H$3,0))</f>
        <v>777.4665</v>
      </c>
      <c r="I133" s="19">
        <f ca="1">IF($A133-I$3&lt;2,0,OFFSET('FPSO1 Base'!I130,-'FPSO1 Otim'!I$3,0))</f>
        <v>648.12149999999997</v>
      </c>
      <c r="J133" s="19">
        <f ca="1">IF($A133-J$3&lt;2,0,OFFSET('FPSO1 Base'!J130,-'FPSO1 Otim'!J$3,0))</f>
        <v>345.58050000000003</v>
      </c>
      <c r="K133" s="19">
        <f ca="1">IF($A133-K$3&lt;2,0,OFFSET('FPSO1 Base'!K130,-'FPSO1 Otim'!K$3,0))</f>
        <v>458.4135</v>
      </c>
      <c r="L133" s="19">
        <f ca="1">IF($A133-L$3&lt;2,0,OFFSET('FPSO1 Base'!L130,-'FPSO1 Otim'!L$3,0))</f>
        <v>607.59749999999997</v>
      </c>
      <c r="M133" s="19">
        <f ca="1">IF($A133-M$3&lt;2,0,OFFSET('FPSO1 Base'!M130,-'FPSO1 Otim'!M$3,0))</f>
        <v>641.21250000000009</v>
      </c>
      <c r="N133" s="19">
        <f ca="1">IF($A133-N$3&lt;2,0,OFFSET('FPSO1 Base'!N130,-'FPSO1 Otim'!N$3,0))</f>
        <v>95.449950000000001</v>
      </c>
      <c r="O133" s="19">
        <f ca="1">IF($A133-O$3&lt;2,0,OFFSET('FPSO1 Base'!O130,-'FPSO1 Otim'!O$3,0))</f>
        <v>680.65049999999997</v>
      </c>
      <c r="P133" s="19">
        <f ca="1">IF($A133-P$3&lt;2,0,OFFSET('FPSO1 Base'!P130,-'FPSO1 Otim'!P$3,0))</f>
        <v>282.387</v>
      </c>
      <c r="Q133" s="19">
        <f ca="1">IF($A133-Q$3&lt;2,0,OFFSET('FPSO1 Base'!Q130,-'FPSO1 Otim'!Q$3,0))</f>
        <v>443.89050000000003</v>
      </c>
      <c r="R133" s="19">
        <f ca="1">IF($A133-R$3&lt;2,0,OFFSET('FPSO1 Base'!R130,-'FPSO1 Otim'!R$3,0))</f>
        <v>159.435</v>
      </c>
      <c r="S133" s="19">
        <f ca="1">IF($A133-S$3&lt;2,0,OFFSET('FPSO1 Base'!S130,-'FPSO1 Otim'!S$3,0))</f>
        <v>545.83050000000003</v>
      </c>
      <c r="T133" s="19">
        <f ca="1">IF($A133-T$3&lt;2,0,OFFSET('FPSO1 Base'!T130,-'FPSO1 Otim'!T$3,0))</f>
        <v>670.01250000000005</v>
      </c>
      <c r="U133" s="19">
        <f ca="1">IF($A133-U$3&lt;2,0,OFFSET('FPSO1 Base'!U130,-'FPSO1 Otim'!U$3,0))</f>
        <v>769.30649999999991</v>
      </c>
      <c r="V133" s="19">
        <f ca="1">IF($A133-V$3&lt;2,0,OFFSET('FPSO1 Base'!V130,-'FPSO1 Otim'!V$3,0))</f>
        <v>864.04950000000008</v>
      </c>
      <c r="W133" s="19">
        <f ca="1">IF($A133-W$3&lt;2,0,OFFSET('FPSO1 Base'!W130,-'FPSO1 Otim'!W$3,0))</f>
        <v>353.54999999999995</v>
      </c>
      <c r="X133" s="19">
        <f ca="1">IF($A133-X$3&lt;2,0,OFFSET('FPSO1 Base'!X130,-'FPSO1 Otim'!X$3,0))</f>
        <v>1209.2909999999999</v>
      </c>
      <c r="Y133" s="19">
        <f ca="1">IF($A133-Y$3&lt;2,0,OFFSET('FPSO1 Base'!Y130,-'FPSO1 Otim'!Y$3,0))</f>
        <v>527.94600000000003</v>
      </c>
      <c r="Z133" s="19">
        <f ca="1">IF($A133-Z$3&lt;2,0,OFFSET('FPSO1 Base'!Z130,-'FPSO1 Otim'!Z$3,0))</f>
        <v>716.53499999999997</v>
      </c>
      <c r="AA133" s="20">
        <v>15000</v>
      </c>
      <c r="AB133" s="19">
        <f t="shared" ca="1" si="7"/>
        <v>14221.333949999998</v>
      </c>
      <c r="AC133" s="20">
        <f t="shared" ca="1" si="8"/>
        <v>778.66605000000163</v>
      </c>
      <c r="AD133" s="19">
        <f t="shared" ca="1" si="9"/>
        <v>4956.9729917974446</v>
      </c>
    </row>
    <row r="134" spans="1:30" x14ac:dyDescent="0.25">
      <c r="A134" s="19">
        <v>130</v>
      </c>
      <c r="B134" s="31">
        <v>49553</v>
      </c>
      <c r="C134" s="19">
        <f ca="1">IF($A134-C$3&lt;2,0,OFFSET('FPSO1 Base'!C131,-'FPSO1 Otim'!C$3,0))</f>
        <v>1483.3980000000001</v>
      </c>
      <c r="D134" s="19">
        <f ca="1">IF($A134-D$3&lt;2,0,OFFSET('FPSO1 Base'!D131,-'FPSO1 Otim'!D$3,0))</f>
        <v>277.50450000000001</v>
      </c>
      <c r="E134" s="19">
        <f ca="1">IF($A134-E$3&lt;2,0,OFFSET('FPSO1 Base'!E131,-'FPSO1 Otim'!E$3,0))</f>
        <v>609.76199999999994</v>
      </c>
      <c r="F134" s="19">
        <f ca="1">IF($A134-F$3&lt;2,0,OFFSET('FPSO1 Base'!F131,-'FPSO1 Otim'!F$3,0))</f>
        <v>802.48799999999994</v>
      </c>
      <c r="G134" s="19">
        <f ca="1">IF($A134-G$3&lt;2,0,OFFSET('FPSO1 Base'!G131,-'FPSO1 Otim'!G$3,0))</f>
        <v>237.642</v>
      </c>
      <c r="H134" s="19">
        <f ca="1">IF($A134-H$3&lt;2,0,OFFSET('FPSO1 Base'!H131,-'FPSO1 Otim'!H$3,0))</f>
        <v>775.12649999999996</v>
      </c>
      <c r="I134" s="19">
        <f ca="1">IF($A134-I$3&lt;2,0,OFFSET('FPSO1 Base'!I131,-'FPSO1 Otim'!I$3,0))</f>
        <v>611.22450000000003</v>
      </c>
      <c r="J134" s="19">
        <f ca="1">IF($A134-J$3&lt;2,0,OFFSET('FPSO1 Base'!J131,-'FPSO1 Otim'!J$3,0))</f>
        <v>344.27549999999997</v>
      </c>
      <c r="K134" s="19">
        <f ca="1">IF($A134-K$3&lt;2,0,OFFSET('FPSO1 Base'!K131,-'FPSO1 Otim'!K$3,0))</f>
        <v>456.61950000000002</v>
      </c>
      <c r="L134" s="19">
        <f ca="1">IF($A134-L$3&lt;2,0,OFFSET('FPSO1 Base'!L131,-'FPSO1 Otim'!L$3,0))</f>
        <v>602.96250000000009</v>
      </c>
      <c r="M134" s="19">
        <f ca="1">IF($A134-M$3&lt;2,0,OFFSET('FPSO1 Base'!M131,-'FPSO1 Otim'!M$3,0))</f>
        <v>638.78250000000003</v>
      </c>
      <c r="N134" s="19">
        <f ca="1">IF($A134-N$3&lt;2,0,OFFSET('FPSO1 Base'!N131,-'FPSO1 Otim'!N$3,0))</f>
        <v>94.572599999999994</v>
      </c>
      <c r="O134" s="19">
        <f ca="1">IF($A134-O$3&lt;2,0,OFFSET('FPSO1 Base'!O131,-'FPSO1 Otim'!O$3,0))</f>
        <v>674.00850000000003</v>
      </c>
      <c r="P134" s="19">
        <f ca="1">IF($A134-P$3&lt;2,0,OFFSET('FPSO1 Base'!P131,-'FPSO1 Otim'!P$3,0))</f>
        <v>281.73450000000003</v>
      </c>
      <c r="Q134" s="19">
        <f ca="1">IF($A134-Q$3&lt;2,0,OFFSET('FPSO1 Base'!Q131,-'FPSO1 Otim'!Q$3,0))</f>
        <v>444.12150000000003</v>
      </c>
      <c r="R134" s="19">
        <f ca="1">IF($A134-R$3&lt;2,0,OFFSET('FPSO1 Base'!R131,-'FPSO1 Otim'!R$3,0))</f>
        <v>158.0085</v>
      </c>
      <c r="S134" s="19">
        <f ca="1">IF($A134-S$3&lt;2,0,OFFSET('FPSO1 Base'!S131,-'FPSO1 Otim'!S$3,0))</f>
        <v>542.90250000000003</v>
      </c>
      <c r="T134" s="19">
        <f ca="1">IF($A134-T$3&lt;2,0,OFFSET('FPSO1 Base'!T131,-'FPSO1 Otim'!T$3,0))</f>
        <v>670.53600000000006</v>
      </c>
      <c r="U134" s="19">
        <f ca="1">IF($A134-U$3&lt;2,0,OFFSET('FPSO1 Base'!U131,-'FPSO1 Otim'!U$3,0))</f>
        <v>783.84750000000008</v>
      </c>
      <c r="V134" s="19">
        <f ca="1">IF($A134-V$3&lt;2,0,OFFSET('FPSO1 Base'!V131,-'FPSO1 Otim'!V$3,0))</f>
        <v>860.22600000000011</v>
      </c>
      <c r="W134" s="19">
        <f ca="1">IF($A134-W$3&lt;2,0,OFFSET('FPSO1 Base'!W131,-'FPSO1 Otim'!W$3,0))</f>
        <v>352.041</v>
      </c>
      <c r="X134" s="19">
        <f ca="1">IF($A134-X$3&lt;2,0,OFFSET('FPSO1 Base'!X131,-'FPSO1 Otim'!X$3,0))</f>
        <v>1206.3389999999999</v>
      </c>
      <c r="Y134" s="19">
        <f ca="1">IF($A134-Y$3&lt;2,0,OFFSET('FPSO1 Base'!Y131,-'FPSO1 Otim'!Y$3,0))</f>
        <v>526.96800000000007</v>
      </c>
      <c r="Z134" s="19">
        <f ca="1">IF($A134-Z$3&lt;2,0,OFFSET('FPSO1 Base'!Z131,-'FPSO1 Otim'!Z$3,0))</f>
        <v>710.84400000000005</v>
      </c>
      <c r="AA134" s="20">
        <v>15000</v>
      </c>
      <c r="AB134" s="19">
        <f t="shared" ca="1" si="7"/>
        <v>14145.935099999999</v>
      </c>
      <c r="AC134" s="20">
        <f t="shared" ca="1" si="8"/>
        <v>854.06490000000122</v>
      </c>
      <c r="AD134" s="19">
        <f t="shared" ca="1" si="9"/>
        <v>4889.942528002276</v>
      </c>
    </row>
    <row r="135" spans="1:30" x14ac:dyDescent="0.25">
      <c r="A135" s="19">
        <v>131</v>
      </c>
      <c r="B135" s="31">
        <v>49583</v>
      </c>
      <c r="C135" s="19">
        <f ca="1">IF($A135-C$3&lt;2,0,OFFSET('FPSO1 Base'!C132,-'FPSO1 Otim'!C$3,0))</f>
        <v>1480.7909999999999</v>
      </c>
      <c r="D135" s="19">
        <f ca="1">IF($A135-D$3&lt;2,0,OFFSET('FPSO1 Base'!D132,-'FPSO1 Otim'!D$3,0))</f>
        <v>274.55399999999997</v>
      </c>
      <c r="E135" s="19">
        <f ca="1">IF($A135-E$3&lt;2,0,OFFSET('FPSO1 Base'!E132,-'FPSO1 Otim'!E$3,0))</f>
        <v>608.52750000000003</v>
      </c>
      <c r="F135" s="19">
        <f ca="1">IF($A135-F$3&lt;2,0,OFFSET('FPSO1 Base'!F132,-'FPSO1 Otim'!F$3,0))</f>
        <v>799.23450000000003</v>
      </c>
      <c r="G135" s="19">
        <f ca="1">IF($A135-G$3&lt;2,0,OFFSET('FPSO1 Base'!G132,-'FPSO1 Otim'!G$3,0))</f>
        <v>234.98400000000001</v>
      </c>
      <c r="H135" s="19">
        <f ca="1">IF($A135-H$3&lt;2,0,OFFSET('FPSO1 Base'!H132,-'FPSO1 Otim'!H$3,0))</f>
        <v>773.44950000000006</v>
      </c>
      <c r="I135" s="19">
        <f ca="1">IF($A135-I$3&lt;2,0,OFFSET('FPSO1 Base'!I132,-'FPSO1 Otim'!I$3,0))</f>
        <v>597.89549999999997</v>
      </c>
      <c r="J135" s="19">
        <f ca="1">IF($A135-J$3&lt;2,0,OFFSET('FPSO1 Base'!J132,-'FPSO1 Otim'!J$3,0))</f>
        <v>343.089</v>
      </c>
      <c r="K135" s="19">
        <f ca="1">IF($A135-K$3&lt;2,0,OFFSET('FPSO1 Base'!K132,-'FPSO1 Otim'!K$3,0))</f>
        <v>454.92899999999997</v>
      </c>
      <c r="L135" s="19">
        <f ca="1">IF($A135-L$3&lt;2,0,OFFSET('FPSO1 Base'!L132,-'FPSO1 Otim'!L$3,0))</f>
        <v>593.12850000000003</v>
      </c>
      <c r="M135" s="19">
        <f ca="1">IF($A135-M$3&lt;2,0,OFFSET('FPSO1 Base'!M132,-'FPSO1 Otim'!M$3,0))</f>
        <v>636.423</v>
      </c>
      <c r="N135" s="19">
        <f ca="1">IF($A135-N$3&lt;2,0,OFFSET('FPSO1 Base'!N132,-'FPSO1 Otim'!N$3,0))</f>
        <v>93.629100000000008</v>
      </c>
      <c r="O135" s="19">
        <f ca="1">IF($A135-O$3&lt;2,0,OFFSET('FPSO1 Base'!O132,-'FPSO1 Otim'!O$3,0))</f>
        <v>667.69350000000009</v>
      </c>
      <c r="P135" s="19">
        <f ca="1">IF($A135-P$3&lt;2,0,OFFSET('FPSO1 Base'!P132,-'FPSO1 Otim'!P$3,0))</f>
        <v>281.02499999999998</v>
      </c>
      <c r="Q135" s="19">
        <f ca="1">IF($A135-Q$3&lt;2,0,OFFSET('FPSO1 Base'!Q132,-'FPSO1 Otim'!Q$3,0))</f>
        <v>444.41549999999995</v>
      </c>
      <c r="R135" s="19">
        <f ca="1">IF($A135-R$3&lt;2,0,OFFSET('FPSO1 Base'!R132,-'FPSO1 Otim'!R$3,0))</f>
        <v>156.375</v>
      </c>
      <c r="S135" s="19">
        <f ca="1">IF($A135-S$3&lt;2,0,OFFSET('FPSO1 Base'!S132,-'FPSO1 Otim'!S$3,0))</f>
        <v>538.6875</v>
      </c>
      <c r="T135" s="19">
        <f ca="1">IF($A135-T$3&lt;2,0,OFFSET('FPSO1 Base'!T132,-'FPSO1 Otim'!T$3,0))</f>
        <v>670.947</v>
      </c>
      <c r="U135" s="19">
        <f ca="1">IF($A135-U$3&lt;2,0,OFFSET('FPSO1 Base'!U132,-'FPSO1 Otim'!U$3,0))</f>
        <v>780.88350000000014</v>
      </c>
      <c r="V135" s="19">
        <f ca="1">IF($A135-V$3&lt;2,0,OFFSET('FPSO1 Base'!V132,-'FPSO1 Otim'!V$3,0))</f>
        <v>856.35450000000003</v>
      </c>
      <c r="W135" s="19">
        <f ca="1">IF($A135-W$3&lt;2,0,OFFSET('FPSO1 Base'!W132,-'FPSO1 Otim'!W$3,0))</f>
        <v>350.41200000000003</v>
      </c>
      <c r="X135" s="19">
        <f ca="1">IF($A135-X$3&lt;2,0,OFFSET('FPSO1 Base'!X132,-'FPSO1 Otim'!X$3,0))</f>
        <v>1203.2505000000001</v>
      </c>
      <c r="Y135" s="19">
        <f ca="1">IF($A135-Y$3&lt;2,0,OFFSET('FPSO1 Base'!Y132,-'FPSO1 Otim'!Y$3,0))</f>
        <v>526.08299999999997</v>
      </c>
      <c r="Z135" s="19">
        <f ca="1">IF($A135-Z$3&lt;2,0,OFFSET('FPSO1 Base'!Z132,-'FPSO1 Otim'!Z$3,0))</f>
        <v>705.61649999999997</v>
      </c>
      <c r="AA135" s="20">
        <v>15000</v>
      </c>
      <c r="AB135" s="19">
        <f t="shared" ref="AB135:AB198" ca="1" si="10">SUM(C135:Z135)</f>
        <v>14072.3781</v>
      </c>
      <c r="AC135" s="20">
        <f t="shared" ref="AC135:AC198" ca="1" si="11">AA135-AB135</f>
        <v>927.6219000000001</v>
      </c>
      <c r="AD135" s="19">
        <f t="shared" ref="AD135:AD198" ca="1" si="12">AB135/(1+$AD$2)^(A135-2)</f>
        <v>4824.3128634935974</v>
      </c>
    </row>
    <row r="136" spans="1:30" x14ac:dyDescent="0.25">
      <c r="A136" s="19">
        <v>132</v>
      </c>
      <c r="B136" s="31">
        <v>49614</v>
      </c>
      <c r="C136" s="19">
        <f ca="1">IF($A136-C$3&lt;2,0,OFFSET('FPSO1 Base'!C133,-'FPSO1 Otim'!C$3,0))</f>
        <v>1478.1975</v>
      </c>
      <c r="D136" s="19">
        <f ca="1">IF($A136-D$3&lt;2,0,OFFSET('FPSO1 Base'!D133,-'FPSO1 Otim'!D$3,0))</f>
        <v>272.27249999999998</v>
      </c>
      <c r="E136" s="19">
        <f ca="1">IF($A136-E$3&lt;2,0,OFFSET('FPSO1 Base'!E133,-'FPSO1 Otim'!E$3,0))</f>
        <v>607.16549999999995</v>
      </c>
      <c r="F136" s="19">
        <f ca="1">IF($A136-F$3&lt;2,0,OFFSET('FPSO1 Base'!F133,-'FPSO1 Otim'!F$3,0))</f>
        <v>795.83699999999999</v>
      </c>
      <c r="G136" s="19">
        <f ca="1">IF($A136-G$3&lt;2,0,OFFSET('FPSO1 Base'!G133,-'FPSO1 Otim'!G$3,0))</f>
        <v>233.67599999999999</v>
      </c>
      <c r="H136" s="19">
        <f ca="1">IF($A136-H$3&lt;2,0,OFFSET('FPSO1 Base'!H133,-'FPSO1 Otim'!H$3,0))</f>
        <v>771.39750000000004</v>
      </c>
      <c r="I136" s="19">
        <f ca="1">IF($A136-I$3&lt;2,0,OFFSET('FPSO1 Base'!I133,-'FPSO1 Otim'!I$3,0))</f>
        <v>584.44350000000009</v>
      </c>
      <c r="J136" s="19">
        <f ca="1">IF($A136-J$3&lt;2,0,OFFSET('FPSO1 Base'!J133,-'FPSO1 Otim'!J$3,0))</f>
        <v>341.8245</v>
      </c>
      <c r="K136" s="19">
        <f ca="1">IF($A136-K$3&lt;2,0,OFFSET('FPSO1 Base'!K133,-'FPSO1 Otim'!K$3,0))</f>
        <v>453.26550000000003</v>
      </c>
      <c r="L136" s="19">
        <f ca="1">IF($A136-L$3&lt;2,0,OFFSET('FPSO1 Base'!L133,-'FPSO1 Otim'!L$3,0))</f>
        <v>588.61649999999997</v>
      </c>
      <c r="M136" s="19">
        <f ca="1">IF($A136-M$3&lt;2,0,OFFSET('FPSO1 Base'!M133,-'FPSO1 Otim'!M$3,0))</f>
        <v>633.96299999999997</v>
      </c>
      <c r="N136" s="19">
        <f ca="1">IF($A136-N$3&lt;2,0,OFFSET('FPSO1 Base'!N133,-'FPSO1 Otim'!N$3,0))</f>
        <v>92.674949999999995</v>
      </c>
      <c r="O136" s="19">
        <f ca="1">IF($A136-O$3&lt;2,0,OFFSET('FPSO1 Base'!O133,-'FPSO1 Otim'!O$3,0))</f>
        <v>660.61649999999997</v>
      </c>
      <c r="P136" s="19">
        <f ca="1">IF($A136-P$3&lt;2,0,OFFSET('FPSO1 Base'!P133,-'FPSO1 Otim'!P$3,0))</f>
        <v>280.35449999999997</v>
      </c>
      <c r="Q136" s="19">
        <f ca="1">IF($A136-Q$3&lt;2,0,OFFSET('FPSO1 Base'!Q133,-'FPSO1 Otim'!Q$3,0))</f>
        <v>444.62849999999997</v>
      </c>
      <c r="R136" s="19">
        <f ca="1">IF($A136-R$3&lt;2,0,OFFSET('FPSO1 Base'!R133,-'FPSO1 Otim'!R$3,0))</f>
        <v>155.0805</v>
      </c>
      <c r="S136" s="19">
        <f ca="1">IF($A136-S$3&lt;2,0,OFFSET('FPSO1 Base'!S133,-'FPSO1 Otim'!S$3,0))</f>
        <v>535.16100000000006</v>
      </c>
      <c r="T136" s="19">
        <f ca="1">IF($A136-T$3&lt;2,0,OFFSET('FPSO1 Base'!T133,-'FPSO1 Otim'!T$3,0))</f>
        <v>671.38350000000003</v>
      </c>
      <c r="U136" s="19">
        <f ca="1">IF($A136-U$3&lt;2,0,OFFSET('FPSO1 Base'!U133,-'FPSO1 Otim'!U$3,0))</f>
        <v>778.25850000000014</v>
      </c>
      <c r="V136" s="19">
        <f ca="1">IF($A136-V$3&lt;2,0,OFFSET('FPSO1 Base'!V133,-'FPSO1 Otim'!V$3,0))</f>
        <v>852.15000000000009</v>
      </c>
      <c r="W136" s="19">
        <f ca="1">IF($A136-W$3&lt;2,0,OFFSET('FPSO1 Base'!W133,-'FPSO1 Otim'!W$3,0))</f>
        <v>348.88350000000003</v>
      </c>
      <c r="X136" s="19">
        <f ca="1">IF($A136-X$3&lt;2,0,OFFSET('FPSO1 Base'!X133,-'FPSO1 Otim'!X$3,0))</f>
        <v>1200.3870000000002</v>
      </c>
      <c r="Y136" s="19">
        <f ca="1">IF($A136-Y$3&lt;2,0,OFFSET('FPSO1 Base'!Y133,-'FPSO1 Otim'!Y$3,0))</f>
        <v>525.13799999999992</v>
      </c>
      <c r="Z136" s="19">
        <f ca="1">IF($A136-Z$3&lt;2,0,OFFSET('FPSO1 Base'!Z133,-'FPSO1 Otim'!Z$3,0))</f>
        <v>700.50600000000009</v>
      </c>
      <c r="AA136" s="20">
        <v>15000</v>
      </c>
      <c r="AB136" s="19">
        <f t="shared" ca="1" si="10"/>
        <v>14005.881449999999</v>
      </c>
      <c r="AC136" s="20">
        <f t="shared" ca="1" si="11"/>
        <v>994.11855000000105</v>
      </c>
      <c r="AD136" s="19">
        <f t="shared" ca="1" si="12"/>
        <v>4761.8344328663179</v>
      </c>
    </row>
    <row r="137" spans="1:30" x14ac:dyDescent="0.25">
      <c r="A137" s="19">
        <v>133</v>
      </c>
      <c r="B137" s="31">
        <v>49644</v>
      </c>
      <c r="C137" s="19">
        <f ca="1">IF($A137-C$3&lt;2,0,OFFSET('FPSO1 Base'!C134,-'FPSO1 Otim'!C$3,0))</f>
        <v>1475.4524999999999</v>
      </c>
      <c r="D137" s="19">
        <f ca="1">IF($A137-D$3&lt;2,0,OFFSET('FPSO1 Base'!D134,-'FPSO1 Otim'!D$3,0))</f>
        <v>269.8245</v>
      </c>
      <c r="E137" s="19">
        <f ca="1">IF($A137-E$3&lt;2,0,OFFSET('FPSO1 Base'!E134,-'FPSO1 Otim'!E$3,0))</f>
        <v>606.024</v>
      </c>
      <c r="F137" s="19">
        <f ca="1">IF($A137-F$3&lt;2,0,OFFSET('FPSO1 Base'!F134,-'FPSO1 Otim'!F$3,0))</f>
        <v>792.71399999999994</v>
      </c>
      <c r="G137" s="19">
        <f ca="1">IF($A137-G$3&lt;2,0,OFFSET('FPSO1 Base'!G134,-'FPSO1 Otim'!G$3,0))</f>
        <v>232.11900000000003</v>
      </c>
      <c r="H137" s="19">
        <f ca="1">IF($A137-H$3&lt;2,0,OFFSET('FPSO1 Base'!H134,-'FPSO1 Otim'!H$3,0))</f>
        <v>769.18499999999995</v>
      </c>
      <c r="I137" s="19">
        <f ca="1">IF($A137-I$3&lt;2,0,OFFSET('FPSO1 Base'!I134,-'FPSO1 Otim'!I$3,0))</f>
        <v>579.19949999999994</v>
      </c>
      <c r="J137" s="19">
        <f ca="1">IF($A137-J$3&lt;2,0,OFFSET('FPSO1 Base'!J134,-'FPSO1 Otim'!J$3,0))</f>
        <v>340.572</v>
      </c>
      <c r="K137" s="19">
        <f ca="1">IF($A137-K$3&lt;2,0,OFFSET('FPSO1 Base'!K134,-'FPSO1 Otim'!K$3,0))</f>
        <v>451.51949999999999</v>
      </c>
      <c r="L137" s="19">
        <f ca="1">IF($A137-L$3&lt;2,0,OFFSET('FPSO1 Base'!L134,-'FPSO1 Otim'!L$3,0))</f>
        <v>583.9815000000001</v>
      </c>
      <c r="M137" s="19">
        <f ca="1">IF($A137-M$3&lt;2,0,OFFSET('FPSO1 Base'!M134,-'FPSO1 Otim'!M$3,0))</f>
        <v>631.71749999999997</v>
      </c>
      <c r="N137" s="19">
        <f ca="1">IF($A137-N$3&lt;2,0,OFFSET('FPSO1 Base'!N134,-'FPSO1 Otim'!N$3,0))</f>
        <v>91.790400000000005</v>
      </c>
      <c r="O137" s="19">
        <f ca="1">IF($A137-O$3&lt;2,0,OFFSET('FPSO1 Base'!O134,-'FPSO1 Otim'!O$3,0))</f>
        <v>655.476</v>
      </c>
      <c r="P137" s="19">
        <f ca="1">IF($A137-P$3&lt;2,0,OFFSET('FPSO1 Base'!P134,-'FPSO1 Otim'!P$3,0))</f>
        <v>279.52499999999998</v>
      </c>
      <c r="Q137" s="19">
        <f ca="1">IF($A137-Q$3&lt;2,0,OFFSET('FPSO1 Base'!Q134,-'FPSO1 Otim'!Q$3,0))</f>
        <v>444.92550000000006</v>
      </c>
      <c r="R137" s="19">
        <f ca="1">IF($A137-R$3&lt;2,0,OFFSET('FPSO1 Base'!R134,-'FPSO1 Otim'!R$3,0))</f>
        <v>153.5745</v>
      </c>
      <c r="S137" s="19">
        <f ca="1">IF($A137-S$3&lt;2,0,OFFSET('FPSO1 Base'!S134,-'FPSO1 Otim'!S$3,0))</f>
        <v>531.36300000000006</v>
      </c>
      <c r="T137" s="19">
        <f ca="1">IF($A137-T$3&lt;2,0,OFFSET('FPSO1 Base'!T134,-'FPSO1 Otim'!T$3,0))</f>
        <v>671.66100000000006</v>
      </c>
      <c r="U137" s="19">
        <f ca="1">IF($A137-U$3&lt;2,0,OFFSET('FPSO1 Base'!U134,-'FPSO1 Otim'!U$3,0))</f>
        <v>774.57450000000006</v>
      </c>
      <c r="V137" s="19">
        <f ca="1">IF($A137-V$3&lt;2,0,OFFSET('FPSO1 Base'!V134,-'FPSO1 Otim'!V$3,0))</f>
        <v>848.41950000000008</v>
      </c>
      <c r="W137" s="19">
        <f ca="1">IF($A137-W$3&lt;2,0,OFFSET('FPSO1 Base'!W134,-'FPSO1 Otim'!W$3,0))</f>
        <v>347.35950000000003</v>
      </c>
      <c r="X137" s="19">
        <f ca="1">IF($A137-X$3&lt;2,0,OFFSET('FPSO1 Base'!X134,-'FPSO1 Otim'!X$3,0))</f>
        <v>1197.3254999999999</v>
      </c>
      <c r="Y137" s="19">
        <f ca="1">IF($A137-Y$3&lt;2,0,OFFSET('FPSO1 Base'!Y134,-'FPSO1 Otim'!Y$3,0))</f>
        <v>524.25</v>
      </c>
      <c r="Z137" s="19">
        <f ca="1">IF($A137-Z$3&lt;2,0,OFFSET('FPSO1 Base'!Z134,-'FPSO1 Otim'!Z$3,0))</f>
        <v>695.29349999999999</v>
      </c>
      <c r="AA137" s="20">
        <v>15000</v>
      </c>
      <c r="AB137" s="19">
        <f t="shared" ca="1" si="10"/>
        <v>13947.8469</v>
      </c>
      <c r="AC137" s="20">
        <f t="shared" ca="1" si="11"/>
        <v>1052.1530999999995</v>
      </c>
      <c r="AD137" s="19">
        <f t="shared" ca="1" si="12"/>
        <v>4702.9124336882069</v>
      </c>
    </row>
    <row r="138" spans="1:30" x14ac:dyDescent="0.25">
      <c r="A138" s="19">
        <v>134</v>
      </c>
      <c r="B138" s="31">
        <v>49675</v>
      </c>
      <c r="C138" s="19">
        <f ca="1">IF($A138-C$3&lt;2,0,OFFSET('FPSO1 Base'!C135,-'FPSO1 Otim'!C$3,0))</f>
        <v>1465.5765000000001</v>
      </c>
      <c r="D138" s="19">
        <f ca="1">IF($A138-D$3&lt;2,0,OFFSET('FPSO1 Base'!D135,-'FPSO1 Otim'!D$3,0))</f>
        <v>267.59399999999999</v>
      </c>
      <c r="E138" s="19">
        <f ca="1">IF($A138-E$3&lt;2,0,OFFSET('FPSO1 Base'!E135,-'FPSO1 Otim'!E$3,0))</f>
        <v>604.60050000000001</v>
      </c>
      <c r="F138" s="19">
        <f ca="1">IF($A138-F$3&lt;2,0,OFFSET('FPSO1 Base'!F135,-'FPSO1 Otim'!F$3,0))</f>
        <v>790.05000000000007</v>
      </c>
      <c r="G138" s="19">
        <f ca="1">IF($A138-G$3&lt;2,0,OFFSET('FPSO1 Base'!G135,-'FPSO1 Otim'!G$3,0))</f>
        <v>230.02950000000001</v>
      </c>
      <c r="H138" s="19">
        <f ca="1">IF($A138-H$3&lt;2,0,OFFSET('FPSO1 Base'!H135,-'FPSO1 Otim'!H$3,0))</f>
        <v>767.07749999999999</v>
      </c>
      <c r="I138" s="19">
        <f ca="1">IF($A138-I$3&lt;2,0,OFFSET('FPSO1 Base'!I135,-'FPSO1 Otim'!I$3,0))</f>
        <v>577.04100000000005</v>
      </c>
      <c r="J138" s="19">
        <f ca="1">IF($A138-J$3&lt;2,0,OFFSET('FPSO1 Base'!J135,-'FPSO1 Otim'!J$3,0))</f>
        <v>339.363</v>
      </c>
      <c r="K138" s="19">
        <f ca="1">IF($A138-K$3&lt;2,0,OFFSET('FPSO1 Base'!K135,-'FPSO1 Otim'!K$3,0))</f>
        <v>449.928</v>
      </c>
      <c r="L138" s="19">
        <f ca="1">IF($A138-L$3&lt;2,0,OFFSET('FPSO1 Base'!L135,-'FPSO1 Otim'!L$3,0))</f>
        <v>580.29449999999997</v>
      </c>
      <c r="M138" s="19">
        <f ca="1">IF($A138-M$3&lt;2,0,OFFSET('FPSO1 Base'!M135,-'FPSO1 Otim'!M$3,0))</f>
        <v>629.27549999999997</v>
      </c>
      <c r="N138" s="19">
        <f ca="1">IF($A138-N$3&lt;2,0,OFFSET('FPSO1 Base'!N135,-'FPSO1 Otim'!N$3,0))</f>
        <v>90.874949999999998</v>
      </c>
      <c r="O138" s="19">
        <f ca="1">IF($A138-O$3&lt;2,0,OFFSET('FPSO1 Base'!O135,-'FPSO1 Otim'!O$3,0))</f>
        <v>649.77449999999999</v>
      </c>
      <c r="P138" s="19">
        <f ca="1">IF($A138-P$3&lt;2,0,OFFSET('FPSO1 Base'!P135,-'FPSO1 Otim'!P$3,0))</f>
        <v>278.75850000000003</v>
      </c>
      <c r="Q138" s="19">
        <f ca="1">IF($A138-Q$3&lt;2,0,OFFSET('FPSO1 Base'!Q135,-'FPSO1 Otim'!Q$3,0))</f>
        <v>445.173</v>
      </c>
      <c r="R138" s="19">
        <f ca="1">IF($A138-R$3&lt;2,0,OFFSET('FPSO1 Base'!R135,-'FPSO1 Otim'!R$3,0))</f>
        <v>152.202</v>
      </c>
      <c r="S138" s="19">
        <f ca="1">IF($A138-S$3&lt;2,0,OFFSET('FPSO1 Base'!S135,-'FPSO1 Otim'!S$3,0))</f>
        <v>528.89549999999997</v>
      </c>
      <c r="T138" s="19">
        <f ca="1">IF($A138-T$3&lt;2,0,OFFSET('FPSO1 Base'!T135,-'FPSO1 Otim'!T$3,0))</f>
        <v>671.91300000000001</v>
      </c>
      <c r="U138" s="19">
        <f ca="1">IF($A138-U$3&lt;2,0,OFFSET('FPSO1 Base'!U135,-'FPSO1 Otim'!U$3,0))</f>
        <v>770.80649999999991</v>
      </c>
      <c r="V138" s="19">
        <f ca="1">IF($A138-V$3&lt;2,0,OFFSET('FPSO1 Base'!V135,-'FPSO1 Otim'!V$3,0))</f>
        <v>845.25</v>
      </c>
      <c r="W138" s="19">
        <f ca="1">IF($A138-W$3&lt;2,0,OFFSET('FPSO1 Base'!W135,-'FPSO1 Otim'!W$3,0))</f>
        <v>345.77549999999997</v>
      </c>
      <c r="X138" s="19">
        <f ca="1">IF($A138-X$3&lt;2,0,OFFSET('FPSO1 Base'!X135,-'FPSO1 Otim'!X$3,0))</f>
        <v>1166.1779999999999</v>
      </c>
      <c r="Y138" s="19">
        <f ca="1">IF($A138-Y$3&lt;2,0,OFFSET('FPSO1 Base'!Y135,-'FPSO1 Otim'!Y$3,0))</f>
        <v>523.41</v>
      </c>
      <c r="Z138" s="19">
        <f ca="1">IF($A138-Z$3&lt;2,0,OFFSET('FPSO1 Base'!Z135,-'FPSO1 Otim'!Z$3,0))</f>
        <v>690.5625</v>
      </c>
      <c r="AA138" s="20">
        <v>15000</v>
      </c>
      <c r="AB138" s="19">
        <f t="shared" ca="1" si="10"/>
        <v>13860.403950000002</v>
      </c>
      <c r="AC138" s="20">
        <f t="shared" ca="1" si="11"/>
        <v>1139.5960499999983</v>
      </c>
      <c r="AD138" s="19">
        <f t="shared" ca="1" si="12"/>
        <v>4634.8051848525147</v>
      </c>
    </row>
    <row r="139" spans="1:30" x14ac:dyDescent="0.25">
      <c r="A139" s="19">
        <v>135</v>
      </c>
      <c r="B139" s="31">
        <v>49706</v>
      </c>
      <c r="C139" s="19">
        <f ca="1">IF($A139-C$3&lt;2,0,OFFSET('FPSO1 Base'!C136,-'FPSO1 Otim'!C$3,0))</f>
        <v>1463.2739999999999</v>
      </c>
      <c r="D139" s="19">
        <f ca="1">IF($A139-D$3&lt;2,0,OFFSET('FPSO1 Base'!D136,-'FPSO1 Otim'!D$3,0))</f>
        <v>265.29599999999999</v>
      </c>
      <c r="E139" s="19">
        <f ca="1">IF($A139-E$3&lt;2,0,OFFSET('FPSO1 Base'!E136,-'FPSO1 Otim'!E$3,0))</f>
        <v>603.25350000000003</v>
      </c>
      <c r="F139" s="19">
        <f ca="1">IF($A139-F$3&lt;2,0,OFFSET('FPSO1 Base'!F136,-'FPSO1 Otim'!F$3,0))</f>
        <v>786.33899999999994</v>
      </c>
      <c r="G139" s="19">
        <f ca="1">IF($A139-G$3&lt;2,0,OFFSET('FPSO1 Base'!G136,-'FPSO1 Otim'!G$3,0))</f>
        <v>228.47399999999999</v>
      </c>
      <c r="H139" s="19">
        <f ca="1">IF($A139-H$3&lt;2,0,OFFSET('FPSO1 Base'!H136,-'FPSO1 Otim'!H$3,0))</f>
        <v>764.94450000000006</v>
      </c>
      <c r="I139" s="19">
        <f ca="1">IF($A139-I$3&lt;2,0,OFFSET('FPSO1 Base'!I136,-'FPSO1 Otim'!I$3,0))</f>
        <v>575.54999999999995</v>
      </c>
      <c r="J139" s="19">
        <f ca="1">IF($A139-J$3&lt;2,0,OFFSET('FPSO1 Base'!J136,-'FPSO1 Otim'!J$3,0))</f>
        <v>338.0745</v>
      </c>
      <c r="K139" s="19">
        <f ca="1">IF($A139-K$3&lt;2,0,OFFSET('FPSO1 Base'!K136,-'FPSO1 Otim'!K$3,0))</f>
        <v>448.21199999999999</v>
      </c>
      <c r="L139" s="19">
        <f ca="1">IF($A139-L$3&lt;2,0,OFFSET('FPSO1 Base'!L136,-'FPSO1 Otim'!L$3,0))</f>
        <v>576.02549999999997</v>
      </c>
      <c r="M139" s="19">
        <f ca="1">IF($A139-M$3&lt;2,0,OFFSET('FPSO1 Base'!M136,-'FPSO1 Otim'!M$3,0))</f>
        <v>626.98800000000006</v>
      </c>
      <c r="N139" s="19">
        <f ca="1">IF($A139-N$3&lt;2,0,OFFSET('FPSO1 Base'!N136,-'FPSO1 Otim'!N$3,0))</f>
        <v>89.951549999999997</v>
      </c>
      <c r="O139" s="19">
        <f ca="1">IF($A139-O$3&lt;2,0,OFFSET('FPSO1 Base'!O136,-'FPSO1 Otim'!O$3,0))</f>
        <v>644.952</v>
      </c>
      <c r="P139" s="19">
        <f ca="1">IF($A139-P$3&lt;2,0,OFFSET('FPSO1 Base'!P136,-'FPSO1 Otim'!P$3,0))</f>
        <v>277.98450000000003</v>
      </c>
      <c r="Q139" s="19">
        <f ca="1">IF($A139-Q$3&lt;2,0,OFFSET('FPSO1 Base'!Q136,-'FPSO1 Otim'!Q$3,0))</f>
        <v>445.41300000000001</v>
      </c>
      <c r="R139" s="19">
        <f ca="1">IF($A139-R$3&lt;2,0,OFFSET('FPSO1 Base'!R136,-'FPSO1 Otim'!R$3,0))</f>
        <v>150.77549999999999</v>
      </c>
      <c r="S139" s="19">
        <f ca="1">IF($A139-S$3&lt;2,0,OFFSET('FPSO1 Base'!S136,-'FPSO1 Otim'!S$3,0))</f>
        <v>526.125</v>
      </c>
      <c r="T139" s="19">
        <f ca="1">IF($A139-T$3&lt;2,0,OFFSET('FPSO1 Base'!T136,-'FPSO1 Otim'!T$3,0))</f>
        <v>672.10950000000003</v>
      </c>
      <c r="U139" s="19">
        <f ca="1">IF($A139-U$3&lt;2,0,OFFSET('FPSO1 Base'!U136,-'FPSO1 Otim'!U$3,0))</f>
        <v>766.45049999999992</v>
      </c>
      <c r="V139" s="19">
        <f ca="1">IF($A139-V$3&lt;2,0,OFFSET('FPSO1 Base'!V136,-'FPSO1 Otim'!V$3,0))</f>
        <v>840.678</v>
      </c>
      <c r="W139" s="19">
        <f ca="1">IF($A139-W$3&lt;2,0,OFFSET('FPSO1 Base'!W136,-'FPSO1 Otim'!W$3,0))</f>
        <v>344.31</v>
      </c>
      <c r="X139" s="19">
        <f ca="1">IF($A139-X$3&lt;2,0,OFFSET('FPSO1 Base'!X136,-'FPSO1 Otim'!X$3,0))</f>
        <v>1160.6610000000001</v>
      </c>
      <c r="Y139" s="19">
        <f ca="1">IF($A139-Y$3&lt;2,0,OFFSET('FPSO1 Base'!Y136,-'FPSO1 Otim'!Y$3,0))</f>
        <v>522.54300000000001</v>
      </c>
      <c r="Z139" s="19">
        <f ca="1">IF($A139-Z$3&lt;2,0,OFFSET('FPSO1 Base'!Z136,-'FPSO1 Otim'!Z$3,0))</f>
        <v>685.51199999999994</v>
      </c>
      <c r="AA139" s="20">
        <v>15000</v>
      </c>
      <c r="AB139" s="19">
        <f t="shared" ca="1" si="10"/>
        <v>13803.896549999999</v>
      </c>
      <c r="AC139" s="20">
        <f t="shared" ca="1" si="11"/>
        <v>1196.1034500000005</v>
      </c>
      <c r="AD139" s="19">
        <f t="shared" ca="1" si="12"/>
        <v>4577.761561621056</v>
      </c>
    </row>
    <row r="140" spans="1:30" x14ac:dyDescent="0.25">
      <c r="A140" s="19">
        <v>136</v>
      </c>
      <c r="B140" s="31">
        <v>49735</v>
      </c>
      <c r="C140" s="19">
        <f ca="1">IF($A140-C$3&lt;2,0,OFFSET('FPSO1 Base'!C137,-'FPSO1 Otim'!C$3,0))</f>
        <v>1460.4960000000001</v>
      </c>
      <c r="D140" s="19">
        <f ca="1">IF($A140-D$3&lt;2,0,OFFSET('FPSO1 Base'!D137,-'FPSO1 Otim'!D$3,0))</f>
        <v>263.43599999999998</v>
      </c>
      <c r="E140" s="19">
        <f ca="1">IF($A140-E$3&lt;2,0,OFFSET('FPSO1 Base'!E137,-'FPSO1 Otim'!E$3,0))</f>
        <v>601.63799999999992</v>
      </c>
      <c r="F140" s="19">
        <f ca="1">IF($A140-F$3&lt;2,0,OFFSET('FPSO1 Base'!F137,-'FPSO1 Otim'!F$3,0))</f>
        <v>783.39899999999989</v>
      </c>
      <c r="G140" s="19">
        <f ca="1">IF($A140-G$3&lt;2,0,OFFSET('FPSO1 Base'!G137,-'FPSO1 Otim'!G$3,0))</f>
        <v>225.94050000000001</v>
      </c>
      <c r="H140" s="19">
        <f ca="1">IF($A140-H$3&lt;2,0,OFFSET('FPSO1 Base'!H137,-'FPSO1 Otim'!H$3,0))</f>
        <v>762.90300000000002</v>
      </c>
      <c r="I140" s="19">
        <f ca="1">IF($A140-I$3&lt;2,0,OFFSET('FPSO1 Base'!I137,-'FPSO1 Otim'!I$3,0))</f>
        <v>570</v>
      </c>
      <c r="J140" s="19">
        <f ca="1">IF($A140-J$3&lt;2,0,OFFSET('FPSO1 Base'!J137,-'FPSO1 Otim'!J$3,0))</f>
        <v>336.91949999999997</v>
      </c>
      <c r="K140" s="19">
        <f ca="1">IF($A140-K$3&lt;2,0,OFFSET('FPSO1 Base'!K137,-'FPSO1 Otim'!K$3,0))</f>
        <v>446.61300000000006</v>
      </c>
      <c r="L140" s="19">
        <f ca="1">IF($A140-L$3&lt;2,0,OFFSET('FPSO1 Base'!L137,-'FPSO1 Otim'!L$3,0))</f>
        <v>572.14049999999997</v>
      </c>
      <c r="M140" s="19">
        <f ca="1">IF($A140-M$3&lt;2,0,OFFSET('FPSO1 Base'!M137,-'FPSO1 Otim'!M$3,0))</f>
        <v>624.85950000000003</v>
      </c>
      <c r="N140" s="19">
        <f ca="1">IF($A140-N$3&lt;2,0,OFFSET('FPSO1 Base'!N137,-'FPSO1 Otim'!N$3,0))</f>
        <v>89.080649999999991</v>
      </c>
      <c r="O140" s="19">
        <f ca="1">IF($A140-O$3&lt;2,0,OFFSET('FPSO1 Base'!O137,-'FPSO1 Otim'!O$3,0))</f>
        <v>640.15049999999997</v>
      </c>
      <c r="P140" s="19">
        <f ca="1">IF($A140-P$3&lt;2,0,OFFSET('FPSO1 Base'!P137,-'FPSO1 Otim'!P$3,0))</f>
        <v>277.07100000000003</v>
      </c>
      <c r="Q140" s="19">
        <f ca="1">IF($A140-Q$3&lt;2,0,OFFSET('FPSO1 Base'!Q137,-'FPSO1 Otim'!Q$3,0))</f>
        <v>445.64549999999997</v>
      </c>
      <c r="R140" s="19">
        <f ca="1">IF($A140-R$3&lt;2,0,OFFSET('FPSO1 Base'!R137,-'FPSO1 Otim'!R$3,0))</f>
        <v>149.46780000000001</v>
      </c>
      <c r="S140" s="19">
        <f ca="1">IF($A140-S$3&lt;2,0,OFFSET('FPSO1 Base'!S137,-'FPSO1 Otim'!S$3,0))</f>
        <v>523.30649999999991</v>
      </c>
      <c r="T140" s="19">
        <f ca="1">IF($A140-T$3&lt;2,0,OFFSET('FPSO1 Base'!T137,-'FPSO1 Otim'!T$3,0))</f>
        <v>672.26250000000005</v>
      </c>
      <c r="U140" s="19">
        <f ca="1">IF($A140-U$3&lt;2,0,OFFSET('FPSO1 Base'!U137,-'FPSO1 Otim'!U$3,0))</f>
        <v>762.26549999999997</v>
      </c>
      <c r="V140" s="19">
        <f ca="1">IF($A140-V$3&lt;2,0,OFFSET('FPSO1 Base'!V137,-'FPSO1 Otim'!V$3,0))</f>
        <v>837.048</v>
      </c>
      <c r="W140" s="19">
        <f ca="1">IF($A140-W$3&lt;2,0,OFFSET('FPSO1 Base'!W137,-'FPSO1 Otim'!W$3,0))</f>
        <v>343.09950000000003</v>
      </c>
      <c r="X140" s="19">
        <f ca="1">IF($A140-X$3&lt;2,0,OFFSET('FPSO1 Base'!X137,-'FPSO1 Otim'!X$3,0))</f>
        <v>1159.8885</v>
      </c>
      <c r="Y140" s="19">
        <f ca="1">IF($A140-Y$3&lt;2,0,OFFSET('FPSO1 Base'!Y137,-'FPSO1 Otim'!Y$3,0))</f>
        <v>521.79449999999997</v>
      </c>
      <c r="Z140" s="19">
        <f ca="1">IF($A140-Z$3&lt;2,0,OFFSET('FPSO1 Base'!Z137,-'FPSO1 Otim'!Z$3,0))</f>
        <v>680.928</v>
      </c>
      <c r="AA140" s="20">
        <v>15000</v>
      </c>
      <c r="AB140" s="19">
        <f t="shared" ca="1" si="10"/>
        <v>13750.353450000002</v>
      </c>
      <c r="AC140" s="20">
        <f t="shared" ca="1" si="11"/>
        <v>1249.6465499999977</v>
      </c>
      <c r="AD140" s="19">
        <f t="shared" ca="1" si="12"/>
        <v>4522.3191659368476</v>
      </c>
    </row>
    <row r="141" spans="1:30" x14ac:dyDescent="0.25">
      <c r="A141" s="19">
        <v>137</v>
      </c>
      <c r="B141" s="31">
        <v>49766</v>
      </c>
      <c r="C141" s="19">
        <f ca="1">IF($A141-C$3&lt;2,0,OFFSET('FPSO1 Base'!C138,-'FPSO1 Otim'!C$3,0))</f>
        <v>1457.6655000000001</v>
      </c>
      <c r="D141" s="19">
        <f ca="1">IF($A141-D$3&lt;2,0,OFFSET('FPSO1 Base'!D138,-'FPSO1 Otim'!D$3,0))</f>
        <v>260.8125</v>
      </c>
      <c r="E141" s="19">
        <f ca="1">IF($A141-E$3&lt;2,0,OFFSET('FPSO1 Base'!E138,-'FPSO1 Otim'!E$3,0))</f>
        <v>600.024</v>
      </c>
      <c r="F141" s="19">
        <f ca="1">IF($A141-F$3&lt;2,0,OFFSET('FPSO1 Base'!F138,-'FPSO1 Otim'!F$3,0))</f>
        <v>779.97299999999996</v>
      </c>
      <c r="G141" s="19">
        <f ca="1">IF($A141-G$3&lt;2,0,OFFSET('FPSO1 Base'!G138,-'FPSO1 Otim'!G$3,0))</f>
        <v>224.23949999999999</v>
      </c>
      <c r="H141" s="19">
        <f ca="1">IF($A141-H$3&lt;2,0,OFFSET('FPSO1 Base'!H138,-'FPSO1 Otim'!H$3,0))</f>
        <v>760.85699999999997</v>
      </c>
      <c r="I141" s="19">
        <f ca="1">IF($A141-I$3&lt;2,0,OFFSET('FPSO1 Base'!I138,-'FPSO1 Otim'!I$3,0))</f>
        <v>567.96749999999997</v>
      </c>
      <c r="J141" s="19">
        <f ca="1">IF($A141-J$3&lt;2,0,OFFSET('FPSO1 Base'!J138,-'FPSO1 Otim'!J$3,0))</f>
        <v>335.625</v>
      </c>
      <c r="K141" s="19">
        <f ca="1">IF($A141-K$3&lt;2,0,OFFSET('FPSO1 Base'!K138,-'FPSO1 Otim'!K$3,0))</f>
        <v>445.11899999999997</v>
      </c>
      <c r="L141" s="19">
        <f ca="1">IF($A141-L$3&lt;2,0,OFFSET('FPSO1 Base'!L138,-'FPSO1 Otim'!L$3,0))</f>
        <v>567.9375</v>
      </c>
      <c r="M141" s="19">
        <f ca="1">IF($A141-M$3&lt;2,0,OFFSET('FPSO1 Base'!M138,-'FPSO1 Otim'!M$3,0))</f>
        <v>622.35299999999995</v>
      </c>
      <c r="N141" s="19">
        <f ca="1">IF($A141-N$3&lt;2,0,OFFSET('FPSO1 Base'!N138,-'FPSO1 Otim'!N$3,0))</f>
        <v>88.137900000000002</v>
      </c>
      <c r="O141" s="19">
        <f ca="1">IF($A141-O$3&lt;2,0,OFFSET('FPSO1 Base'!O138,-'FPSO1 Otim'!O$3,0))</f>
        <v>635.90250000000003</v>
      </c>
      <c r="P141" s="19">
        <f ca="1">IF($A141-P$3&lt;2,0,OFFSET('FPSO1 Base'!P138,-'FPSO1 Otim'!P$3,0))</f>
        <v>276.26549999999997</v>
      </c>
      <c r="Q141" s="19">
        <f ca="1">IF($A141-Q$3&lt;2,0,OFFSET('FPSO1 Base'!Q138,-'FPSO1 Otim'!Q$3,0))</f>
        <v>445.88699999999994</v>
      </c>
      <c r="R141" s="19">
        <f ca="1">IF($A141-R$3&lt;2,0,OFFSET('FPSO1 Base'!R138,-'FPSO1 Otim'!R$3,0))</f>
        <v>148.08870000000002</v>
      </c>
      <c r="S141" s="19">
        <f ca="1">IF($A141-S$3&lt;2,0,OFFSET('FPSO1 Base'!S138,-'FPSO1 Otim'!S$3,0))</f>
        <v>520.53600000000006</v>
      </c>
      <c r="T141" s="19">
        <f ca="1">IF($A141-T$3&lt;2,0,OFFSET('FPSO1 Base'!T138,-'FPSO1 Otim'!T$3,0))</f>
        <v>672.351</v>
      </c>
      <c r="U141" s="19">
        <f ca="1">IF($A141-U$3&lt;2,0,OFFSET('FPSO1 Base'!U138,-'FPSO1 Otim'!U$3,0))</f>
        <v>758.12850000000003</v>
      </c>
      <c r="V141" s="19">
        <f ca="1">IF($A141-V$3&lt;2,0,OFFSET('FPSO1 Base'!V138,-'FPSO1 Otim'!V$3,0))</f>
        <v>832.92899999999986</v>
      </c>
      <c r="W141" s="19">
        <f ca="1">IF($A141-W$3&lt;2,0,OFFSET('FPSO1 Base'!W138,-'FPSO1 Otim'!W$3,0))</f>
        <v>341.31</v>
      </c>
      <c r="X141" s="19">
        <f ca="1">IF($A141-X$3&lt;2,0,OFFSET('FPSO1 Base'!X138,-'FPSO1 Otim'!X$3,0))</f>
        <v>1159.2585000000001</v>
      </c>
      <c r="Y141" s="19">
        <f ca="1">IF($A141-Y$3&lt;2,0,OFFSET('FPSO1 Base'!Y138,-'FPSO1 Otim'!Y$3,0))</f>
        <v>521.00549999999998</v>
      </c>
      <c r="Z141" s="19">
        <f ca="1">IF($A141-Z$3&lt;2,0,OFFSET('FPSO1 Base'!Z138,-'FPSO1 Otim'!Z$3,0))</f>
        <v>676.572</v>
      </c>
      <c r="AA141" s="20">
        <v>15000</v>
      </c>
      <c r="AB141" s="19">
        <f t="shared" ca="1" si="10"/>
        <v>13698.945599999999</v>
      </c>
      <c r="AC141" s="20">
        <f t="shared" ca="1" si="11"/>
        <v>1301.0544000000009</v>
      </c>
      <c r="AD141" s="19">
        <f t="shared" ca="1" si="12"/>
        <v>4468.1769594386442</v>
      </c>
    </row>
    <row r="142" spans="1:30" x14ac:dyDescent="0.25">
      <c r="A142" s="19">
        <v>138</v>
      </c>
      <c r="B142" s="31">
        <v>49796</v>
      </c>
      <c r="C142" s="19">
        <f ca="1">IF($A142-C$3&lt;2,0,OFFSET('FPSO1 Base'!C139,-'FPSO1 Otim'!C$3,0))</f>
        <v>1454.472</v>
      </c>
      <c r="D142" s="19">
        <f ca="1">IF($A142-D$3&lt;2,0,OFFSET('FPSO1 Base'!D139,-'FPSO1 Otim'!D$3,0))</f>
        <v>257.88600000000002</v>
      </c>
      <c r="E142" s="19">
        <f ca="1">IF($A142-E$3&lt;2,0,OFFSET('FPSO1 Base'!E139,-'FPSO1 Otim'!E$3,0))</f>
        <v>598.34249999999997</v>
      </c>
      <c r="F142" s="19">
        <f ca="1">IF($A142-F$3&lt;2,0,OFFSET('FPSO1 Base'!F139,-'FPSO1 Otim'!F$3,0))</f>
        <v>777.25350000000003</v>
      </c>
      <c r="G142" s="19">
        <f ca="1">IF($A142-G$3&lt;2,0,OFFSET('FPSO1 Base'!G139,-'FPSO1 Otim'!G$3,0))</f>
        <v>222.46199999999999</v>
      </c>
      <c r="H142" s="19">
        <f ca="1">IF($A142-H$3&lt;2,0,OFFSET('FPSO1 Base'!H139,-'FPSO1 Otim'!H$3,0))</f>
        <v>758.8125</v>
      </c>
      <c r="I142" s="19">
        <f ca="1">IF($A142-I$3&lt;2,0,OFFSET('FPSO1 Base'!I139,-'FPSO1 Otim'!I$3,0))</f>
        <v>567.4559999999999</v>
      </c>
      <c r="J142" s="19">
        <f ca="1">IF($A142-J$3&lt;2,0,OFFSET('FPSO1 Base'!J139,-'FPSO1 Otim'!J$3,0))</f>
        <v>331.428</v>
      </c>
      <c r="K142" s="19">
        <f ca="1">IF($A142-K$3&lt;2,0,OFFSET('FPSO1 Base'!K139,-'FPSO1 Otim'!K$3,0))</f>
        <v>443.35650000000004</v>
      </c>
      <c r="L142" s="19">
        <f ca="1">IF($A142-L$3&lt;2,0,OFFSET('FPSO1 Base'!L139,-'FPSO1 Otim'!L$3,0))</f>
        <v>564.06000000000006</v>
      </c>
      <c r="M142" s="19">
        <f ca="1">IF($A142-M$3&lt;2,0,OFFSET('FPSO1 Base'!M139,-'FPSO1 Otim'!M$3,0))</f>
        <v>620.38350000000003</v>
      </c>
      <c r="N142" s="19">
        <f ca="1">IF($A142-N$3&lt;2,0,OFFSET('FPSO1 Base'!N139,-'FPSO1 Otim'!N$3,0))</f>
        <v>87.256521000000006</v>
      </c>
      <c r="O142" s="19">
        <f ca="1">IF($A142-O$3&lt;2,0,OFFSET('FPSO1 Base'!O139,-'FPSO1 Otim'!O$3,0))</f>
        <v>632.05649999999991</v>
      </c>
      <c r="P142" s="19">
        <f ca="1">IF($A142-P$3&lt;2,0,OFFSET('FPSO1 Base'!P139,-'FPSO1 Otim'!P$3,0))</f>
        <v>275.37450000000001</v>
      </c>
      <c r="Q142" s="19">
        <f ca="1">IF($A142-Q$3&lt;2,0,OFFSET('FPSO1 Base'!Q139,-'FPSO1 Otim'!Q$3,0))</f>
        <v>446.07449999999994</v>
      </c>
      <c r="R142" s="19">
        <f ca="1">IF($A142-R$3&lt;2,0,OFFSET('FPSO1 Base'!R139,-'FPSO1 Otim'!R$3,0))</f>
        <v>146.74994999999998</v>
      </c>
      <c r="S142" s="19">
        <f ca="1">IF($A142-S$3&lt;2,0,OFFSET('FPSO1 Base'!S139,-'FPSO1 Otim'!S$3,0))</f>
        <v>517.33799999999997</v>
      </c>
      <c r="T142" s="19">
        <f ca="1">IF($A142-T$3&lt;2,0,OFFSET('FPSO1 Base'!T139,-'FPSO1 Otim'!T$3,0))</f>
        <v>672.41100000000006</v>
      </c>
      <c r="U142" s="19">
        <f ca="1">IF($A142-U$3&lt;2,0,OFFSET('FPSO1 Base'!U139,-'FPSO1 Otim'!U$3,0))</f>
        <v>753.94949999999994</v>
      </c>
      <c r="V142" s="19">
        <f ca="1">IF($A142-V$3&lt;2,0,OFFSET('FPSO1 Base'!V139,-'FPSO1 Otim'!V$3,0))</f>
        <v>829.64549999999997</v>
      </c>
      <c r="W142" s="19">
        <f ca="1">IF($A142-W$3&lt;2,0,OFFSET('FPSO1 Base'!W139,-'FPSO1 Otim'!W$3,0))</f>
        <v>339.90749999999997</v>
      </c>
      <c r="X142" s="19">
        <f ca="1">IF($A142-X$3&lt;2,0,OFFSET('FPSO1 Base'!X139,-'FPSO1 Otim'!X$3,0))</f>
        <v>1158.5504999999998</v>
      </c>
      <c r="Y142" s="19">
        <f ca="1">IF($A142-Y$3&lt;2,0,OFFSET('FPSO1 Base'!Y139,-'FPSO1 Otim'!Y$3,0))</f>
        <v>520.31850000000009</v>
      </c>
      <c r="Z142" s="19">
        <f ca="1">IF($A142-Z$3&lt;2,0,OFFSET('FPSO1 Base'!Z139,-'FPSO1 Otim'!Z$3,0))</f>
        <v>671.83199999999999</v>
      </c>
      <c r="AA142" s="20">
        <v>15000</v>
      </c>
      <c r="AB142" s="19">
        <f t="shared" ca="1" si="10"/>
        <v>13647.376971</v>
      </c>
      <c r="AC142" s="20">
        <f t="shared" ca="1" si="11"/>
        <v>1352.6230290000003</v>
      </c>
      <c r="AD142" s="19">
        <f t="shared" ca="1" si="12"/>
        <v>4414.5687771677904</v>
      </c>
    </row>
    <row r="143" spans="1:30" x14ac:dyDescent="0.25">
      <c r="A143" s="19">
        <v>139</v>
      </c>
      <c r="B143" s="31">
        <v>49827</v>
      </c>
      <c r="C143" s="19">
        <f ca="1">IF($A143-C$3&lt;2,0,OFFSET('FPSO1 Base'!C140,-'FPSO1 Otim'!C$3,0))</f>
        <v>1451.3910000000001</v>
      </c>
      <c r="D143" s="19">
        <f ca="1">IF($A143-D$3&lt;2,0,OFFSET('FPSO1 Base'!D140,-'FPSO1 Otim'!D$3,0))</f>
        <v>256.17</v>
      </c>
      <c r="E143" s="19">
        <f ca="1">IF($A143-E$3&lt;2,0,OFFSET('FPSO1 Base'!E140,-'FPSO1 Otim'!E$3,0))</f>
        <v>596.48700000000008</v>
      </c>
      <c r="F143" s="19">
        <f ca="1">IF($A143-F$3&lt;2,0,OFFSET('FPSO1 Base'!F140,-'FPSO1 Otim'!F$3,0))</f>
        <v>774.02550000000008</v>
      </c>
      <c r="G143" s="19">
        <f ca="1">IF($A143-G$3&lt;2,0,OFFSET('FPSO1 Base'!G140,-'FPSO1 Otim'!G$3,0))</f>
        <v>220.79399999999998</v>
      </c>
      <c r="H143" s="19">
        <f ca="1">IF($A143-H$3&lt;2,0,OFFSET('FPSO1 Base'!H140,-'FPSO1 Otim'!H$3,0))</f>
        <v>756.88499999999999</v>
      </c>
      <c r="I143" s="19">
        <f ca="1">IF($A143-I$3&lt;2,0,OFFSET('FPSO1 Base'!I140,-'FPSO1 Otim'!I$3,0))</f>
        <v>566.44350000000009</v>
      </c>
      <c r="J143" s="19">
        <f ca="1">IF($A143-J$3&lt;2,0,OFFSET('FPSO1 Base'!J140,-'FPSO1 Otim'!J$3,0))</f>
        <v>330.024</v>
      </c>
      <c r="K143" s="19">
        <f ca="1">IF($A143-K$3&lt;2,0,OFFSET('FPSO1 Base'!K140,-'FPSO1 Otim'!K$3,0))</f>
        <v>441.9615</v>
      </c>
      <c r="L143" s="19">
        <f ca="1">IF($A143-L$3&lt;2,0,OFFSET('FPSO1 Base'!L140,-'FPSO1 Otim'!L$3,0))</f>
        <v>560.178</v>
      </c>
      <c r="M143" s="19">
        <f ca="1">IF($A143-M$3&lt;2,0,OFFSET('FPSO1 Base'!M140,-'FPSO1 Otim'!M$3,0))</f>
        <v>618.11249999999995</v>
      </c>
      <c r="N143" s="19">
        <f ca="1">IF($A143-N$3&lt;2,0,OFFSET('FPSO1 Base'!N140,-'FPSO1 Otim'!N$3,0))</f>
        <v>86.383955790000002</v>
      </c>
      <c r="O143" s="19">
        <f ca="1">IF($A143-O$3&lt;2,0,OFFSET('FPSO1 Base'!O140,-'FPSO1 Otim'!O$3,0))</f>
        <v>628.17450000000008</v>
      </c>
      <c r="P143" s="19">
        <f ca="1">IF($A143-P$3&lt;2,0,OFFSET('FPSO1 Base'!P140,-'FPSO1 Otim'!P$3,0))</f>
        <v>274.452</v>
      </c>
      <c r="Q143" s="19">
        <f ca="1">IF($A143-Q$3&lt;2,0,OFFSET('FPSO1 Base'!Q140,-'FPSO1 Otim'!Q$3,0))</f>
        <v>446.23800000000006</v>
      </c>
      <c r="R143" s="19">
        <f ca="1">IF($A143-R$3&lt;2,0,OFFSET('FPSO1 Base'!R140,-'FPSO1 Otim'!R$3,0))</f>
        <v>145.5</v>
      </c>
      <c r="S143" s="19">
        <f ca="1">IF($A143-S$3&lt;2,0,OFFSET('FPSO1 Base'!S140,-'FPSO1 Otim'!S$3,0))</f>
        <v>514.06499999999994</v>
      </c>
      <c r="T143" s="19">
        <f ca="1">IF($A143-T$3&lt;2,0,OFFSET('FPSO1 Base'!T140,-'FPSO1 Otim'!T$3,0))</f>
        <v>672.42450000000008</v>
      </c>
      <c r="U143" s="19">
        <f ca="1">IF($A143-U$3&lt;2,0,OFFSET('FPSO1 Base'!U140,-'FPSO1 Otim'!U$3,0))</f>
        <v>750.21749999999997</v>
      </c>
      <c r="V143" s="19">
        <f ca="1">IF($A143-V$3&lt;2,0,OFFSET('FPSO1 Base'!V140,-'FPSO1 Otim'!V$3,0))</f>
        <v>825.79950000000008</v>
      </c>
      <c r="W143" s="19">
        <f ca="1">IF($A143-W$3&lt;2,0,OFFSET('FPSO1 Base'!W140,-'FPSO1 Otim'!W$3,0))</f>
        <v>338.33100000000002</v>
      </c>
      <c r="X143" s="19">
        <f ca="1">IF($A143-X$3&lt;2,0,OFFSET('FPSO1 Base'!X140,-'FPSO1 Otim'!X$3,0))</f>
        <v>1157.6849999999999</v>
      </c>
      <c r="Y143" s="19">
        <f ca="1">IF($A143-Y$3&lt;2,0,OFFSET('FPSO1 Base'!Y140,-'FPSO1 Otim'!Y$3,0))</f>
        <v>519.702</v>
      </c>
      <c r="Z143" s="19">
        <f ca="1">IF($A143-Z$3&lt;2,0,OFFSET('FPSO1 Base'!Z140,-'FPSO1 Otim'!Z$3,0))</f>
        <v>669.89549999999997</v>
      </c>
      <c r="AA143" s="20">
        <v>15000</v>
      </c>
      <c r="AB143" s="19">
        <f t="shared" ca="1" si="10"/>
        <v>13601.340455790003</v>
      </c>
      <c r="AC143" s="20">
        <f t="shared" ca="1" si="11"/>
        <v>1398.659544209997</v>
      </c>
      <c r="AD143" s="19">
        <f t="shared" ca="1" si="12"/>
        <v>4363.3162026751388</v>
      </c>
    </row>
    <row r="144" spans="1:30" x14ac:dyDescent="0.25">
      <c r="A144" s="19">
        <v>140</v>
      </c>
      <c r="B144" s="31">
        <v>49857</v>
      </c>
      <c r="C144" s="19">
        <f ca="1">IF($A144-C$3&lt;2,0,OFFSET('FPSO1 Base'!C141,-'FPSO1 Otim'!C$3,0))</f>
        <v>1447.9515000000001</v>
      </c>
      <c r="D144" s="19">
        <f ca="1">IF($A144-D$3&lt;2,0,OFFSET('FPSO1 Base'!D141,-'FPSO1 Otim'!D$3,0))</f>
        <v>253.88249999999999</v>
      </c>
      <c r="E144" s="19">
        <f ca="1">IF($A144-E$3&lt;2,0,OFFSET('FPSO1 Base'!E141,-'FPSO1 Otim'!E$3,0))</f>
        <v>594.73800000000006</v>
      </c>
      <c r="F144" s="19">
        <f ca="1">IF($A144-F$3&lt;2,0,OFFSET('FPSO1 Base'!F141,-'FPSO1 Otim'!F$3,0))</f>
        <v>771.10950000000003</v>
      </c>
      <c r="G144" s="19">
        <f ca="1">IF($A144-G$3&lt;2,0,OFFSET('FPSO1 Base'!G141,-'FPSO1 Otim'!G$3,0))</f>
        <v>219.03000000000003</v>
      </c>
      <c r="H144" s="19">
        <f ca="1">IF($A144-H$3&lt;2,0,OFFSET('FPSO1 Base'!H141,-'FPSO1 Otim'!H$3,0))</f>
        <v>754.90199999999993</v>
      </c>
      <c r="I144" s="19">
        <f ca="1">IF($A144-I$3&lt;2,0,OFFSET('FPSO1 Base'!I141,-'FPSO1 Otim'!I$3,0))</f>
        <v>565.39949999999999</v>
      </c>
      <c r="J144" s="19">
        <f ca="1">IF($A144-J$3&lt;2,0,OFFSET('FPSO1 Base'!J141,-'FPSO1 Otim'!J$3,0))</f>
        <v>328.79399999999998</v>
      </c>
      <c r="K144" s="19">
        <f ca="1">IF($A144-K$3&lt;2,0,OFFSET('FPSO1 Base'!K141,-'FPSO1 Otim'!K$3,0))</f>
        <v>440.32500000000005</v>
      </c>
      <c r="L144" s="19">
        <f ca="1">IF($A144-L$3&lt;2,0,OFFSET('FPSO1 Base'!L141,-'FPSO1 Otim'!L$3,0))</f>
        <v>556.13699999999994</v>
      </c>
      <c r="M144" s="19">
        <f ca="1">IF($A144-M$3&lt;2,0,OFFSET('FPSO1 Base'!M141,-'FPSO1 Otim'!M$3,0))</f>
        <v>616.053</v>
      </c>
      <c r="N144" s="19">
        <f ca="1">IF($A144-N$3&lt;2,0,OFFSET('FPSO1 Base'!N141,-'FPSO1 Otim'!N$3,0))</f>
        <v>85.520116232099994</v>
      </c>
      <c r="O144" s="19">
        <f ca="1">IF($A144-O$3&lt;2,0,OFFSET('FPSO1 Base'!O141,-'FPSO1 Otim'!O$3,0))</f>
        <v>626.10450000000003</v>
      </c>
      <c r="P144" s="19">
        <f ca="1">IF($A144-P$3&lt;2,0,OFFSET('FPSO1 Base'!P141,-'FPSO1 Otim'!P$3,0))</f>
        <v>273.49950000000001</v>
      </c>
      <c r="Q144" s="19">
        <f ca="1">IF($A144-Q$3&lt;2,0,OFFSET('FPSO1 Base'!Q141,-'FPSO1 Otim'!Q$3,0))</f>
        <v>446.38799999999998</v>
      </c>
      <c r="R144" s="19">
        <f ca="1">IF($A144-R$3&lt;2,0,OFFSET('FPSO1 Base'!R141,-'FPSO1 Otim'!R$3,0))</f>
        <v>144.19995</v>
      </c>
      <c r="S144" s="19">
        <f ca="1">IF($A144-S$3&lt;2,0,OFFSET('FPSO1 Base'!S141,-'FPSO1 Otim'!S$3,0))</f>
        <v>510.46199999999999</v>
      </c>
      <c r="T144" s="19">
        <f ca="1">IF($A144-T$3&lt;2,0,OFFSET('FPSO1 Base'!T141,-'FPSO1 Otim'!T$3,0))</f>
        <v>672.399</v>
      </c>
      <c r="U144" s="19">
        <f ca="1">IF($A144-U$3&lt;2,0,OFFSET('FPSO1 Base'!U141,-'FPSO1 Otim'!U$3,0))</f>
        <v>746.42550000000006</v>
      </c>
      <c r="V144" s="19">
        <f ca="1">IF($A144-V$3&lt;2,0,OFFSET('FPSO1 Base'!V141,-'FPSO1 Otim'!V$3,0))</f>
        <v>822.19350000000009</v>
      </c>
      <c r="W144" s="19">
        <f ca="1">IF($A144-W$3&lt;2,0,OFFSET('FPSO1 Base'!W141,-'FPSO1 Otim'!W$3,0))</f>
        <v>337.077</v>
      </c>
      <c r="X144" s="19">
        <f ca="1">IF($A144-X$3&lt;2,0,OFFSET('FPSO1 Base'!X141,-'FPSO1 Otim'!X$3,0))</f>
        <v>1156.5255000000002</v>
      </c>
      <c r="Y144" s="19">
        <f ca="1">IF($A144-Y$3&lt;2,0,OFFSET('FPSO1 Base'!Y141,-'FPSO1 Otim'!Y$3,0))</f>
        <v>519.01350000000002</v>
      </c>
      <c r="Z144" s="19">
        <f ca="1">IF($A144-Z$3&lt;2,0,OFFSET('FPSO1 Base'!Z141,-'FPSO1 Otim'!Z$3,0))</f>
        <v>667.55700000000002</v>
      </c>
      <c r="AA144" s="20">
        <v>15000</v>
      </c>
      <c r="AB144" s="19">
        <f t="shared" ca="1" si="10"/>
        <v>13555.687066232098</v>
      </c>
      <c r="AC144" s="20">
        <f t="shared" ca="1" si="11"/>
        <v>1444.312933767902</v>
      </c>
      <c r="AD144" s="19">
        <f t="shared" ca="1" si="12"/>
        <v>4312.7311483106841</v>
      </c>
    </row>
    <row r="145" spans="1:30" x14ac:dyDescent="0.25">
      <c r="A145" s="19">
        <v>141</v>
      </c>
      <c r="B145" s="31">
        <v>49888</v>
      </c>
      <c r="C145" s="19">
        <f ca="1">IF($A145-C$3&lt;2,0,OFFSET('FPSO1 Base'!C142,-'FPSO1 Otim'!C$3,0))</f>
        <v>1444.5014999999999</v>
      </c>
      <c r="D145" s="19">
        <f ca="1">IF($A145-D$3&lt;2,0,OFFSET('FPSO1 Base'!D142,-'FPSO1 Otim'!D$3,0))</f>
        <v>251.37450000000001</v>
      </c>
      <c r="E145" s="19">
        <f ca="1">IF($A145-E$3&lt;2,0,OFFSET('FPSO1 Base'!E142,-'FPSO1 Otim'!E$3,0))</f>
        <v>592.76250000000005</v>
      </c>
      <c r="F145" s="19">
        <f ca="1">IF($A145-F$3&lt;2,0,OFFSET('FPSO1 Base'!F142,-'FPSO1 Otim'!F$3,0))</f>
        <v>767.89949999999999</v>
      </c>
      <c r="G145" s="19">
        <f ca="1">IF($A145-G$3&lt;2,0,OFFSET('FPSO1 Base'!G142,-'FPSO1 Otim'!G$3,0))</f>
        <v>217.79850000000002</v>
      </c>
      <c r="H145" s="19">
        <f ca="1">IF($A145-H$3&lt;2,0,OFFSET('FPSO1 Base'!H142,-'FPSO1 Otim'!H$3,0))</f>
        <v>753.02699999999993</v>
      </c>
      <c r="I145" s="19">
        <f ca="1">IF($A145-I$3&lt;2,0,OFFSET('FPSO1 Base'!I142,-'FPSO1 Otim'!I$3,0))</f>
        <v>565.06499999999994</v>
      </c>
      <c r="J145" s="19">
        <f ca="1">IF($A145-J$3&lt;2,0,OFFSET('FPSO1 Base'!J142,-'FPSO1 Otim'!J$3,0))</f>
        <v>327.87149999999997</v>
      </c>
      <c r="K145" s="19">
        <f ca="1">IF($A145-K$3&lt;2,0,OFFSET('FPSO1 Base'!K142,-'FPSO1 Otim'!K$3,0))</f>
        <v>438.84000000000003</v>
      </c>
      <c r="L145" s="19">
        <f ca="1">IF($A145-L$3&lt;2,0,OFFSET('FPSO1 Base'!L142,-'FPSO1 Otim'!L$3,0))</f>
        <v>552.47249999999997</v>
      </c>
      <c r="M145" s="19">
        <f ca="1">IF($A145-M$3&lt;2,0,OFFSET('FPSO1 Base'!M142,-'FPSO1 Otim'!M$3,0))</f>
        <v>613.81200000000001</v>
      </c>
      <c r="N145" s="19">
        <f ca="1">IF($A145-N$3&lt;2,0,OFFSET('FPSO1 Base'!N142,-'FPSO1 Otim'!N$3,0))</f>
        <v>84.664915069778999</v>
      </c>
      <c r="O145" s="19">
        <f ca="1">IF($A145-O$3&lt;2,0,OFFSET('FPSO1 Base'!O142,-'FPSO1 Otim'!O$3,0))</f>
        <v>622.52549999999997</v>
      </c>
      <c r="P145" s="19">
        <f ca="1">IF($A145-P$3&lt;2,0,OFFSET('FPSO1 Base'!P142,-'FPSO1 Otim'!P$3,0))</f>
        <v>272.565</v>
      </c>
      <c r="Q145" s="19">
        <f ca="1">IF($A145-Q$3&lt;2,0,OFFSET('FPSO1 Base'!Q142,-'FPSO1 Otim'!Q$3,0))</f>
        <v>446.46749999999997</v>
      </c>
      <c r="R145" s="19">
        <f ca="1">IF($A145-R$3&lt;2,0,OFFSET('FPSO1 Base'!R142,-'FPSO1 Otim'!R$3,0))</f>
        <v>142.91129999999998</v>
      </c>
      <c r="S145" s="19">
        <f ca="1">IF($A145-S$3&lt;2,0,OFFSET('FPSO1 Base'!S142,-'FPSO1 Otim'!S$3,0))</f>
        <v>504.97950000000003</v>
      </c>
      <c r="T145" s="19">
        <f ca="1">IF($A145-T$3&lt;2,0,OFFSET('FPSO1 Base'!T142,-'FPSO1 Otim'!T$3,0))</f>
        <v>672.31200000000001</v>
      </c>
      <c r="U145" s="19">
        <f ca="1">IF($A145-U$3&lt;2,0,OFFSET('FPSO1 Base'!U142,-'FPSO1 Otim'!U$3,0))</f>
        <v>720.89549999999997</v>
      </c>
      <c r="V145" s="19">
        <f ca="1">IF($A145-V$3&lt;2,0,OFFSET('FPSO1 Base'!V142,-'FPSO1 Otim'!V$3,0))</f>
        <v>818.35050000000001</v>
      </c>
      <c r="W145" s="19">
        <f ca="1">IF($A145-W$3&lt;2,0,OFFSET('FPSO1 Base'!W142,-'FPSO1 Otim'!W$3,0))</f>
        <v>335.637</v>
      </c>
      <c r="X145" s="19">
        <f ca="1">IF($A145-X$3&lt;2,0,OFFSET('FPSO1 Base'!X142,-'FPSO1 Otim'!X$3,0))</f>
        <v>1155.2175</v>
      </c>
      <c r="Y145" s="19">
        <f ca="1">IF($A145-Y$3&lt;2,0,OFFSET('FPSO1 Base'!Y142,-'FPSO1 Otim'!Y$3,0))</f>
        <v>518.49149999999997</v>
      </c>
      <c r="Z145" s="19">
        <f ca="1">IF($A145-Z$3&lt;2,0,OFFSET('FPSO1 Base'!Z142,-'FPSO1 Otim'!Z$3,0))</f>
        <v>665.08050000000003</v>
      </c>
      <c r="AA145" s="20">
        <v>15000</v>
      </c>
      <c r="AB145" s="19">
        <f t="shared" ca="1" si="10"/>
        <v>13485.522715069779</v>
      </c>
      <c r="AC145" s="20">
        <f t="shared" ca="1" si="11"/>
        <v>1514.4772849302208</v>
      </c>
      <c r="AD145" s="19">
        <f t="shared" ca="1" si="12"/>
        <v>4254.9504945414528</v>
      </c>
    </row>
    <row r="146" spans="1:30" x14ac:dyDescent="0.25">
      <c r="A146" s="19">
        <v>142</v>
      </c>
      <c r="B146" s="31">
        <v>49919</v>
      </c>
      <c r="C146" s="19">
        <f ca="1">IF($A146-C$3&lt;2,0,OFFSET('FPSO1 Base'!C143,-'FPSO1 Otim'!C$3,0))</f>
        <v>1441.1129999999998</v>
      </c>
      <c r="D146" s="19">
        <f ca="1">IF($A146-D$3&lt;2,0,OFFSET('FPSO1 Base'!D143,-'FPSO1 Otim'!D$3,0))</f>
        <v>248.25599999999997</v>
      </c>
      <c r="E146" s="19">
        <f ca="1">IF($A146-E$3&lt;2,0,OFFSET('FPSO1 Base'!E143,-'FPSO1 Otim'!E$3,0))</f>
        <v>590.87850000000003</v>
      </c>
      <c r="F146" s="19">
        <f ca="1">IF($A146-F$3&lt;2,0,OFFSET('FPSO1 Base'!F143,-'FPSO1 Otim'!F$3,0))</f>
        <v>764.89049999999997</v>
      </c>
      <c r="G146" s="19">
        <f ca="1">IF($A146-G$3&lt;2,0,OFFSET('FPSO1 Base'!G143,-'FPSO1 Otim'!G$3,0))</f>
        <v>216.07649999999998</v>
      </c>
      <c r="H146" s="19">
        <f ca="1">IF($A146-H$3&lt;2,0,OFFSET('FPSO1 Base'!H143,-'FPSO1 Otim'!H$3,0))</f>
        <v>751.11</v>
      </c>
      <c r="I146" s="19">
        <f ca="1">IF($A146-I$3&lt;2,0,OFFSET('FPSO1 Base'!I143,-'FPSO1 Otim'!I$3,0))</f>
        <v>564.85050000000001</v>
      </c>
      <c r="J146" s="19">
        <f ca="1">IF($A146-J$3&lt;2,0,OFFSET('FPSO1 Base'!J143,-'FPSO1 Otim'!J$3,0))</f>
        <v>326.8005</v>
      </c>
      <c r="K146" s="19">
        <f ca="1">IF($A146-K$3&lt;2,0,OFFSET('FPSO1 Base'!K143,-'FPSO1 Otim'!K$3,0))</f>
        <v>437.23050000000001</v>
      </c>
      <c r="L146" s="19">
        <f ca="1">IF($A146-L$3&lt;2,0,OFFSET('FPSO1 Base'!L143,-'FPSO1 Otim'!L$3,0))</f>
        <v>549.38699999999994</v>
      </c>
      <c r="M146" s="19">
        <f ca="1">IF($A146-M$3&lt;2,0,OFFSET('FPSO1 Base'!M143,-'FPSO1 Otim'!M$3,0))</f>
        <v>611.70899999999995</v>
      </c>
      <c r="N146" s="19">
        <f ca="1">IF($A146-N$3&lt;2,0,OFFSET('FPSO1 Base'!N143,-'FPSO1 Otim'!N$3,0))</f>
        <v>83.818265919081213</v>
      </c>
      <c r="O146" s="19">
        <f ca="1">IF($A146-O$3&lt;2,0,OFFSET('FPSO1 Base'!O143,-'FPSO1 Otim'!O$3,0))</f>
        <v>621.12149999999997</v>
      </c>
      <c r="P146" s="19">
        <f ca="1">IF($A146-P$3&lt;2,0,OFFSET('FPSO1 Base'!P143,-'FPSO1 Otim'!P$3,0))</f>
        <v>271.59749999999997</v>
      </c>
      <c r="Q146" s="19">
        <f ca="1">IF($A146-Q$3&lt;2,0,OFFSET('FPSO1 Base'!Q143,-'FPSO1 Otim'!Q$3,0))</f>
        <v>446.553</v>
      </c>
      <c r="R146" s="19">
        <f ca="1">IF($A146-R$3&lt;2,0,OFFSET('FPSO1 Base'!R143,-'FPSO1 Otim'!R$3,0))</f>
        <v>141.70155</v>
      </c>
      <c r="S146" s="19">
        <f ca="1">IF($A146-S$3&lt;2,0,OFFSET('FPSO1 Base'!S143,-'FPSO1 Otim'!S$3,0))</f>
        <v>501.60450000000003</v>
      </c>
      <c r="T146" s="19">
        <f ca="1">IF($A146-T$3&lt;2,0,OFFSET('FPSO1 Base'!T143,-'FPSO1 Otim'!T$3,0))</f>
        <v>653.45550000000003</v>
      </c>
      <c r="U146" s="19">
        <f ca="1">IF($A146-U$3&lt;2,0,OFFSET('FPSO1 Base'!U143,-'FPSO1 Otim'!U$3,0))</f>
        <v>716.12850000000003</v>
      </c>
      <c r="V146" s="19">
        <f ca="1">IF($A146-V$3&lt;2,0,OFFSET('FPSO1 Base'!V143,-'FPSO1 Otim'!V$3,0))</f>
        <v>814.79099999999994</v>
      </c>
      <c r="W146" s="19">
        <f ca="1">IF($A146-W$3&lt;2,0,OFFSET('FPSO1 Base'!W143,-'FPSO1 Otim'!W$3,0))</f>
        <v>334.34250000000003</v>
      </c>
      <c r="X146" s="19">
        <f ca="1">IF($A146-X$3&lt;2,0,OFFSET('FPSO1 Base'!X143,-'FPSO1 Otim'!X$3,0))</f>
        <v>1153.6215</v>
      </c>
      <c r="Y146" s="19">
        <f ca="1">IF($A146-Y$3&lt;2,0,OFFSET('FPSO1 Base'!Y143,-'FPSO1 Otim'!Y$3,0))</f>
        <v>517.92450000000008</v>
      </c>
      <c r="Z146" s="19">
        <f ca="1">IF($A146-Z$3&lt;2,0,OFFSET('FPSO1 Base'!Z143,-'FPSO1 Otim'!Z$3,0))</f>
        <v>662.23800000000006</v>
      </c>
      <c r="AA146" s="20">
        <v>15000</v>
      </c>
      <c r="AB146" s="19">
        <f t="shared" ca="1" si="10"/>
        <v>13421.199815919079</v>
      </c>
      <c r="AC146" s="20">
        <f t="shared" ca="1" si="11"/>
        <v>1578.8001840809211</v>
      </c>
      <c r="AD146" s="19">
        <f t="shared" ca="1" si="12"/>
        <v>4199.6581896080952</v>
      </c>
    </row>
    <row r="147" spans="1:30" x14ac:dyDescent="0.25">
      <c r="A147" s="19">
        <v>143</v>
      </c>
      <c r="B147" s="31">
        <v>49949</v>
      </c>
      <c r="C147" s="19">
        <f ca="1">IF($A147-C$3&lt;2,0,OFFSET('FPSO1 Base'!C144,-'FPSO1 Otim'!C$3,0))</f>
        <v>1437.6030000000001</v>
      </c>
      <c r="D147" s="19">
        <f ca="1">IF($A147-D$3&lt;2,0,OFFSET('FPSO1 Base'!D144,-'FPSO1 Otim'!D$3,0))</f>
        <v>246.40949999999998</v>
      </c>
      <c r="E147" s="19">
        <f ca="1">IF($A147-E$3&lt;2,0,OFFSET('FPSO1 Base'!E144,-'FPSO1 Otim'!E$3,0))</f>
        <v>589.08899999999994</v>
      </c>
      <c r="F147" s="19">
        <f ca="1">IF($A147-F$3&lt;2,0,OFFSET('FPSO1 Base'!F144,-'FPSO1 Otim'!F$3,0))</f>
        <v>761.91600000000005</v>
      </c>
      <c r="G147" s="19">
        <f ca="1">IF($A147-G$3&lt;2,0,OFFSET('FPSO1 Base'!G144,-'FPSO1 Otim'!G$3,0))</f>
        <v>213.43049999999999</v>
      </c>
      <c r="H147" s="19">
        <f ca="1">IF($A147-H$3&lt;2,0,OFFSET('FPSO1 Base'!H144,-'FPSO1 Otim'!H$3,0))</f>
        <v>745.6875</v>
      </c>
      <c r="I147" s="19">
        <f ca="1">IF($A147-I$3&lt;2,0,OFFSET('FPSO1 Base'!I144,-'FPSO1 Otim'!I$3,0))</f>
        <v>564.29100000000005</v>
      </c>
      <c r="J147" s="19">
        <f ca="1">IF($A147-J$3&lt;2,0,OFFSET('FPSO1 Base'!J144,-'FPSO1 Otim'!J$3,0))</f>
        <v>325.791</v>
      </c>
      <c r="K147" s="19">
        <f ca="1">IF($A147-K$3&lt;2,0,OFFSET('FPSO1 Base'!K144,-'FPSO1 Otim'!K$3,0))</f>
        <v>435.73199999999997</v>
      </c>
      <c r="L147" s="19">
        <f ca="1">IF($A147-L$3&lt;2,0,OFFSET('FPSO1 Base'!L144,-'FPSO1 Otim'!L$3,0))</f>
        <v>544.93500000000006</v>
      </c>
      <c r="M147" s="19">
        <f ca="1">IF($A147-M$3&lt;2,0,OFFSET('FPSO1 Base'!M144,-'FPSO1 Otim'!M$3,0))</f>
        <v>609.64049999999997</v>
      </c>
      <c r="N147" s="19">
        <f ca="1">IF($A147-N$3&lt;2,0,OFFSET('FPSO1 Base'!N144,-'FPSO1 Otim'!N$3,0))</f>
        <v>82.980083259890407</v>
      </c>
      <c r="O147" s="19">
        <f ca="1">IF($A147-O$3&lt;2,0,OFFSET('FPSO1 Base'!O144,-'FPSO1 Otim'!O$3,0))</f>
        <v>618.58050000000003</v>
      </c>
      <c r="P147" s="19">
        <f ca="1">IF($A147-P$3&lt;2,0,OFFSET('FPSO1 Base'!P144,-'FPSO1 Otim'!P$3,0))</f>
        <v>270.5745</v>
      </c>
      <c r="Q147" s="19">
        <f ca="1">IF($A147-Q$3&lt;2,0,OFFSET('FPSO1 Base'!Q144,-'FPSO1 Otim'!Q$3,0))</f>
        <v>446.59800000000007</v>
      </c>
      <c r="R147" s="19">
        <f ca="1">IF($A147-R$3&lt;2,0,OFFSET('FPSO1 Base'!R144,-'FPSO1 Otim'!R$3,0))</f>
        <v>140.3793</v>
      </c>
      <c r="S147" s="19">
        <f ca="1">IF($A147-S$3&lt;2,0,OFFSET('FPSO1 Base'!S144,-'FPSO1 Otim'!S$3,0))</f>
        <v>498.05099999999999</v>
      </c>
      <c r="T147" s="19">
        <f ca="1">IF($A147-T$3&lt;2,0,OFFSET('FPSO1 Base'!T144,-'FPSO1 Otim'!T$3,0))</f>
        <v>652.56000000000006</v>
      </c>
      <c r="U147" s="19">
        <f ca="1">IF($A147-U$3&lt;2,0,OFFSET('FPSO1 Base'!U144,-'FPSO1 Otim'!U$3,0))</f>
        <v>713.25</v>
      </c>
      <c r="V147" s="19">
        <f ca="1">IF($A147-V$3&lt;2,0,OFFSET('FPSO1 Base'!V144,-'FPSO1 Otim'!V$3,0))</f>
        <v>811.25850000000014</v>
      </c>
      <c r="W147" s="19">
        <f ca="1">IF($A147-W$3&lt;2,0,OFFSET('FPSO1 Base'!W144,-'FPSO1 Otim'!W$3,0))</f>
        <v>332.92499999999995</v>
      </c>
      <c r="X147" s="19">
        <f ca="1">IF($A147-X$3&lt;2,0,OFFSET('FPSO1 Base'!X144,-'FPSO1 Otim'!X$3,0))</f>
        <v>1151.7255</v>
      </c>
      <c r="Y147" s="19">
        <f ca="1">IF($A147-Y$3&lt;2,0,OFFSET('FPSO1 Base'!Y144,-'FPSO1 Otim'!Y$3,0))</f>
        <v>517.42200000000003</v>
      </c>
      <c r="Z147" s="19">
        <f ca="1">IF($A147-Z$3&lt;2,0,OFFSET('FPSO1 Base'!Z144,-'FPSO1 Otim'!Z$3,0))</f>
        <v>659.38350000000003</v>
      </c>
      <c r="AA147" s="20">
        <v>15000</v>
      </c>
      <c r="AB147" s="19">
        <f t="shared" ca="1" si="10"/>
        <v>13370.212883259888</v>
      </c>
      <c r="AC147" s="20">
        <f t="shared" ca="1" si="11"/>
        <v>1629.7871167401117</v>
      </c>
      <c r="AD147" s="19">
        <f t="shared" ca="1" si="12"/>
        <v>4149.1276883612609</v>
      </c>
    </row>
    <row r="148" spans="1:30" x14ac:dyDescent="0.25">
      <c r="A148" s="19">
        <v>144</v>
      </c>
      <c r="B148" s="31">
        <v>49980</v>
      </c>
      <c r="C148" s="19">
        <f ca="1">IF($A148-C$3&lt;2,0,OFFSET('FPSO1 Base'!C145,-'FPSO1 Otim'!C$3,0))</f>
        <v>1434.204</v>
      </c>
      <c r="D148" s="19">
        <f ca="1">IF($A148-D$3&lt;2,0,OFFSET('FPSO1 Base'!D145,-'FPSO1 Otim'!D$3,0))</f>
        <v>244.65300000000002</v>
      </c>
      <c r="E148" s="19">
        <f ca="1">IF($A148-E$3&lt;2,0,OFFSET('FPSO1 Base'!E145,-'FPSO1 Otim'!E$3,0))</f>
        <v>586.875</v>
      </c>
      <c r="F148" s="19">
        <f ca="1">IF($A148-F$3&lt;2,0,OFFSET('FPSO1 Base'!F145,-'FPSO1 Otim'!F$3,0))</f>
        <v>758.74950000000001</v>
      </c>
      <c r="G148" s="19">
        <f ca="1">IF($A148-G$3&lt;2,0,OFFSET('FPSO1 Base'!G145,-'FPSO1 Otim'!G$3,0))</f>
        <v>212.02349999999998</v>
      </c>
      <c r="H148" s="19">
        <f ca="1">IF($A148-H$3&lt;2,0,OFFSET('FPSO1 Base'!H145,-'FPSO1 Otim'!H$3,0))</f>
        <v>744.07500000000005</v>
      </c>
      <c r="I148" s="19">
        <f ca="1">IF($A148-I$3&lt;2,0,OFFSET('FPSO1 Base'!I145,-'FPSO1 Otim'!I$3,0))</f>
        <v>563.54100000000005</v>
      </c>
      <c r="J148" s="19">
        <f ca="1">IF($A148-J$3&lt;2,0,OFFSET('FPSO1 Base'!J145,-'FPSO1 Otim'!J$3,0))</f>
        <v>324.75</v>
      </c>
      <c r="K148" s="19">
        <f ca="1">IF($A148-K$3&lt;2,0,OFFSET('FPSO1 Base'!K145,-'FPSO1 Otim'!K$3,0))</f>
        <v>434.23800000000006</v>
      </c>
      <c r="L148" s="19">
        <f ca="1">IF($A148-L$3&lt;2,0,OFFSET('FPSO1 Base'!L145,-'FPSO1 Otim'!L$3,0))</f>
        <v>541.524</v>
      </c>
      <c r="M148" s="19">
        <f ca="1">IF($A148-M$3&lt;2,0,OFFSET('FPSO1 Base'!M145,-'FPSO1 Otim'!M$3,0))</f>
        <v>607.46250000000009</v>
      </c>
      <c r="N148" s="19">
        <f ca="1">IF($A148-N$3&lt;2,0,OFFSET('FPSO1 Base'!N145,-'FPSO1 Otim'!N$3,0))</f>
        <v>82.150282427291501</v>
      </c>
      <c r="O148" s="19">
        <f ca="1">IF($A148-O$3&lt;2,0,OFFSET('FPSO1 Base'!O145,-'FPSO1 Otim'!O$3,0))</f>
        <v>615.2940000000001</v>
      </c>
      <c r="P148" s="19">
        <f ca="1">IF($A148-P$3&lt;2,0,OFFSET('FPSO1 Base'!P145,-'FPSO1 Otim'!P$3,0))</f>
        <v>269.589</v>
      </c>
      <c r="Q148" s="19">
        <f ca="1">IF($A148-Q$3&lt;2,0,OFFSET('FPSO1 Base'!Q145,-'FPSO1 Otim'!Q$3,0))</f>
        <v>446.63699999999994</v>
      </c>
      <c r="R148" s="19">
        <f ca="1">IF($A148-R$3&lt;2,0,OFFSET('FPSO1 Base'!R145,-'FPSO1 Otim'!R$3,0))</f>
        <v>139.40325000000001</v>
      </c>
      <c r="S148" s="19">
        <f ca="1">IF($A148-S$3&lt;2,0,OFFSET('FPSO1 Base'!S145,-'FPSO1 Otim'!S$3,0))</f>
        <v>495</v>
      </c>
      <c r="T148" s="19">
        <f ca="1">IF($A148-T$3&lt;2,0,OFFSET('FPSO1 Base'!T145,-'FPSO1 Otim'!T$3,0))</f>
        <v>653.54700000000003</v>
      </c>
      <c r="U148" s="19">
        <f ca="1">IF($A148-U$3&lt;2,0,OFFSET('FPSO1 Base'!U145,-'FPSO1 Otim'!U$3,0))</f>
        <v>709.37850000000003</v>
      </c>
      <c r="V148" s="19">
        <f ca="1">IF($A148-V$3&lt;2,0,OFFSET('FPSO1 Base'!V145,-'FPSO1 Otim'!V$3,0))</f>
        <v>807.4994999999999</v>
      </c>
      <c r="W148" s="19">
        <f ca="1">IF($A148-W$3&lt;2,0,OFFSET('FPSO1 Base'!W145,-'FPSO1 Otim'!W$3,0))</f>
        <v>331.63350000000003</v>
      </c>
      <c r="X148" s="19">
        <f ca="1">IF($A148-X$3&lt;2,0,OFFSET('FPSO1 Base'!X145,-'FPSO1 Otim'!X$3,0))</f>
        <v>1149.75</v>
      </c>
      <c r="Y148" s="19">
        <f ca="1">IF($A148-Y$3&lt;2,0,OFFSET('FPSO1 Base'!Y145,-'FPSO1 Otim'!Y$3,0))</f>
        <v>516.91200000000003</v>
      </c>
      <c r="Z148" s="19">
        <f ca="1">IF($A148-Z$3&lt;2,0,OFFSET('FPSO1 Base'!Z145,-'FPSO1 Otim'!Z$3,0))</f>
        <v>656.38350000000003</v>
      </c>
      <c r="AA148" s="20">
        <v>15000</v>
      </c>
      <c r="AB148" s="19">
        <f t="shared" ca="1" si="10"/>
        <v>13325.273032427294</v>
      </c>
      <c r="AC148" s="20">
        <f t="shared" ca="1" si="11"/>
        <v>1674.7269675727057</v>
      </c>
      <c r="AD148" s="19">
        <f t="shared" ca="1" si="12"/>
        <v>4101.0066189529553</v>
      </c>
    </row>
    <row r="149" spans="1:30" x14ac:dyDescent="0.25">
      <c r="A149" s="19">
        <v>145</v>
      </c>
      <c r="B149" s="31">
        <v>50010</v>
      </c>
      <c r="C149" s="19">
        <f ca="1">IF($A149-C$3&lt;2,0,OFFSET('FPSO1 Base'!C146,-'FPSO1 Otim'!C$3,0))</f>
        <v>1430.751</v>
      </c>
      <c r="D149" s="19">
        <f ca="1">IF($A149-D$3&lt;2,0,OFFSET('FPSO1 Base'!D146,-'FPSO1 Otim'!D$3,0))</f>
        <v>243.29850000000002</v>
      </c>
      <c r="E149" s="19">
        <f ca="1">IF($A149-E$3&lt;2,0,OFFSET('FPSO1 Base'!E146,-'FPSO1 Otim'!E$3,0))</f>
        <v>585.09749999999997</v>
      </c>
      <c r="F149" s="19">
        <f ca="1">IF($A149-F$3&lt;2,0,OFFSET('FPSO1 Base'!F146,-'FPSO1 Otim'!F$3,0))</f>
        <v>755.83050000000003</v>
      </c>
      <c r="G149" s="19">
        <f ca="1">IF($A149-G$3&lt;2,0,OFFSET('FPSO1 Base'!G146,-'FPSO1 Otim'!G$3,0))</f>
        <v>211.11449999999999</v>
      </c>
      <c r="H149" s="19">
        <f ca="1">IF($A149-H$3&lt;2,0,OFFSET('FPSO1 Base'!H146,-'FPSO1 Otim'!H$3,0))</f>
        <v>742.29750000000001</v>
      </c>
      <c r="I149" s="19">
        <f ca="1">IF($A149-I$3&lt;2,0,OFFSET('FPSO1 Base'!I146,-'FPSO1 Otim'!I$3,0))</f>
        <v>562.54950000000008</v>
      </c>
      <c r="J149" s="19">
        <f ca="1">IF($A149-J$3&lt;2,0,OFFSET('FPSO1 Base'!J146,-'FPSO1 Otim'!J$3,0))</f>
        <v>323.78249999999997</v>
      </c>
      <c r="K149" s="19">
        <f ca="1">IF($A149-K$3&lt;2,0,OFFSET('FPSO1 Base'!K146,-'FPSO1 Otim'!K$3,0))</f>
        <v>432.66900000000004</v>
      </c>
      <c r="L149" s="19">
        <f ca="1">IF($A149-L$3&lt;2,0,OFFSET('FPSO1 Base'!L146,-'FPSO1 Otim'!L$3,0))</f>
        <v>537.4815000000001</v>
      </c>
      <c r="M149" s="19">
        <f ca="1">IF($A149-M$3&lt;2,0,OFFSET('FPSO1 Base'!M146,-'FPSO1 Otim'!M$3,0))</f>
        <v>605.50350000000003</v>
      </c>
      <c r="N149" s="19">
        <f ca="1">IF($A149-N$3&lt;2,0,OFFSET('FPSO1 Base'!N146,-'FPSO1 Otim'!N$3,0))</f>
        <v>81.328779603018589</v>
      </c>
      <c r="O149" s="19">
        <f ca="1">IF($A149-O$3&lt;2,0,OFFSET('FPSO1 Base'!O146,-'FPSO1 Otim'!O$3,0))</f>
        <v>612.75</v>
      </c>
      <c r="P149" s="19">
        <f ca="1">IF($A149-P$3&lt;2,0,OFFSET('FPSO1 Base'!P146,-'FPSO1 Otim'!P$3,0))</f>
        <v>268.54949999999997</v>
      </c>
      <c r="Q149" s="19">
        <f ca="1">IF($A149-Q$3&lt;2,0,OFFSET('FPSO1 Base'!Q146,-'FPSO1 Otim'!Q$3,0))</f>
        <v>446.59950000000003</v>
      </c>
      <c r="R149" s="19">
        <f ca="1">IF($A149-R$3&lt;2,0,OFFSET('FPSO1 Base'!R146,-'FPSO1 Otim'!R$3,0))</f>
        <v>138.02504999999999</v>
      </c>
      <c r="S149" s="19">
        <f ca="1">IF($A149-S$3&lt;2,0,OFFSET('FPSO1 Base'!S146,-'FPSO1 Otim'!S$3,0))</f>
        <v>491.54999999999995</v>
      </c>
      <c r="T149" s="19">
        <f ca="1">IF($A149-T$3&lt;2,0,OFFSET('FPSO1 Base'!T146,-'FPSO1 Otim'!T$3,0))</f>
        <v>654.16949999999997</v>
      </c>
      <c r="U149" s="19">
        <f ca="1">IF($A149-U$3&lt;2,0,OFFSET('FPSO1 Base'!U146,-'FPSO1 Otim'!U$3,0))</f>
        <v>702.49950000000001</v>
      </c>
      <c r="V149" s="19">
        <f ca="1">IF($A149-V$3&lt;2,0,OFFSET('FPSO1 Base'!V146,-'FPSO1 Otim'!V$3,0))</f>
        <v>804.14549999999997</v>
      </c>
      <c r="W149" s="19">
        <f ca="1">IF($A149-W$3&lt;2,0,OFFSET('FPSO1 Base'!W146,-'FPSO1 Otim'!W$3,0))</f>
        <v>330.351</v>
      </c>
      <c r="X149" s="19">
        <f ca="1">IF($A149-X$3&lt;2,0,OFFSET('FPSO1 Base'!X146,-'FPSO1 Otim'!X$3,0))</f>
        <v>1147.3995</v>
      </c>
      <c r="Y149" s="19">
        <f ca="1">IF($A149-Y$3&lt;2,0,OFFSET('FPSO1 Base'!Y146,-'FPSO1 Otim'!Y$3,0))</f>
        <v>516.447</v>
      </c>
      <c r="Z149" s="19">
        <f ca="1">IF($A149-Z$3&lt;2,0,OFFSET('FPSO1 Base'!Z146,-'FPSO1 Otim'!Z$3,0))</f>
        <v>653.21250000000009</v>
      </c>
      <c r="AA149" s="20">
        <v>15000</v>
      </c>
      <c r="AB149" s="19">
        <f t="shared" ca="1" si="10"/>
        <v>13277.402829603019</v>
      </c>
      <c r="AC149" s="20">
        <f t="shared" ca="1" si="11"/>
        <v>1722.5971703969808</v>
      </c>
      <c r="AD149" s="19">
        <f t="shared" ca="1" si="12"/>
        <v>4052.5031517636785</v>
      </c>
    </row>
    <row r="150" spans="1:30" x14ac:dyDescent="0.25">
      <c r="A150" s="19">
        <v>146</v>
      </c>
      <c r="B150" s="31">
        <v>50041</v>
      </c>
      <c r="C150" s="19">
        <f ca="1">IF($A150-C$3&lt;2,0,OFFSET('FPSO1 Base'!C147,-'FPSO1 Otim'!C$3,0))</f>
        <v>1427.3009999999999</v>
      </c>
      <c r="D150" s="19">
        <f ca="1">IF($A150-D$3&lt;2,0,OFFSET('FPSO1 Base'!D147,-'FPSO1 Otim'!D$3,0))</f>
        <v>241.12050000000002</v>
      </c>
      <c r="E150" s="19">
        <f ca="1">IF($A150-E$3&lt;2,0,OFFSET('FPSO1 Base'!E147,-'FPSO1 Otim'!E$3,0))</f>
        <v>583.02449999999999</v>
      </c>
      <c r="F150" s="19">
        <f ca="1">IF($A150-F$3&lt;2,0,OFFSET('FPSO1 Base'!F147,-'FPSO1 Otim'!F$3,0))</f>
        <v>752.65049999999997</v>
      </c>
      <c r="G150" s="19">
        <f ca="1">IF($A150-G$3&lt;2,0,OFFSET('FPSO1 Base'!G147,-'FPSO1 Otim'!G$3,0))</f>
        <v>209.41800000000001</v>
      </c>
      <c r="H150" s="19">
        <f ca="1">IF($A150-H$3&lt;2,0,OFFSET('FPSO1 Base'!H147,-'FPSO1 Otim'!H$3,0))</f>
        <v>740.56349999999998</v>
      </c>
      <c r="I150" s="19">
        <f ca="1">IF($A150-I$3&lt;2,0,OFFSET('FPSO1 Base'!I147,-'FPSO1 Otim'!I$3,0))</f>
        <v>561.31499999999994</v>
      </c>
      <c r="J150" s="19">
        <f ca="1">IF($A150-J$3&lt;2,0,OFFSET('FPSO1 Base'!J147,-'FPSO1 Otim'!J$3,0))</f>
        <v>322.791</v>
      </c>
      <c r="K150" s="19">
        <f ca="1">IF($A150-K$3&lt;2,0,OFFSET('FPSO1 Base'!K147,-'FPSO1 Otim'!K$3,0))</f>
        <v>431.25</v>
      </c>
      <c r="L150" s="19">
        <f ca="1">IF($A150-L$3&lt;2,0,OFFSET('FPSO1 Base'!L147,-'FPSO1 Otim'!L$3,0))</f>
        <v>534.25350000000003</v>
      </c>
      <c r="M150" s="19">
        <f ca="1">IF($A150-M$3&lt;2,0,OFFSET('FPSO1 Base'!M147,-'FPSO1 Otim'!M$3,0))</f>
        <v>603.33750000000009</v>
      </c>
      <c r="N150" s="19">
        <f ca="1">IF($A150-N$3&lt;2,0,OFFSET('FPSO1 Base'!N147,-'FPSO1 Otim'!N$3,0))</f>
        <v>80.515491806988408</v>
      </c>
      <c r="O150" s="19">
        <f ca="1">IF($A150-O$3&lt;2,0,OFFSET('FPSO1 Base'!O147,-'FPSO1 Otim'!O$3,0))</f>
        <v>609.82500000000005</v>
      </c>
      <c r="P150" s="19">
        <f ca="1">IF($A150-P$3&lt;2,0,OFFSET('FPSO1 Base'!P147,-'FPSO1 Otim'!P$3,0))</f>
        <v>258.26549999999997</v>
      </c>
      <c r="Q150" s="19">
        <f ca="1">IF($A150-Q$3&lt;2,0,OFFSET('FPSO1 Base'!Q147,-'FPSO1 Otim'!Q$3,0))</f>
        <v>446.47950000000003</v>
      </c>
      <c r="R150" s="19">
        <f ca="1">IF($A150-R$3&lt;2,0,OFFSET('FPSO1 Base'!R147,-'FPSO1 Otim'!R$3,0))</f>
        <v>136.6935</v>
      </c>
      <c r="S150" s="19">
        <f ca="1">IF($A150-S$3&lt;2,0,OFFSET('FPSO1 Base'!S147,-'FPSO1 Otim'!S$3,0))</f>
        <v>488.45550000000003</v>
      </c>
      <c r="T150" s="19">
        <f ca="1">IF($A150-T$3&lt;2,0,OFFSET('FPSO1 Base'!T147,-'FPSO1 Otim'!T$3,0))</f>
        <v>654.73800000000006</v>
      </c>
      <c r="U150" s="19">
        <f ca="1">IF($A150-U$3&lt;2,0,OFFSET('FPSO1 Base'!U147,-'FPSO1 Otim'!U$3,0))</f>
        <v>696.36300000000006</v>
      </c>
      <c r="V150" s="19">
        <f ca="1">IF($A150-V$3&lt;2,0,OFFSET('FPSO1 Base'!V147,-'FPSO1 Otim'!V$3,0))</f>
        <v>800.40000000000009</v>
      </c>
      <c r="W150" s="19">
        <f ca="1">IF($A150-W$3&lt;2,0,OFFSET('FPSO1 Base'!W147,-'FPSO1 Otim'!W$3,0))</f>
        <v>329.02499999999998</v>
      </c>
      <c r="X150" s="19">
        <f ca="1">IF($A150-X$3&lt;2,0,OFFSET('FPSO1 Base'!X147,-'FPSO1 Otim'!X$3,0))</f>
        <v>1144.9845</v>
      </c>
      <c r="Y150" s="19">
        <f ca="1">IF($A150-Y$3&lt;2,0,OFFSET('FPSO1 Base'!Y147,-'FPSO1 Otim'!Y$3,0))</f>
        <v>515.99399999999991</v>
      </c>
      <c r="Z150" s="19">
        <f ca="1">IF($A150-Z$3&lt;2,0,OFFSET('FPSO1 Base'!Z147,-'FPSO1 Otim'!Z$3,0))</f>
        <v>650.26800000000003</v>
      </c>
      <c r="AA150" s="20">
        <v>15000</v>
      </c>
      <c r="AB150" s="19">
        <f t="shared" ca="1" si="10"/>
        <v>13219.031991806987</v>
      </c>
      <c r="AC150" s="20">
        <f t="shared" ca="1" si="11"/>
        <v>1780.9680081930128</v>
      </c>
      <c r="AD150" s="19">
        <f t="shared" ca="1" si="12"/>
        <v>4001.3427945229714</v>
      </c>
    </row>
    <row r="151" spans="1:30" x14ac:dyDescent="0.25">
      <c r="A151" s="19">
        <v>147</v>
      </c>
      <c r="B151" s="31">
        <v>50072</v>
      </c>
      <c r="C151" s="19">
        <f ca="1">IF($A151-C$3&lt;2,0,OFFSET('FPSO1 Base'!C148,-'FPSO1 Otim'!C$3,0))</f>
        <v>1424.2725</v>
      </c>
      <c r="D151" s="19">
        <f ca="1">IF($A151-D$3&lt;2,0,OFFSET('FPSO1 Base'!D148,-'FPSO1 Otim'!D$3,0))</f>
        <v>239.83199999999999</v>
      </c>
      <c r="E151" s="19">
        <f ca="1">IF($A151-E$3&lt;2,0,OFFSET('FPSO1 Base'!E148,-'FPSO1 Otim'!E$3,0))</f>
        <v>581.10450000000003</v>
      </c>
      <c r="F151" s="19">
        <f ca="1">IF($A151-F$3&lt;2,0,OFFSET('FPSO1 Base'!F148,-'FPSO1 Otim'!F$3,0))</f>
        <v>749.54100000000005</v>
      </c>
      <c r="G151" s="19">
        <f ca="1">IF($A151-G$3&lt;2,0,OFFSET('FPSO1 Base'!G148,-'FPSO1 Otim'!G$3,0))</f>
        <v>208.233</v>
      </c>
      <c r="H151" s="19">
        <f ca="1">IF($A151-H$3&lt;2,0,OFFSET('FPSO1 Base'!H148,-'FPSO1 Otim'!H$3,0))</f>
        <v>738.80099999999993</v>
      </c>
      <c r="I151" s="19">
        <f ca="1">IF($A151-I$3&lt;2,0,OFFSET('FPSO1 Base'!I148,-'FPSO1 Otim'!I$3,0))</f>
        <v>559.79999999999995</v>
      </c>
      <c r="J151" s="19">
        <f ca="1">IF($A151-J$3&lt;2,0,OFFSET('FPSO1 Base'!J148,-'FPSO1 Otim'!J$3,0))</f>
        <v>321.77549999999997</v>
      </c>
      <c r="K151" s="19">
        <f ca="1">IF($A151-K$3&lt;2,0,OFFSET('FPSO1 Base'!K148,-'FPSO1 Otim'!K$3,0))</f>
        <v>429.71849999999995</v>
      </c>
      <c r="L151" s="19">
        <f ca="1">IF($A151-L$3&lt;2,0,OFFSET('FPSO1 Base'!L148,-'FPSO1 Otim'!L$3,0))</f>
        <v>530.67450000000008</v>
      </c>
      <c r="M151" s="19">
        <f ca="1">IF($A151-M$3&lt;2,0,OFFSET('FPSO1 Base'!M148,-'FPSO1 Otim'!M$3,0))</f>
        <v>580.476</v>
      </c>
      <c r="N151" s="19">
        <f ca="1">IF($A151-N$3&lt;2,0,OFFSET('FPSO1 Base'!N148,-'FPSO1 Otim'!N$3,0))</f>
        <v>79.710336888918519</v>
      </c>
      <c r="O151" s="19">
        <f ca="1">IF($A151-O$3&lt;2,0,OFFSET('FPSO1 Base'!O148,-'FPSO1 Otim'!O$3,0))</f>
        <v>607.20899999999995</v>
      </c>
      <c r="P151" s="19">
        <f ca="1">IF($A151-P$3&lt;2,0,OFFSET('FPSO1 Base'!P148,-'FPSO1 Otim'!P$3,0))</f>
        <v>256.089</v>
      </c>
      <c r="Q151" s="19">
        <f ca="1">IF($A151-Q$3&lt;2,0,OFFSET('FPSO1 Base'!Q148,-'FPSO1 Otim'!Q$3,0))</f>
        <v>446.31299999999999</v>
      </c>
      <c r="R151" s="19">
        <f ca="1">IF($A151-R$3&lt;2,0,OFFSET('FPSO1 Base'!R148,-'FPSO1 Otim'!R$3,0))</f>
        <v>135.32505</v>
      </c>
      <c r="S151" s="19">
        <f ca="1">IF($A151-S$3&lt;2,0,OFFSET('FPSO1 Base'!S148,-'FPSO1 Otim'!S$3,0))</f>
        <v>485.08799999999997</v>
      </c>
      <c r="T151" s="19">
        <f ca="1">IF($A151-T$3&lt;2,0,OFFSET('FPSO1 Base'!T148,-'FPSO1 Otim'!T$3,0))</f>
        <v>655.13699999999994</v>
      </c>
      <c r="U151" s="19">
        <f ca="1">IF($A151-U$3&lt;2,0,OFFSET('FPSO1 Base'!U148,-'FPSO1 Otim'!U$3,0))</f>
        <v>690.02549999999997</v>
      </c>
      <c r="V151" s="19">
        <f ca="1">IF($A151-V$3&lt;2,0,OFFSET('FPSO1 Base'!V148,-'FPSO1 Otim'!V$3,0))</f>
        <v>796.88700000000006</v>
      </c>
      <c r="W151" s="19">
        <f ca="1">IF($A151-W$3&lt;2,0,OFFSET('FPSO1 Base'!W148,-'FPSO1 Otim'!W$3,0))</f>
        <v>327.786</v>
      </c>
      <c r="X151" s="19">
        <f ca="1">IF($A151-X$3&lt;2,0,OFFSET('FPSO1 Base'!X148,-'FPSO1 Otim'!X$3,0))</f>
        <v>1142.5155</v>
      </c>
      <c r="Y151" s="19">
        <f ca="1">IF($A151-Y$3&lt;2,0,OFFSET('FPSO1 Base'!Y148,-'FPSO1 Otim'!Y$3,0))</f>
        <v>515.5440000000001</v>
      </c>
      <c r="Z151" s="19">
        <f ca="1">IF($A151-Z$3&lt;2,0,OFFSET('FPSO1 Base'!Z148,-'FPSO1 Otim'!Z$3,0))</f>
        <v>647.13149999999996</v>
      </c>
      <c r="AA151" s="20">
        <v>15000</v>
      </c>
      <c r="AB151" s="19">
        <f t="shared" ca="1" si="10"/>
        <v>13148.989386888918</v>
      </c>
      <c r="AC151" s="20">
        <f t="shared" ca="1" si="11"/>
        <v>1851.0106131110824</v>
      </c>
      <c r="AD151" s="19">
        <f t="shared" ca="1" si="12"/>
        <v>3947.2474773596791</v>
      </c>
    </row>
    <row r="152" spans="1:30" x14ac:dyDescent="0.25">
      <c r="A152" s="19">
        <v>148</v>
      </c>
      <c r="B152" s="31">
        <v>50100</v>
      </c>
      <c r="C152" s="19">
        <f ca="1">IF($A152-C$3&lt;2,0,OFFSET('FPSO1 Base'!C149,-'FPSO1 Otim'!C$3,0))</f>
        <v>1420.9214999999999</v>
      </c>
      <c r="D152" s="19">
        <f ca="1">IF($A152-D$3&lt;2,0,OFFSET('FPSO1 Base'!D149,-'FPSO1 Otim'!D$3,0))</f>
        <v>237.54149999999998</v>
      </c>
      <c r="E152" s="19">
        <f ca="1">IF($A152-E$3&lt;2,0,OFFSET('FPSO1 Base'!E149,-'FPSO1 Otim'!E$3,0))</f>
        <v>578.97450000000003</v>
      </c>
      <c r="F152" s="19">
        <f ca="1">IF($A152-F$3&lt;2,0,OFFSET('FPSO1 Base'!F149,-'FPSO1 Otim'!F$3,0))</f>
        <v>746.577</v>
      </c>
      <c r="G152" s="19">
        <f ca="1">IF($A152-G$3&lt;2,0,OFFSET('FPSO1 Base'!G149,-'FPSO1 Otim'!G$3,0))</f>
        <v>207.12900000000002</v>
      </c>
      <c r="H152" s="19">
        <f ca="1">IF($A152-H$3&lt;2,0,OFFSET('FPSO1 Base'!H149,-'FPSO1 Otim'!H$3,0))</f>
        <v>737.56050000000005</v>
      </c>
      <c r="I152" s="19">
        <f ca="1">IF($A152-I$3&lt;2,0,OFFSET('FPSO1 Base'!I149,-'FPSO1 Otim'!I$3,0))</f>
        <v>558.774</v>
      </c>
      <c r="J152" s="19">
        <f ca="1">IF($A152-J$3&lt;2,0,OFFSET('FPSO1 Base'!J149,-'FPSO1 Otim'!J$3,0))</f>
        <v>320.87850000000003</v>
      </c>
      <c r="K152" s="19">
        <f ca="1">IF($A152-K$3&lt;2,0,OFFSET('FPSO1 Base'!K149,-'FPSO1 Otim'!K$3,0))</f>
        <v>413.18999999999994</v>
      </c>
      <c r="L152" s="19">
        <f ca="1">IF($A152-L$3&lt;2,0,OFFSET('FPSO1 Base'!L149,-'FPSO1 Otim'!L$3,0))</f>
        <v>527.23800000000006</v>
      </c>
      <c r="M152" s="19">
        <f ca="1">IF($A152-M$3&lt;2,0,OFFSET('FPSO1 Base'!M149,-'FPSO1 Otim'!M$3,0))</f>
        <v>576.60450000000003</v>
      </c>
      <c r="N152" s="19">
        <f ca="1">IF($A152-N$3&lt;2,0,OFFSET('FPSO1 Base'!N149,-'FPSO1 Otim'!N$3,0))</f>
        <v>78.913233520029337</v>
      </c>
      <c r="O152" s="19">
        <f ca="1">IF($A152-O$3&lt;2,0,OFFSET('FPSO1 Base'!O149,-'FPSO1 Otim'!O$3,0))</f>
        <v>604.30050000000006</v>
      </c>
      <c r="P152" s="19">
        <f ca="1">IF($A152-P$3&lt;2,0,OFFSET('FPSO1 Base'!P149,-'FPSO1 Otim'!P$3,0))</f>
        <v>255.43950000000001</v>
      </c>
      <c r="Q152" s="19">
        <f ca="1">IF($A152-Q$3&lt;2,0,OFFSET('FPSO1 Base'!Q149,-'FPSO1 Otim'!Q$3,0))</f>
        <v>446.14050000000003</v>
      </c>
      <c r="R152" s="19">
        <f ca="1">IF($A152-R$3&lt;2,0,OFFSET('FPSO1 Base'!R149,-'FPSO1 Otim'!R$3,0))</f>
        <v>134.15325000000001</v>
      </c>
      <c r="S152" s="19">
        <f ca="1">IF($A152-S$3&lt;2,0,OFFSET('FPSO1 Base'!S149,-'FPSO1 Otim'!S$3,0))</f>
        <v>481.947</v>
      </c>
      <c r="T152" s="19">
        <f ca="1">IF($A152-T$3&lt;2,0,OFFSET('FPSO1 Base'!T149,-'FPSO1 Otim'!T$3,0))</f>
        <v>655.47450000000003</v>
      </c>
      <c r="U152" s="19">
        <f ca="1">IF($A152-U$3&lt;2,0,OFFSET('FPSO1 Base'!U149,-'FPSO1 Otim'!U$3,0))</f>
        <v>684.38699999999994</v>
      </c>
      <c r="V152" s="19">
        <f ca="1">IF($A152-V$3&lt;2,0,OFFSET('FPSO1 Base'!V149,-'FPSO1 Otim'!V$3,0))</f>
        <v>793.88700000000006</v>
      </c>
      <c r="W152" s="19">
        <f ca="1">IF($A152-W$3&lt;2,0,OFFSET('FPSO1 Base'!W149,-'FPSO1 Otim'!W$3,0))</f>
        <v>326.4255</v>
      </c>
      <c r="X152" s="19">
        <f ca="1">IF($A152-X$3&lt;2,0,OFFSET('FPSO1 Base'!X149,-'FPSO1 Otim'!X$3,0))</f>
        <v>1139.4645</v>
      </c>
      <c r="Y152" s="19">
        <f ca="1">IF($A152-Y$3&lt;2,0,OFFSET('FPSO1 Base'!Y149,-'FPSO1 Otim'!Y$3,0))</f>
        <v>515.14049999999997</v>
      </c>
      <c r="Z152" s="19">
        <f ca="1">IF($A152-Z$3&lt;2,0,OFFSET('FPSO1 Base'!Z149,-'FPSO1 Otim'!Z$3,0))</f>
        <v>639.49649999999997</v>
      </c>
      <c r="AA152" s="20">
        <v>15000</v>
      </c>
      <c r="AB152" s="19">
        <f t="shared" ca="1" si="10"/>
        <v>13080.55848352003</v>
      </c>
      <c r="AC152" s="20">
        <f t="shared" ca="1" si="11"/>
        <v>1919.4415164799702</v>
      </c>
      <c r="AD152" s="19">
        <f t="shared" ca="1" si="12"/>
        <v>3894.2528251403951</v>
      </c>
    </row>
    <row r="153" spans="1:30" x14ac:dyDescent="0.25">
      <c r="A153" s="19">
        <v>149</v>
      </c>
      <c r="B153" s="31">
        <v>50131</v>
      </c>
      <c r="C153" s="19">
        <f ca="1">IF($A153-C$3&lt;2,0,OFFSET('FPSO1 Base'!C150,-'FPSO1 Otim'!C$3,0))</f>
        <v>1417.7730000000001</v>
      </c>
      <c r="D153" s="19">
        <f ca="1">IF($A153-D$3&lt;2,0,OFFSET('FPSO1 Base'!D150,-'FPSO1 Otim'!D$3,0))</f>
        <v>235.899</v>
      </c>
      <c r="E153" s="19">
        <f ca="1">IF($A153-E$3&lt;2,0,OFFSET('FPSO1 Base'!E150,-'FPSO1 Otim'!E$3,0))</f>
        <v>576.99149999999997</v>
      </c>
      <c r="F153" s="19">
        <f ca="1">IF($A153-F$3&lt;2,0,OFFSET('FPSO1 Base'!F150,-'FPSO1 Otim'!F$3,0))</f>
        <v>742.9815000000001</v>
      </c>
      <c r="G153" s="19">
        <f ca="1">IF($A153-G$3&lt;2,0,OFFSET('FPSO1 Base'!G150,-'FPSO1 Otim'!G$3,0))</f>
        <v>206.07599999999996</v>
      </c>
      <c r="H153" s="19">
        <f ca="1">IF($A153-H$3&lt;2,0,OFFSET('FPSO1 Base'!H150,-'FPSO1 Otim'!H$3,0))</f>
        <v>736.21350000000007</v>
      </c>
      <c r="I153" s="19">
        <f ca="1">IF($A153-I$3&lt;2,0,OFFSET('FPSO1 Base'!I150,-'FPSO1 Otim'!I$3,0))</f>
        <v>557.78250000000003</v>
      </c>
      <c r="J153" s="19">
        <f ca="1">IF($A153-J$3&lt;2,0,OFFSET('FPSO1 Base'!J150,-'FPSO1 Otim'!J$3,0))</f>
        <v>319.90049999999997</v>
      </c>
      <c r="K153" s="19">
        <f ca="1">IF($A153-K$3&lt;2,0,OFFSET('FPSO1 Base'!K150,-'FPSO1 Otim'!K$3,0))</f>
        <v>410.322</v>
      </c>
      <c r="L153" s="19">
        <f ca="1">IF($A153-L$3&lt;2,0,OFFSET('FPSO1 Base'!L150,-'FPSO1 Otim'!L$3,0))</f>
        <v>523.67550000000006</v>
      </c>
      <c r="M153" s="19">
        <f ca="1">IF($A153-M$3&lt;2,0,OFFSET('FPSO1 Base'!M150,-'FPSO1 Otim'!M$3,0))</f>
        <v>574.48649999999998</v>
      </c>
      <c r="N153" s="19">
        <f ca="1">IF($A153-N$3&lt;2,0,OFFSET('FPSO1 Base'!N150,-'FPSO1 Otim'!N$3,0))</f>
        <v>78.124101184829044</v>
      </c>
      <c r="O153" s="19">
        <f ca="1">IF($A153-O$3&lt;2,0,OFFSET('FPSO1 Base'!O150,-'FPSO1 Otim'!O$3,0))</f>
        <v>601.66949999999997</v>
      </c>
      <c r="P153" s="19">
        <f ca="1">IF($A153-P$3&lt;2,0,OFFSET('FPSO1 Base'!P150,-'FPSO1 Otim'!P$3,0))</f>
        <v>254.952</v>
      </c>
      <c r="Q153" s="19">
        <f ca="1">IF($A153-Q$3&lt;2,0,OFFSET('FPSO1 Base'!Q150,-'FPSO1 Otim'!Q$3,0))</f>
        <v>445.97249999999997</v>
      </c>
      <c r="R153" s="19">
        <f ca="1">IF($A153-R$3&lt;2,0,OFFSET('FPSO1 Base'!R150,-'FPSO1 Otim'!R$3,0))</f>
        <v>133.04040000000001</v>
      </c>
      <c r="S153" s="19">
        <f ca="1">IF($A153-S$3&lt;2,0,OFFSET('FPSO1 Base'!S150,-'FPSO1 Otim'!S$3,0))</f>
        <v>478.851</v>
      </c>
      <c r="T153" s="19">
        <f ca="1">IF($A153-T$3&lt;2,0,OFFSET('FPSO1 Base'!T150,-'FPSO1 Otim'!T$3,0))</f>
        <v>655.72950000000003</v>
      </c>
      <c r="U153" s="19">
        <f ca="1">IF($A153-U$3&lt;2,0,OFFSET('FPSO1 Base'!U150,-'FPSO1 Otim'!U$3,0))</f>
        <v>678.99149999999997</v>
      </c>
      <c r="V153" s="19">
        <f ca="1">IF($A153-V$3&lt;2,0,OFFSET('FPSO1 Base'!V150,-'FPSO1 Otim'!V$3,0))</f>
        <v>790.2315000000001</v>
      </c>
      <c r="W153" s="19">
        <f ca="1">IF($A153-W$3&lt;2,0,OFFSET('FPSO1 Base'!W150,-'FPSO1 Otim'!W$3,0))</f>
        <v>324.88350000000003</v>
      </c>
      <c r="X153" s="19">
        <f ca="1">IF($A153-X$3&lt;2,0,OFFSET('FPSO1 Base'!X150,-'FPSO1 Otim'!X$3,0))</f>
        <v>1136.9024999999999</v>
      </c>
      <c r="Y153" s="19">
        <f ca="1">IF($A153-Y$3&lt;2,0,OFFSET('FPSO1 Base'!Y150,-'FPSO1 Otim'!Y$3,0))</f>
        <v>514.71299999999997</v>
      </c>
      <c r="Z153" s="19">
        <f ca="1">IF($A153-Z$3&lt;2,0,OFFSET('FPSO1 Base'!Z150,-'FPSO1 Otim'!Z$3,0))</f>
        <v>636.14549999999997</v>
      </c>
      <c r="AA153" s="20">
        <v>15000</v>
      </c>
      <c r="AB153" s="19">
        <f t="shared" ca="1" si="10"/>
        <v>13032.308001184829</v>
      </c>
      <c r="AC153" s="20">
        <f t="shared" ca="1" si="11"/>
        <v>1967.6919988151712</v>
      </c>
      <c r="AD153" s="19">
        <f t="shared" ca="1" si="12"/>
        <v>3847.8228370756647</v>
      </c>
    </row>
    <row r="154" spans="1:30" x14ac:dyDescent="0.25">
      <c r="A154" s="19">
        <v>150</v>
      </c>
      <c r="B154" s="31">
        <v>50161</v>
      </c>
      <c r="C154" s="19">
        <f ca="1">IF($A154-C$3&lt;2,0,OFFSET('FPSO1 Base'!C151,-'FPSO1 Otim'!C$3,0))</f>
        <v>1414.566</v>
      </c>
      <c r="D154" s="19">
        <f ca="1">IF($A154-D$3&lt;2,0,OFFSET('FPSO1 Base'!D151,-'FPSO1 Otim'!D$3,0))</f>
        <v>234.30149999999998</v>
      </c>
      <c r="E154" s="19">
        <f ca="1">IF($A154-E$3&lt;2,0,OFFSET('FPSO1 Base'!E151,-'FPSO1 Otim'!E$3,0))</f>
        <v>575.00850000000003</v>
      </c>
      <c r="F154" s="19">
        <f ca="1">IF($A154-F$3&lt;2,0,OFFSET('FPSO1 Base'!F151,-'FPSO1 Otim'!F$3,0))</f>
        <v>740.08050000000003</v>
      </c>
      <c r="G154" s="19">
        <f ca="1">IF($A154-G$3&lt;2,0,OFFSET('FPSO1 Base'!G151,-'FPSO1 Otim'!G$3,0))</f>
        <v>204.99</v>
      </c>
      <c r="H154" s="19">
        <f ca="1">IF($A154-H$3&lt;2,0,OFFSET('FPSO1 Base'!H151,-'FPSO1 Otim'!H$3,0))</f>
        <v>734.71350000000007</v>
      </c>
      <c r="I154" s="19">
        <f ca="1">IF($A154-I$3&lt;2,0,OFFSET('FPSO1 Base'!I151,-'FPSO1 Otim'!I$3,0))</f>
        <v>556.5809999999999</v>
      </c>
      <c r="J154" s="19">
        <f ca="1">IF($A154-J$3&lt;2,0,OFFSET('FPSO1 Base'!J151,-'FPSO1 Otim'!J$3,0))</f>
        <v>318.99149999999997</v>
      </c>
      <c r="K154" s="19">
        <f ca="1">IF($A154-K$3&lt;2,0,OFFSET('FPSO1 Base'!K151,-'FPSO1 Otim'!K$3,0))</f>
        <v>408.40800000000002</v>
      </c>
      <c r="L154" s="19">
        <f ca="1">IF($A154-L$3&lt;2,0,OFFSET('FPSO1 Base'!L151,-'FPSO1 Otim'!L$3,0))</f>
        <v>520.27049999999997</v>
      </c>
      <c r="M154" s="19">
        <f ca="1">IF($A154-M$3&lt;2,0,OFFSET('FPSO1 Base'!M151,-'FPSO1 Otim'!M$3,0))</f>
        <v>572.68500000000006</v>
      </c>
      <c r="N154" s="19">
        <f ca="1">IF($A154-N$3&lt;2,0,OFFSET('FPSO1 Base'!N151,-'FPSO1 Otim'!N$3,0))</f>
        <v>77.34286017298075</v>
      </c>
      <c r="O154" s="19">
        <f ca="1">IF($A154-O$3&lt;2,0,OFFSET('FPSO1 Base'!O151,-'FPSO1 Otim'!O$3,0))</f>
        <v>599.08050000000003</v>
      </c>
      <c r="P154" s="19">
        <f ca="1">IF($A154-P$3&lt;2,0,OFFSET('FPSO1 Base'!P151,-'FPSO1 Otim'!P$3,0))</f>
        <v>254.4255</v>
      </c>
      <c r="Q154" s="19">
        <f ca="1">IF($A154-Q$3&lt;2,0,OFFSET('FPSO1 Base'!Q151,-'FPSO1 Otim'!Q$3,0))</f>
        <v>445.71299999999997</v>
      </c>
      <c r="R154" s="19">
        <f ca="1">IF($A154-R$3&lt;2,0,OFFSET('FPSO1 Base'!R151,-'FPSO1 Otim'!R$3,0))</f>
        <v>131.95005</v>
      </c>
      <c r="S154" s="19">
        <f ca="1">IF($A154-S$3&lt;2,0,OFFSET('FPSO1 Base'!S151,-'FPSO1 Otim'!S$3,0))</f>
        <v>475.57500000000005</v>
      </c>
      <c r="T154" s="19">
        <f ca="1">IF($A154-T$3&lt;2,0,OFFSET('FPSO1 Base'!T151,-'FPSO1 Otim'!T$3,0))</f>
        <v>655.875</v>
      </c>
      <c r="U154" s="19">
        <f ca="1">IF($A154-U$3&lt;2,0,OFFSET('FPSO1 Base'!U151,-'FPSO1 Otim'!U$3,0))</f>
        <v>673.47450000000003</v>
      </c>
      <c r="V154" s="19">
        <f ca="1">IF($A154-V$3&lt;2,0,OFFSET('FPSO1 Base'!V151,-'FPSO1 Otim'!V$3,0))</f>
        <v>787.40249999999992</v>
      </c>
      <c r="W154" s="19">
        <f ca="1">IF($A154-W$3&lt;2,0,OFFSET('FPSO1 Base'!W151,-'FPSO1 Otim'!W$3,0))</f>
        <v>323.46750000000003</v>
      </c>
      <c r="X154" s="19">
        <f ca="1">IF($A154-X$3&lt;2,0,OFFSET('FPSO1 Base'!X151,-'FPSO1 Otim'!X$3,0))</f>
        <v>1133.8004999999998</v>
      </c>
      <c r="Y154" s="19">
        <f ca="1">IF($A154-Y$3&lt;2,0,OFFSET('FPSO1 Base'!Y151,-'FPSO1 Otim'!Y$3,0))</f>
        <v>514.32449999999994</v>
      </c>
      <c r="Z154" s="19">
        <f ca="1">IF($A154-Z$3&lt;2,0,OFFSET('FPSO1 Base'!Z151,-'FPSO1 Otim'!Z$3,0))</f>
        <v>633.01949999999999</v>
      </c>
      <c r="AA154" s="20">
        <v>15000</v>
      </c>
      <c r="AB154" s="19">
        <f t="shared" ca="1" si="10"/>
        <v>12986.046910172983</v>
      </c>
      <c r="AC154" s="20">
        <f t="shared" ca="1" si="11"/>
        <v>2013.9530898270168</v>
      </c>
      <c r="AD154" s="19">
        <f t="shared" ca="1" si="12"/>
        <v>3802.4768227633999</v>
      </c>
    </row>
    <row r="155" spans="1:30" x14ac:dyDescent="0.25">
      <c r="A155" s="19">
        <v>151</v>
      </c>
      <c r="B155" s="31">
        <v>50192</v>
      </c>
      <c r="C155" s="19">
        <f ca="1">IF($A155-C$3&lt;2,0,OFFSET('FPSO1 Base'!C152,-'FPSO1 Otim'!C$3,0))</f>
        <v>1411.4985000000001</v>
      </c>
      <c r="D155" s="19">
        <f ca="1">IF($A155-D$3&lt;2,0,OFFSET('FPSO1 Base'!D152,-'FPSO1 Otim'!D$3,0))</f>
        <v>232.76850000000002</v>
      </c>
      <c r="E155" s="19">
        <f ca="1">IF($A155-E$3&lt;2,0,OFFSET('FPSO1 Base'!E152,-'FPSO1 Otim'!E$3,0))</f>
        <v>572.95049999999992</v>
      </c>
      <c r="F155" s="19">
        <f ca="1">IF($A155-F$3&lt;2,0,OFFSET('FPSO1 Base'!F152,-'FPSO1 Otim'!F$3,0))</f>
        <v>736.62450000000001</v>
      </c>
      <c r="G155" s="19">
        <f ca="1">IF($A155-G$3&lt;2,0,OFFSET('FPSO1 Base'!G152,-'FPSO1 Otim'!G$3,0))</f>
        <v>203.86349999999999</v>
      </c>
      <c r="H155" s="19">
        <f ca="1">IF($A155-H$3&lt;2,0,OFFSET('FPSO1 Base'!H152,-'FPSO1 Otim'!H$3,0))</f>
        <v>733.15499999999997</v>
      </c>
      <c r="I155" s="19">
        <f ca="1">IF($A155-I$3&lt;2,0,OFFSET('FPSO1 Base'!I152,-'FPSO1 Otim'!I$3,0))</f>
        <v>555.50850000000003</v>
      </c>
      <c r="J155" s="19">
        <f ca="1">IF($A155-J$3&lt;2,0,OFFSET('FPSO1 Base'!J152,-'FPSO1 Otim'!J$3,0))</f>
        <v>318.14550000000003</v>
      </c>
      <c r="K155" s="19">
        <f ca="1">IF($A155-K$3&lt;2,0,OFFSET('FPSO1 Base'!K152,-'FPSO1 Otim'!K$3,0))</f>
        <v>406.84500000000003</v>
      </c>
      <c r="L155" s="19">
        <f ca="1">IF($A155-L$3&lt;2,0,OFFSET('FPSO1 Base'!L152,-'FPSO1 Otim'!L$3,0))</f>
        <v>516.89549999999997</v>
      </c>
      <c r="M155" s="19">
        <f ca="1">IF($A155-M$3&lt;2,0,OFFSET('FPSO1 Base'!M152,-'FPSO1 Otim'!M$3,0))</f>
        <v>570.63750000000005</v>
      </c>
      <c r="N155" s="19">
        <f ca="1">IF($A155-N$3&lt;2,0,OFFSET('FPSO1 Base'!N152,-'FPSO1 Otim'!N$3,0))</f>
        <v>76.569431571250945</v>
      </c>
      <c r="O155" s="19">
        <f ca="1">IF($A155-O$3&lt;2,0,OFFSET('FPSO1 Base'!O152,-'FPSO1 Otim'!O$3,0))</f>
        <v>596.44949999999994</v>
      </c>
      <c r="P155" s="19">
        <f ca="1">IF($A155-P$3&lt;2,0,OFFSET('FPSO1 Base'!P152,-'FPSO1 Otim'!P$3,0))</f>
        <v>253.791</v>
      </c>
      <c r="Q155" s="19">
        <f ca="1">IF($A155-Q$3&lt;2,0,OFFSET('FPSO1 Base'!Q152,-'FPSO1 Otim'!Q$3,0))</f>
        <v>445.5</v>
      </c>
      <c r="R155" s="19">
        <f ca="1">IF($A155-R$3&lt;2,0,OFFSET('FPSO1 Base'!R152,-'FPSO1 Otim'!R$3,0))</f>
        <v>131.08064999999999</v>
      </c>
      <c r="S155" s="19">
        <f ca="1">IF($A155-S$3&lt;2,0,OFFSET('FPSO1 Base'!S152,-'FPSO1 Otim'!S$3,0))</f>
        <v>472.548</v>
      </c>
      <c r="T155" s="19">
        <f ca="1">IF($A155-T$3&lt;2,0,OFFSET('FPSO1 Base'!T152,-'FPSO1 Otim'!T$3,0))</f>
        <v>655.97550000000001</v>
      </c>
      <c r="U155" s="19">
        <f ca="1">IF($A155-U$3&lt;2,0,OFFSET('FPSO1 Base'!U152,-'FPSO1 Otim'!U$3,0))</f>
        <v>668.73450000000003</v>
      </c>
      <c r="V155" s="19">
        <f ca="1">IF($A155-V$3&lt;2,0,OFFSET('FPSO1 Base'!V152,-'FPSO1 Otim'!V$3,0))</f>
        <v>783.94950000000006</v>
      </c>
      <c r="W155" s="19">
        <f ca="1">IF($A155-W$3&lt;2,0,OFFSET('FPSO1 Base'!W152,-'FPSO1 Otim'!W$3,0))</f>
        <v>321.96449999999999</v>
      </c>
      <c r="X155" s="19">
        <f ca="1">IF($A155-X$3&lt;2,0,OFFSET('FPSO1 Base'!X152,-'FPSO1 Otim'!X$3,0))</f>
        <v>1130.8785</v>
      </c>
      <c r="Y155" s="19">
        <f ca="1">IF($A155-Y$3&lt;2,0,OFFSET('FPSO1 Base'!Y152,-'FPSO1 Otim'!Y$3,0))</f>
        <v>513.9615</v>
      </c>
      <c r="Z155" s="19">
        <f ca="1">IF($A155-Z$3&lt;2,0,OFFSET('FPSO1 Base'!Z152,-'FPSO1 Otim'!Z$3,0))</f>
        <v>630.399</v>
      </c>
      <c r="AA155" s="20">
        <v>15000</v>
      </c>
      <c r="AB155" s="19">
        <f t="shared" ca="1" si="10"/>
        <v>12940.694081571251</v>
      </c>
      <c r="AC155" s="20">
        <f t="shared" ca="1" si="11"/>
        <v>2059.3059184287486</v>
      </c>
      <c r="AD155" s="19">
        <f t="shared" ca="1" si="12"/>
        <v>3757.8812705172822</v>
      </c>
    </row>
    <row r="156" spans="1:30" x14ac:dyDescent="0.25">
      <c r="A156" s="19">
        <v>152</v>
      </c>
      <c r="B156" s="31">
        <v>50222</v>
      </c>
      <c r="C156" s="19">
        <f ca="1">IF($A156-C$3&lt;2,0,OFFSET('FPSO1 Base'!C153,-'FPSO1 Otim'!C$3,0))</f>
        <v>1408.3530000000001</v>
      </c>
      <c r="D156" s="19">
        <f ca="1">IF($A156-D$3&lt;2,0,OFFSET('FPSO1 Base'!D153,-'FPSO1 Otim'!D$3,0))</f>
        <v>231.21299999999999</v>
      </c>
      <c r="E156" s="19">
        <f ca="1">IF($A156-E$3&lt;2,0,OFFSET('FPSO1 Base'!E153,-'FPSO1 Otim'!E$3,0))</f>
        <v>571.101</v>
      </c>
      <c r="F156" s="19">
        <f ca="1">IF($A156-F$3&lt;2,0,OFFSET('FPSO1 Base'!F153,-'FPSO1 Otim'!F$3,0))</f>
        <v>733.476</v>
      </c>
      <c r="G156" s="19">
        <f ca="1">IF($A156-G$3&lt;2,0,OFFSET('FPSO1 Base'!G153,-'FPSO1 Otim'!G$3,0))</f>
        <v>202.88099999999997</v>
      </c>
      <c r="H156" s="19">
        <f ca="1">IF($A156-H$3&lt;2,0,OFFSET('FPSO1 Base'!H153,-'FPSO1 Otim'!H$3,0))</f>
        <v>731.47649999999999</v>
      </c>
      <c r="I156" s="19">
        <f ca="1">IF($A156-I$3&lt;2,0,OFFSET('FPSO1 Base'!I153,-'FPSO1 Otim'!I$3,0))</f>
        <v>554.20049999999992</v>
      </c>
      <c r="J156" s="19">
        <f ca="1">IF($A156-J$3&lt;2,0,OFFSET('FPSO1 Base'!J153,-'FPSO1 Otim'!J$3,0))</f>
        <v>317.16899999999998</v>
      </c>
      <c r="K156" s="19">
        <f ca="1">IF($A156-K$3&lt;2,0,OFFSET('FPSO1 Base'!K153,-'FPSO1 Otim'!K$3,0))</f>
        <v>402.67499999999995</v>
      </c>
      <c r="L156" s="19">
        <f ca="1">IF($A156-L$3&lt;2,0,OFFSET('FPSO1 Base'!L153,-'FPSO1 Otim'!L$3,0))</f>
        <v>513.45000000000005</v>
      </c>
      <c r="M156" s="19">
        <f ca="1">IF($A156-M$3&lt;2,0,OFFSET('FPSO1 Base'!M153,-'FPSO1 Otim'!M$3,0))</f>
        <v>568.71749999999997</v>
      </c>
      <c r="N156" s="19">
        <f ca="1">IF($A156-N$3&lt;2,0,OFFSET('FPSO1 Base'!N153,-'FPSO1 Otim'!N$3,0))</f>
        <v>75.803737255538437</v>
      </c>
      <c r="O156" s="19">
        <f ca="1">IF($A156-O$3&lt;2,0,OFFSET('FPSO1 Base'!O153,-'FPSO1 Otim'!O$3,0))</f>
        <v>594.12149999999997</v>
      </c>
      <c r="P156" s="19">
        <f ca="1">IF($A156-P$3&lt;2,0,OFFSET('FPSO1 Base'!P153,-'FPSO1 Otim'!P$3,0))</f>
        <v>253.17449999999997</v>
      </c>
      <c r="Q156" s="19">
        <f ca="1">IF($A156-Q$3&lt;2,0,OFFSET('FPSO1 Base'!Q153,-'FPSO1 Otim'!Q$3,0))</f>
        <v>445.21199999999999</v>
      </c>
      <c r="R156" s="19">
        <f ca="1">IF($A156-R$3&lt;2,0,OFFSET('FPSO1 Base'!R153,-'FPSO1 Otim'!R$3,0))</f>
        <v>130.125</v>
      </c>
      <c r="S156" s="19">
        <f ca="1">IF($A156-S$3&lt;2,0,OFFSET('FPSO1 Base'!S153,-'FPSO1 Otim'!S$3,0))</f>
        <v>469.39949999999999</v>
      </c>
      <c r="T156" s="19">
        <f ca="1">IF($A156-T$3&lt;2,0,OFFSET('FPSO1 Base'!T153,-'FPSO1 Otim'!T$3,0))</f>
        <v>655.98450000000003</v>
      </c>
      <c r="U156" s="19">
        <f ca="1">IF($A156-U$3&lt;2,0,OFFSET('FPSO1 Base'!U153,-'FPSO1 Otim'!U$3,0))</f>
        <v>664.22550000000001</v>
      </c>
      <c r="V156" s="19">
        <f ca="1">IF($A156-V$3&lt;2,0,OFFSET('FPSO1 Base'!V153,-'FPSO1 Otim'!V$3,0))</f>
        <v>780.87149999999997</v>
      </c>
      <c r="W156" s="19">
        <f ca="1">IF($A156-W$3&lt;2,0,OFFSET('FPSO1 Base'!W153,-'FPSO1 Otim'!W$3,0))</f>
        <v>320.84250000000003</v>
      </c>
      <c r="X156" s="19">
        <f ca="1">IF($A156-X$3&lt;2,0,OFFSET('FPSO1 Base'!X153,-'FPSO1 Otim'!X$3,0))</f>
        <v>1127.6745000000001</v>
      </c>
      <c r="Y156" s="19">
        <f ca="1">IF($A156-Y$3&lt;2,0,OFFSET('FPSO1 Base'!Y153,-'FPSO1 Otim'!Y$3,0))</f>
        <v>513.4815000000001</v>
      </c>
      <c r="Z156" s="19">
        <f ca="1">IF($A156-Z$3&lt;2,0,OFFSET('FPSO1 Base'!Z153,-'FPSO1 Otim'!Z$3,0))</f>
        <v>627.41249999999991</v>
      </c>
      <c r="AA156" s="20">
        <v>15000</v>
      </c>
      <c r="AB156" s="19">
        <f t="shared" ca="1" si="10"/>
        <v>12893.04123725554</v>
      </c>
      <c r="AC156" s="20">
        <f t="shared" ca="1" si="11"/>
        <v>2106.9587627444598</v>
      </c>
      <c r="AD156" s="19">
        <f t="shared" ca="1" si="12"/>
        <v>3713.1007330010334</v>
      </c>
    </row>
    <row r="157" spans="1:30" x14ac:dyDescent="0.25">
      <c r="A157" s="19">
        <v>153</v>
      </c>
      <c r="B157" s="31">
        <v>50253</v>
      </c>
      <c r="C157" s="19">
        <f ca="1">IF($A157-C$3&lt;2,0,OFFSET('FPSO1 Base'!C154,-'FPSO1 Otim'!C$3,0))</f>
        <v>1405.2345</v>
      </c>
      <c r="D157" s="19">
        <f ca="1">IF($A157-D$3&lt;2,0,OFFSET('FPSO1 Base'!D154,-'FPSO1 Otim'!D$3,0))</f>
        <v>229.74450000000002</v>
      </c>
      <c r="E157" s="19">
        <f ca="1">IF($A157-E$3&lt;2,0,OFFSET('FPSO1 Base'!E154,-'FPSO1 Otim'!E$3,0))</f>
        <v>569.05050000000006</v>
      </c>
      <c r="F157" s="19">
        <f ca="1">IF($A157-F$3&lt;2,0,OFFSET('FPSO1 Base'!F154,-'FPSO1 Otim'!F$3,0))</f>
        <v>730.05</v>
      </c>
      <c r="G157" s="19">
        <f ca="1">IF($A157-G$3&lt;2,0,OFFSET('FPSO1 Base'!G154,-'FPSO1 Otim'!G$3,0))</f>
        <v>201.95850000000002</v>
      </c>
      <c r="H157" s="19">
        <f ca="1">IF($A157-H$3&lt;2,0,OFFSET('FPSO1 Base'!H154,-'FPSO1 Otim'!H$3,0))</f>
        <v>729.846</v>
      </c>
      <c r="I157" s="19">
        <f ca="1">IF($A157-I$3&lt;2,0,OFFSET('FPSO1 Base'!I154,-'FPSO1 Otim'!I$3,0))</f>
        <v>553.11300000000006</v>
      </c>
      <c r="J157" s="19">
        <f ca="1">IF($A157-J$3&lt;2,0,OFFSET('FPSO1 Base'!J154,-'FPSO1 Otim'!J$3,0))</f>
        <v>316.40250000000003</v>
      </c>
      <c r="K157" s="19">
        <f ca="1">IF($A157-K$3&lt;2,0,OFFSET('FPSO1 Base'!K154,-'FPSO1 Otim'!K$3,0))</f>
        <v>398.7645</v>
      </c>
      <c r="L157" s="19">
        <f ca="1">IF($A157-L$3&lt;2,0,OFFSET('FPSO1 Base'!L154,-'FPSO1 Otim'!L$3,0))</f>
        <v>510.351</v>
      </c>
      <c r="M157" s="19">
        <f ca="1">IF($A157-M$3&lt;2,0,OFFSET('FPSO1 Base'!M154,-'FPSO1 Otim'!M$3,0))</f>
        <v>566.57549999999992</v>
      </c>
      <c r="N157" s="19">
        <f ca="1">IF($A157-N$3&lt;2,0,OFFSET('FPSO1 Base'!N154,-'FPSO1 Otim'!N$3,0))</f>
        <v>75.045699882983058</v>
      </c>
      <c r="O157" s="19">
        <f ca="1">IF($A157-O$3&lt;2,0,OFFSET('FPSO1 Base'!O154,-'FPSO1 Otim'!O$3,0))</f>
        <v>591.70049999999992</v>
      </c>
      <c r="P157" s="19">
        <f ca="1">IF($A157-P$3&lt;2,0,OFFSET('FPSO1 Base'!P154,-'FPSO1 Otim'!P$3,0))</f>
        <v>252.459</v>
      </c>
      <c r="Q157" s="19">
        <f ca="1">IF($A157-Q$3&lt;2,0,OFFSET('FPSO1 Base'!Q154,-'FPSO1 Otim'!Q$3,0))</f>
        <v>431.601</v>
      </c>
      <c r="R157" s="19">
        <f ca="1">IF($A157-R$3&lt;2,0,OFFSET('FPSO1 Base'!R154,-'FPSO1 Otim'!R$3,0))</f>
        <v>128.10480000000001</v>
      </c>
      <c r="S157" s="19">
        <f ca="1">IF($A157-S$3&lt;2,0,OFFSET('FPSO1 Base'!S154,-'FPSO1 Otim'!S$3,0))</f>
        <v>462.64050000000003</v>
      </c>
      <c r="T157" s="19">
        <f ca="1">IF($A157-T$3&lt;2,0,OFFSET('FPSO1 Base'!T154,-'FPSO1 Otim'!T$3,0))</f>
        <v>655.93799999999999</v>
      </c>
      <c r="U157" s="19">
        <f ca="1">IF($A157-U$3&lt;2,0,OFFSET('FPSO1 Base'!U154,-'FPSO1 Otim'!U$3,0))</f>
        <v>660.50850000000003</v>
      </c>
      <c r="V157" s="19">
        <f ca="1">IF($A157-V$3&lt;2,0,OFFSET('FPSO1 Base'!V154,-'FPSO1 Otim'!V$3,0))</f>
        <v>777.4994999999999</v>
      </c>
      <c r="W157" s="19">
        <f ca="1">IF($A157-W$3&lt;2,0,OFFSET('FPSO1 Base'!W154,-'FPSO1 Otim'!W$3,0))</f>
        <v>319.52549999999997</v>
      </c>
      <c r="X157" s="19">
        <f ca="1">IF($A157-X$3&lt;2,0,OFFSET('FPSO1 Base'!X154,-'FPSO1 Otim'!X$3,0))</f>
        <v>1124.5889999999999</v>
      </c>
      <c r="Y157" s="19">
        <f ca="1">IF($A157-Y$3&lt;2,0,OFFSET('FPSO1 Base'!Y154,-'FPSO1 Otim'!Y$3,0))</f>
        <v>513.10350000000005</v>
      </c>
      <c r="Z157" s="19">
        <f ca="1">IF($A157-Z$3&lt;2,0,OFFSET('FPSO1 Base'!Z154,-'FPSO1 Otim'!Z$3,0))</f>
        <v>624.62250000000006</v>
      </c>
      <c r="AA157" s="20">
        <v>15000</v>
      </c>
      <c r="AB157" s="19">
        <f t="shared" ca="1" si="10"/>
        <v>12828.428499882981</v>
      </c>
      <c r="AC157" s="20">
        <f t="shared" ca="1" si="11"/>
        <v>2171.5715001170192</v>
      </c>
      <c r="AD157" s="19">
        <f t="shared" ca="1" si="12"/>
        <v>3663.9597435799101</v>
      </c>
    </row>
    <row r="158" spans="1:30" x14ac:dyDescent="0.25">
      <c r="A158" s="19">
        <v>154</v>
      </c>
      <c r="B158" s="31">
        <v>50284</v>
      </c>
      <c r="C158" s="19">
        <f ca="1">IF($A158-C$3&lt;2,0,OFFSET('FPSO1 Base'!C155,-'FPSO1 Otim'!C$3,0))</f>
        <v>1402.173</v>
      </c>
      <c r="D158" s="19">
        <f ca="1">IF($A158-D$3&lt;2,0,OFFSET('FPSO1 Base'!D155,-'FPSO1 Otim'!D$3,0))</f>
        <v>225.04199999999997</v>
      </c>
      <c r="E158" s="19">
        <f ca="1">IF($A158-E$3&lt;2,0,OFFSET('FPSO1 Base'!E155,-'FPSO1 Otim'!E$3,0))</f>
        <v>551.31000000000006</v>
      </c>
      <c r="F158" s="19">
        <f ca="1">IF($A158-F$3&lt;2,0,OFFSET('FPSO1 Base'!F155,-'FPSO1 Otim'!F$3,0))</f>
        <v>726.84749999999997</v>
      </c>
      <c r="G158" s="19">
        <f ca="1">IF($A158-G$3&lt;2,0,OFFSET('FPSO1 Base'!G155,-'FPSO1 Otim'!G$3,0))</f>
        <v>201.03750000000002</v>
      </c>
      <c r="H158" s="19">
        <f ca="1">IF($A158-H$3&lt;2,0,OFFSET('FPSO1 Base'!H155,-'FPSO1 Otim'!H$3,0))</f>
        <v>728.21699999999998</v>
      </c>
      <c r="I158" s="19">
        <f ca="1">IF($A158-I$3&lt;2,0,OFFSET('FPSO1 Base'!I155,-'FPSO1 Otim'!I$3,0))</f>
        <v>551.92499999999995</v>
      </c>
      <c r="J158" s="19">
        <f ca="1">IF($A158-J$3&lt;2,0,OFFSET('FPSO1 Base'!J155,-'FPSO1 Otim'!J$3,0))</f>
        <v>315.47550000000001</v>
      </c>
      <c r="K158" s="19">
        <f ca="1">IF($A158-K$3&lt;2,0,OFFSET('FPSO1 Base'!K155,-'FPSO1 Otim'!K$3,0))</f>
        <v>394.46250000000003</v>
      </c>
      <c r="L158" s="19">
        <f ca="1">IF($A158-L$3&lt;2,0,OFFSET('FPSO1 Base'!L155,-'FPSO1 Otim'!L$3,0))</f>
        <v>507.02549999999997</v>
      </c>
      <c r="M158" s="19">
        <f ca="1">IF($A158-M$3&lt;2,0,OFFSET('FPSO1 Base'!M155,-'FPSO1 Otim'!M$3,0))</f>
        <v>564.55649999999991</v>
      </c>
      <c r="N158" s="19">
        <f ca="1">IF($A158-N$3&lt;2,0,OFFSET('FPSO1 Base'!N155,-'FPSO1 Otim'!N$3,0))</f>
        <v>74.295242884153225</v>
      </c>
      <c r="O158" s="19">
        <f ca="1">IF($A158-O$3&lt;2,0,OFFSET('FPSO1 Base'!O155,-'FPSO1 Otim'!O$3,0))</f>
        <v>586.08899999999994</v>
      </c>
      <c r="P158" s="19">
        <f ca="1">IF($A158-P$3&lt;2,0,OFFSET('FPSO1 Base'!P155,-'FPSO1 Otim'!P$3,0))</f>
        <v>251.7585</v>
      </c>
      <c r="Q158" s="19">
        <f ca="1">IF($A158-Q$3&lt;2,0,OFFSET('FPSO1 Base'!Q155,-'FPSO1 Otim'!Q$3,0))</f>
        <v>429.95550000000003</v>
      </c>
      <c r="R158" s="19">
        <f ca="1">IF($A158-R$3&lt;2,0,OFFSET('FPSO1 Base'!R155,-'FPSO1 Otim'!R$3,0))</f>
        <v>127.08870000000002</v>
      </c>
      <c r="S158" s="19">
        <f ca="1">IF($A158-S$3&lt;2,0,OFFSET('FPSO1 Base'!S155,-'FPSO1 Otim'!S$3,0))</f>
        <v>459.87150000000003</v>
      </c>
      <c r="T158" s="19">
        <f ca="1">IF($A158-T$3&lt;2,0,OFFSET('FPSO1 Base'!T155,-'FPSO1 Otim'!T$3,0))</f>
        <v>655.81499999999994</v>
      </c>
      <c r="U158" s="19">
        <f ca="1">IF($A158-U$3&lt;2,0,OFFSET('FPSO1 Base'!U155,-'FPSO1 Otim'!U$3,0))</f>
        <v>657.12149999999997</v>
      </c>
      <c r="V158" s="19">
        <f ca="1">IF($A158-V$3&lt;2,0,OFFSET('FPSO1 Base'!V155,-'FPSO1 Otim'!V$3,0))</f>
        <v>774.38700000000006</v>
      </c>
      <c r="W158" s="19">
        <f ca="1">IF($A158-W$3&lt;2,0,OFFSET('FPSO1 Base'!W155,-'FPSO1 Otim'!W$3,0))</f>
        <v>318.399</v>
      </c>
      <c r="X158" s="19">
        <f ca="1">IF($A158-X$3&lt;2,0,OFFSET('FPSO1 Base'!X155,-'FPSO1 Otim'!X$3,0))</f>
        <v>1121.4675</v>
      </c>
      <c r="Y158" s="19">
        <f ca="1">IF($A158-Y$3&lt;2,0,OFFSET('FPSO1 Base'!Y155,-'FPSO1 Otim'!Y$3,0))</f>
        <v>512.66249999999991</v>
      </c>
      <c r="Z158" s="19">
        <f ca="1">IF($A158-Z$3&lt;2,0,OFFSET('FPSO1 Base'!Z155,-'FPSO1 Otim'!Z$3,0))</f>
        <v>621.61950000000002</v>
      </c>
      <c r="AA158" s="20">
        <v>15000</v>
      </c>
      <c r="AB158" s="19">
        <f t="shared" ca="1" si="10"/>
        <v>12758.602442884154</v>
      </c>
      <c r="AC158" s="20">
        <f t="shared" ca="1" si="11"/>
        <v>2241.3975571158462</v>
      </c>
      <c r="AD158" s="19">
        <f t="shared" ca="1" si="12"/>
        <v>3613.9007085020803</v>
      </c>
    </row>
    <row r="159" spans="1:30" x14ac:dyDescent="0.25">
      <c r="A159" s="19">
        <v>155</v>
      </c>
      <c r="B159" s="31">
        <v>50314</v>
      </c>
      <c r="C159" s="19">
        <f ca="1">IF($A159-C$3&lt;2,0,OFFSET('FPSO1 Base'!C156,-'FPSO1 Otim'!C$3,0))</f>
        <v>1398.9960000000001</v>
      </c>
      <c r="D159" s="19">
        <f ca="1">IF($A159-D$3&lt;2,0,OFFSET('FPSO1 Base'!D156,-'FPSO1 Otim'!D$3,0))</f>
        <v>223.87199999999999</v>
      </c>
      <c r="E159" s="19">
        <f ca="1">IF($A159-E$3&lt;2,0,OFFSET('FPSO1 Base'!E156,-'FPSO1 Otim'!E$3,0))</f>
        <v>548.45550000000003</v>
      </c>
      <c r="F159" s="19">
        <f ca="1">IF($A159-F$3&lt;2,0,OFFSET('FPSO1 Base'!F156,-'FPSO1 Otim'!F$3,0))</f>
        <v>723.62850000000003</v>
      </c>
      <c r="G159" s="19">
        <f ca="1">IF($A159-G$3&lt;2,0,OFFSET('FPSO1 Base'!G156,-'FPSO1 Otim'!G$3,0))</f>
        <v>198.56849999999997</v>
      </c>
      <c r="H159" s="19">
        <f ca="1">IF($A159-H$3&lt;2,0,OFFSET('FPSO1 Base'!H156,-'FPSO1 Otim'!H$3,0))</f>
        <v>723.70349999999996</v>
      </c>
      <c r="I159" s="19">
        <f ca="1">IF($A159-I$3&lt;2,0,OFFSET('FPSO1 Base'!I156,-'FPSO1 Otim'!I$3,0))</f>
        <v>550.71749999999997</v>
      </c>
      <c r="J159" s="19">
        <f ca="1">IF($A159-J$3&lt;2,0,OFFSET('FPSO1 Base'!J156,-'FPSO1 Otim'!J$3,0))</f>
        <v>314.685</v>
      </c>
      <c r="K159" s="19">
        <f ca="1">IF($A159-K$3&lt;2,0,OFFSET('FPSO1 Base'!K156,-'FPSO1 Otim'!K$3,0))</f>
        <v>390.65999999999997</v>
      </c>
      <c r="L159" s="19">
        <f ca="1">IF($A159-L$3&lt;2,0,OFFSET('FPSO1 Base'!L156,-'FPSO1 Otim'!L$3,0))</f>
        <v>503.964</v>
      </c>
      <c r="M159" s="19">
        <f ca="1">IF($A159-M$3&lt;2,0,OFFSET('FPSO1 Base'!M156,-'FPSO1 Otim'!M$3,0))</f>
        <v>562.428</v>
      </c>
      <c r="N159" s="19">
        <f ca="1">IF($A159-N$3&lt;2,0,OFFSET('FPSO1 Base'!N156,-'FPSO1 Otim'!N$3,0))</f>
        <v>73.552290455311692</v>
      </c>
      <c r="O159" s="19">
        <f ca="1">IF($A159-O$3&lt;2,0,OFFSET('FPSO1 Base'!O156,-'FPSO1 Otim'!O$3,0))</f>
        <v>583.62149999999997</v>
      </c>
      <c r="P159" s="19">
        <f ca="1">IF($A159-P$3&lt;2,0,OFFSET('FPSO1 Base'!P156,-'FPSO1 Otim'!P$3,0))</f>
        <v>250.97550000000001</v>
      </c>
      <c r="Q159" s="19">
        <f ca="1">IF($A159-Q$3&lt;2,0,OFFSET('FPSO1 Base'!Q156,-'FPSO1 Otim'!Q$3,0))</f>
        <v>430.39649999999995</v>
      </c>
      <c r="R159" s="19">
        <f ca="1">IF($A159-R$3&lt;2,0,OFFSET('FPSO1 Base'!R156,-'FPSO1 Otim'!R$3,0))</f>
        <v>126.21435</v>
      </c>
      <c r="S159" s="19">
        <f ca="1">IF($A159-S$3&lt;2,0,OFFSET('FPSO1 Base'!S156,-'FPSO1 Otim'!S$3,0))</f>
        <v>457.1925</v>
      </c>
      <c r="T159" s="19">
        <f ca="1">IF($A159-T$3&lt;2,0,OFFSET('FPSO1 Base'!T156,-'FPSO1 Otim'!T$3,0))</f>
        <v>655.64549999999997</v>
      </c>
      <c r="U159" s="19">
        <f ca="1">IF($A159-U$3&lt;2,0,OFFSET('FPSO1 Base'!U156,-'FPSO1 Otim'!U$3,0))</f>
        <v>653.25</v>
      </c>
      <c r="V159" s="19">
        <f ca="1">IF($A159-V$3&lt;2,0,OFFSET('FPSO1 Base'!V156,-'FPSO1 Otim'!V$3,0))</f>
        <v>771.24149999999986</v>
      </c>
      <c r="W159" s="19">
        <f ca="1">IF($A159-W$3&lt;2,0,OFFSET('FPSO1 Base'!W156,-'FPSO1 Otim'!W$3,0))</f>
        <v>317.14949999999999</v>
      </c>
      <c r="X159" s="19">
        <f ca="1">IF($A159-X$3&lt;2,0,OFFSET('FPSO1 Base'!X156,-'FPSO1 Otim'!X$3,0))</f>
        <v>1118.2004999999999</v>
      </c>
      <c r="Y159" s="19">
        <f ca="1">IF($A159-Y$3&lt;2,0,OFFSET('FPSO1 Base'!Y156,-'FPSO1 Otim'!Y$3,0))</f>
        <v>512.25</v>
      </c>
      <c r="Z159" s="19">
        <f ca="1">IF($A159-Z$3&lt;2,0,OFFSET('FPSO1 Base'!Z156,-'FPSO1 Otim'!Z$3,0))</f>
        <v>618.71399999999994</v>
      </c>
      <c r="AA159" s="20">
        <v>15000</v>
      </c>
      <c r="AB159" s="19">
        <f t="shared" ca="1" si="10"/>
        <v>12708.082140455313</v>
      </c>
      <c r="AC159" s="20">
        <f t="shared" ca="1" si="11"/>
        <v>2291.9178595446865</v>
      </c>
      <c r="AD159" s="19">
        <f t="shared" ca="1" si="12"/>
        <v>3569.8420439438569</v>
      </c>
    </row>
    <row r="160" spans="1:30" x14ac:dyDescent="0.25">
      <c r="A160" s="19">
        <v>156</v>
      </c>
      <c r="B160" s="31">
        <v>50345</v>
      </c>
      <c r="C160" s="19">
        <f ca="1">IF($A160-C$3&lt;2,0,OFFSET('FPSO1 Base'!C157,-'FPSO1 Otim'!C$3,0))</f>
        <v>1395.8985</v>
      </c>
      <c r="D160" s="19">
        <f ca="1">IF($A160-D$3&lt;2,0,OFFSET('FPSO1 Base'!D157,-'FPSO1 Otim'!D$3,0))</f>
        <v>222.846</v>
      </c>
      <c r="E160" s="19">
        <f ca="1">IF($A160-E$3&lt;2,0,OFFSET('FPSO1 Base'!E157,-'FPSO1 Otim'!E$3,0))</f>
        <v>546.86699999999996</v>
      </c>
      <c r="F160" s="19">
        <f ca="1">IF($A160-F$3&lt;2,0,OFFSET('FPSO1 Base'!F157,-'FPSO1 Otim'!F$3,0))</f>
        <v>720.41249999999991</v>
      </c>
      <c r="G160" s="19">
        <f ca="1">IF($A160-G$3&lt;2,0,OFFSET('FPSO1 Base'!G157,-'FPSO1 Otim'!G$3,0))</f>
        <v>198.19199999999998</v>
      </c>
      <c r="H160" s="19">
        <f ca="1">IF($A160-H$3&lt;2,0,OFFSET('FPSO1 Base'!H157,-'FPSO1 Otim'!H$3,0))</f>
        <v>722.25600000000009</v>
      </c>
      <c r="I160" s="19">
        <f ca="1">IF($A160-I$3&lt;2,0,OFFSET('FPSO1 Base'!I157,-'FPSO1 Otim'!I$3,0))</f>
        <v>549.55649999999991</v>
      </c>
      <c r="J160" s="19">
        <f ca="1">IF($A160-J$3&lt;2,0,OFFSET('FPSO1 Base'!J157,-'FPSO1 Otim'!J$3,0))</f>
        <v>313.79999999999995</v>
      </c>
      <c r="K160" s="19">
        <f ca="1">IF($A160-K$3&lt;2,0,OFFSET('FPSO1 Base'!K157,-'FPSO1 Otim'!K$3,0))</f>
        <v>386.93999999999994</v>
      </c>
      <c r="L160" s="19">
        <f ca="1">IF($A160-L$3&lt;2,0,OFFSET('FPSO1 Base'!L157,-'FPSO1 Otim'!L$3,0))</f>
        <v>501.13350000000003</v>
      </c>
      <c r="M160" s="19">
        <f ca="1">IF($A160-M$3&lt;2,0,OFFSET('FPSO1 Base'!M157,-'FPSO1 Otim'!M$3,0))</f>
        <v>560.18700000000001</v>
      </c>
      <c r="N160" s="19">
        <f ca="1">IF($A160-N$3&lt;2,0,OFFSET('FPSO1 Base'!N157,-'FPSO1 Otim'!N$3,0))</f>
        <v>72.81676755075857</v>
      </c>
      <c r="O160" s="19">
        <f ca="1">IF($A160-O$3&lt;2,0,OFFSET('FPSO1 Base'!O157,-'FPSO1 Otim'!O$3,0))</f>
        <v>581.30099999999993</v>
      </c>
      <c r="P160" s="19">
        <f ca="1">IF($A160-P$3&lt;2,0,OFFSET('FPSO1 Base'!P157,-'FPSO1 Otim'!P$3,0))</f>
        <v>250.209</v>
      </c>
      <c r="Q160" s="19">
        <f ca="1">IF($A160-Q$3&lt;2,0,OFFSET('FPSO1 Base'!Q157,-'FPSO1 Otim'!Q$3,0))</f>
        <v>430.572</v>
      </c>
      <c r="R160" s="19">
        <f ca="1">IF($A160-R$3&lt;2,0,OFFSET('FPSO1 Base'!R157,-'FPSO1 Otim'!R$3,0))</f>
        <v>125.54040000000001</v>
      </c>
      <c r="S160" s="19">
        <f ca="1">IF($A160-S$3&lt;2,0,OFFSET('FPSO1 Base'!S157,-'FPSO1 Otim'!S$3,0))</f>
        <v>455.08050000000003</v>
      </c>
      <c r="T160" s="19">
        <f ca="1">IF($A160-T$3&lt;2,0,OFFSET('FPSO1 Base'!T157,-'FPSO1 Otim'!T$3,0))</f>
        <v>655.4190000000001</v>
      </c>
      <c r="U160" s="19">
        <f ca="1">IF($A160-U$3&lt;2,0,OFFSET('FPSO1 Base'!U157,-'FPSO1 Otim'!U$3,0))</f>
        <v>650.178</v>
      </c>
      <c r="V160" s="19">
        <f ca="1">IF($A160-V$3&lt;2,0,OFFSET('FPSO1 Base'!V157,-'FPSO1 Otim'!V$3,0))</f>
        <v>767.95049999999992</v>
      </c>
      <c r="W160" s="19">
        <f ca="1">IF($A160-W$3&lt;2,0,OFFSET('FPSO1 Base'!W157,-'FPSO1 Otim'!W$3,0))</f>
        <v>316.01549999999997</v>
      </c>
      <c r="X160" s="19">
        <f ca="1">IF($A160-X$3&lt;2,0,OFFSET('FPSO1 Base'!X157,-'FPSO1 Otim'!X$3,0))</f>
        <v>1115.1779999999999</v>
      </c>
      <c r="Y160" s="19">
        <f ca="1">IF($A160-Y$3&lt;2,0,OFFSET('FPSO1 Base'!Y157,-'FPSO1 Otim'!Y$3,0))</f>
        <v>511.79999999999995</v>
      </c>
      <c r="Z160" s="19">
        <f ca="1">IF($A160-Z$3&lt;2,0,OFFSET('FPSO1 Base'!Z157,-'FPSO1 Otim'!Z$3,0))</f>
        <v>615.76199999999994</v>
      </c>
      <c r="AA160" s="20">
        <v>15000</v>
      </c>
      <c r="AB160" s="19">
        <f t="shared" ca="1" si="10"/>
        <v>12665.911667550758</v>
      </c>
      <c r="AC160" s="20">
        <f t="shared" ca="1" si="11"/>
        <v>2334.0883324492424</v>
      </c>
      <c r="AD160" s="19">
        <f t="shared" ca="1" si="12"/>
        <v>3528.5909629620587</v>
      </c>
    </row>
    <row r="161" spans="1:30" x14ac:dyDescent="0.25">
      <c r="A161" s="19">
        <v>157</v>
      </c>
      <c r="B161" s="31">
        <v>50375</v>
      </c>
      <c r="C161" s="19">
        <f ca="1">IF($A161-C$3&lt;2,0,OFFSET('FPSO1 Base'!C158,-'FPSO1 Otim'!C$3,0))</f>
        <v>1392.5940000000001</v>
      </c>
      <c r="D161" s="19">
        <f ca="1">IF($A161-D$3&lt;2,0,OFFSET('FPSO1 Base'!D158,-'FPSO1 Otim'!D$3,0))</f>
        <v>221.19150000000002</v>
      </c>
      <c r="E161" s="19">
        <f ca="1">IF($A161-E$3&lt;2,0,OFFSET('FPSO1 Base'!E158,-'FPSO1 Otim'!E$3,0))</f>
        <v>545.39549999999997</v>
      </c>
      <c r="F161" s="19">
        <f ca="1">IF($A161-F$3&lt;2,0,OFFSET('FPSO1 Base'!F158,-'FPSO1 Otim'!F$3,0))</f>
        <v>717.73800000000006</v>
      </c>
      <c r="G161" s="19">
        <f ca="1">IF($A161-G$3&lt;2,0,OFFSET('FPSO1 Base'!G158,-'FPSO1 Otim'!G$3,0))</f>
        <v>197.60550000000001</v>
      </c>
      <c r="H161" s="19">
        <f ca="1">IF($A161-H$3&lt;2,0,OFFSET('FPSO1 Base'!H158,-'FPSO1 Otim'!H$3,0))</f>
        <v>720.69150000000002</v>
      </c>
      <c r="I161" s="19">
        <f ca="1">IF($A161-I$3&lt;2,0,OFFSET('FPSO1 Base'!I158,-'FPSO1 Otim'!I$3,0))</f>
        <v>548.29950000000008</v>
      </c>
      <c r="J161" s="19">
        <f ca="1">IF($A161-J$3&lt;2,0,OFFSET('FPSO1 Base'!J158,-'FPSO1 Otim'!J$3,0))</f>
        <v>312.96750000000003</v>
      </c>
      <c r="K161" s="19">
        <f ca="1">IF($A161-K$3&lt;2,0,OFFSET('FPSO1 Base'!K158,-'FPSO1 Otim'!K$3,0))</f>
        <v>383.50649999999996</v>
      </c>
      <c r="L161" s="19">
        <f ca="1">IF($A161-L$3&lt;2,0,OFFSET('FPSO1 Base'!L158,-'FPSO1 Otim'!L$3,0))</f>
        <v>497.8125</v>
      </c>
      <c r="M161" s="19">
        <f ca="1">IF($A161-M$3&lt;2,0,OFFSET('FPSO1 Base'!M158,-'FPSO1 Otim'!M$3,0))</f>
        <v>558.09749999999997</v>
      </c>
      <c r="N161" s="19">
        <f ca="1">IF($A161-N$3&lt;2,0,OFFSET('FPSO1 Base'!N158,-'FPSO1 Otim'!N$3,0))</f>
        <v>72.088599875250978</v>
      </c>
      <c r="O161" s="19">
        <f ca="1">IF($A161-O$3&lt;2,0,OFFSET('FPSO1 Base'!O158,-'FPSO1 Otim'!O$3,0))</f>
        <v>579.38699999999994</v>
      </c>
      <c r="P161" s="19">
        <f ca="1">IF($A161-P$3&lt;2,0,OFFSET('FPSO1 Base'!P158,-'FPSO1 Otim'!P$3,0))</f>
        <v>249.34950000000001</v>
      </c>
      <c r="Q161" s="19">
        <f ca="1">IF($A161-Q$3&lt;2,0,OFFSET('FPSO1 Base'!Q158,-'FPSO1 Otim'!Q$3,0))</f>
        <v>430.6875</v>
      </c>
      <c r="R161" s="19">
        <f ca="1">IF($A161-R$3&lt;2,0,OFFSET('FPSO1 Base'!R158,-'FPSO1 Otim'!R$3,0))</f>
        <v>124.84995000000001</v>
      </c>
      <c r="S161" s="19">
        <f ca="1">IF($A161-S$3&lt;2,0,OFFSET('FPSO1 Base'!S158,-'FPSO1 Otim'!S$3,0))</f>
        <v>452.67450000000002</v>
      </c>
      <c r="T161" s="19">
        <f ca="1">IF($A161-T$3&lt;2,0,OFFSET('FPSO1 Base'!T158,-'FPSO1 Otim'!T$3,0))</f>
        <v>655.16100000000006</v>
      </c>
      <c r="U161" s="19">
        <f ca="1">IF($A161-U$3&lt;2,0,OFFSET('FPSO1 Base'!U158,-'FPSO1 Otim'!U$3,0))</f>
        <v>646.67550000000006</v>
      </c>
      <c r="V161" s="19">
        <f ca="1">IF($A161-V$3&lt;2,0,OFFSET('FPSO1 Base'!V158,-'FPSO1 Otim'!V$3,0))</f>
        <v>765</v>
      </c>
      <c r="W161" s="19">
        <f ca="1">IF($A161-W$3&lt;2,0,OFFSET('FPSO1 Base'!W158,-'FPSO1 Otim'!W$3,0))</f>
        <v>314.87850000000003</v>
      </c>
      <c r="X161" s="19">
        <f ca="1">IF($A161-X$3&lt;2,0,OFFSET('FPSO1 Base'!X158,-'FPSO1 Otim'!X$3,0))</f>
        <v>1111.9005000000002</v>
      </c>
      <c r="Y161" s="19">
        <f ca="1">IF($A161-Y$3&lt;2,0,OFFSET('FPSO1 Base'!Y158,-'FPSO1 Otim'!Y$3,0))</f>
        <v>511.37250000000006</v>
      </c>
      <c r="Z161" s="19">
        <f ca="1">IF($A161-Z$3&lt;2,0,OFFSET('FPSO1 Base'!Z158,-'FPSO1 Otim'!Z$3,0))</f>
        <v>612.6690000000001</v>
      </c>
      <c r="AA161" s="20">
        <v>15000</v>
      </c>
      <c r="AB161" s="19">
        <f t="shared" ca="1" si="10"/>
        <v>12622.59354987525</v>
      </c>
      <c r="AC161" s="20">
        <f t="shared" ca="1" si="11"/>
        <v>2377.4064501247503</v>
      </c>
      <c r="AD161" s="19">
        <f t="shared" ca="1" si="12"/>
        <v>3487.4608134737937</v>
      </c>
    </row>
    <row r="162" spans="1:30" x14ac:dyDescent="0.25">
      <c r="A162" s="19">
        <v>158</v>
      </c>
      <c r="B162" s="31">
        <v>50406</v>
      </c>
      <c r="C162" s="19">
        <f ca="1">IF($A162-C$3&lt;2,0,OFFSET('FPSO1 Base'!C159,-'FPSO1 Otim'!C$3,0))</f>
        <v>1351.8375000000001</v>
      </c>
      <c r="D162" s="19">
        <f ca="1">IF($A162-D$3&lt;2,0,OFFSET('FPSO1 Base'!D159,-'FPSO1 Otim'!D$3,0))</f>
        <v>219.92699999999999</v>
      </c>
      <c r="E162" s="19">
        <f ca="1">IF($A162-E$3&lt;2,0,OFFSET('FPSO1 Base'!E159,-'FPSO1 Otim'!E$3,0))</f>
        <v>543.73800000000006</v>
      </c>
      <c r="F162" s="19">
        <f ca="1">IF($A162-F$3&lt;2,0,OFFSET('FPSO1 Base'!F159,-'FPSO1 Otim'!F$3,0))</f>
        <v>714.81299999999999</v>
      </c>
      <c r="G162" s="19">
        <f ca="1">IF($A162-G$3&lt;2,0,OFFSET('FPSO1 Base'!G159,-'FPSO1 Otim'!G$3,0))</f>
        <v>196.64249999999998</v>
      </c>
      <c r="H162" s="19">
        <f ca="1">IF($A162-H$3&lt;2,0,OFFSET('FPSO1 Base'!H159,-'FPSO1 Otim'!H$3,0))</f>
        <v>719.15250000000003</v>
      </c>
      <c r="I162" s="19">
        <f ca="1">IF($A162-I$3&lt;2,0,OFFSET('FPSO1 Base'!I159,-'FPSO1 Otim'!I$3,0))</f>
        <v>547.524</v>
      </c>
      <c r="J162" s="19">
        <f ca="1">IF($A162-J$3&lt;2,0,OFFSET('FPSO1 Base'!J159,-'FPSO1 Otim'!J$3,0))</f>
        <v>312.14550000000003</v>
      </c>
      <c r="K162" s="19">
        <f ca="1">IF($A162-K$3&lt;2,0,OFFSET('FPSO1 Base'!K159,-'FPSO1 Otim'!K$3,0))</f>
        <v>380.226</v>
      </c>
      <c r="L162" s="19">
        <f ca="1">IF($A162-L$3&lt;2,0,OFFSET('FPSO1 Base'!L159,-'FPSO1 Otim'!L$3,0))</f>
        <v>495.19350000000003</v>
      </c>
      <c r="M162" s="19">
        <f ca="1">IF($A162-M$3&lt;2,0,OFFSET('FPSO1 Base'!M159,-'FPSO1 Otim'!M$3,0))</f>
        <v>554.44949999999994</v>
      </c>
      <c r="N162" s="19">
        <f ca="1">IF($A162-N$3&lt;2,0,OFFSET('FPSO1 Base'!N159,-'FPSO1 Otim'!N$3,0))</f>
        <v>71.36771387649847</v>
      </c>
      <c r="O162" s="19">
        <f ca="1">IF($A162-O$3&lt;2,0,OFFSET('FPSO1 Base'!O159,-'FPSO1 Otim'!O$3,0))</f>
        <v>577.22550000000001</v>
      </c>
      <c r="P162" s="19">
        <f ca="1">IF($A162-P$3&lt;2,0,OFFSET('FPSO1 Base'!P159,-'FPSO1 Otim'!P$3,0))</f>
        <v>248.4915</v>
      </c>
      <c r="Q162" s="19">
        <f ca="1">IF($A162-Q$3&lt;2,0,OFFSET('FPSO1 Base'!Q159,-'FPSO1 Otim'!Q$3,0))</f>
        <v>430.65750000000003</v>
      </c>
      <c r="R162" s="19">
        <f ca="1">IF($A162-R$3&lt;2,0,OFFSET('FPSO1 Base'!R159,-'FPSO1 Otim'!R$3,0))</f>
        <v>124.18545</v>
      </c>
      <c r="S162" s="19">
        <f ca="1">IF($A162-S$3&lt;2,0,OFFSET('FPSO1 Base'!S159,-'FPSO1 Otim'!S$3,0))</f>
        <v>450.53250000000003</v>
      </c>
      <c r="T162" s="19">
        <f ca="1">IF($A162-T$3&lt;2,0,OFFSET('FPSO1 Base'!T159,-'FPSO1 Otim'!T$3,0))</f>
        <v>654.82500000000005</v>
      </c>
      <c r="U162" s="19">
        <f ca="1">IF($A162-U$3&lt;2,0,OFFSET('FPSO1 Base'!U159,-'FPSO1 Otim'!U$3,0))</f>
        <v>643.548</v>
      </c>
      <c r="V162" s="19">
        <f ca="1">IF($A162-V$3&lt;2,0,OFFSET('FPSO1 Base'!V159,-'FPSO1 Otim'!V$3,0))</f>
        <v>761.74950000000001</v>
      </c>
      <c r="W162" s="19">
        <f ca="1">IF($A162-W$3&lt;2,0,OFFSET('FPSO1 Base'!W159,-'FPSO1 Otim'!W$3,0))</f>
        <v>313.6875</v>
      </c>
      <c r="X162" s="19">
        <f ca="1">IF($A162-X$3&lt;2,0,OFFSET('FPSO1 Base'!X159,-'FPSO1 Otim'!X$3,0))</f>
        <v>1108.8389999999999</v>
      </c>
      <c r="Y162" s="19">
        <f ca="1">IF($A162-Y$3&lt;2,0,OFFSET('FPSO1 Base'!Y159,-'FPSO1 Otim'!Y$3,0))</f>
        <v>510.94350000000003</v>
      </c>
      <c r="Z162" s="19">
        <f ca="1">IF($A162-Z$3&lt;2,0,OFFSET('FPSO1 Base'!Z159,-'FPSO1 Otim'!Z$3,0))</f>
        <v>680.952</v>
      </c>
      <c r="AA162" s="20">
        <v>15000</v>
      </c>
      <c r="AB162" s="19">
        <f t="shared" ca="1" si="10"/>
        <v>12612.653663876497</v>
      </c>
      <c r="AC162" s="20">
        <f t="shared" ca="1" si="11"/>
        <v>2387.3463361235026</v>
      </c>
      <c r="AD162" s="19">
        <f t="shared" ca="1" si="12"/>
        <v>3455.9152565675804</v>
      </c>
    </row>
    <row r="163" spans="1:30" x14ac:dyDescent="0.25">
      <c r="A163" s="19">
        <v>159</v>
      </c>
      <c r="B163" s="31">
        <v>50437</v>
      </c>
      <c r="C163" s="19">
        <f ca="1">IF($A163-C$3&lt;2,0,OFFSET('FPSO1 Base'!C160,-'FPSO1 Otim'!C$3,0))</f>
        <v>1350.51</v>
      </c>
      <c r="D163" s="19">
        <f ca="1">IF($A163-D$3&lt;2,0,OFFSET('FPSO1 Base'!D160,-'FPSO1 Otim'!D$3,0))</f>
        <v>218.72550000000001</v>
      </c>
      <c r="E163" s="19">
        <f ca="1">IF($A163-E$3&lt;2,0,OFFSET('FPSO1 Base'!E160,-'FPSO1 Otim'!E$3,0))</f>
        <v>542.226</v>
      </c>
      <c r="F163" s="19">
        <f ca="1">IF($A163-F$3&lt;2,0,OFFSET('FPSO1 Base'!F160,-'FPSO1 Otim'!F$3,0))</f>
        <v>701.73450000000003</v>
      </c>
      <c r="G163" s="19">
        <f ca="1">IF($A163-G$3&lt;2,0,OFFSET('FPSO1 Base'!G160,-'FPSO1 Otim'!G$3,0))</f>
        <v>195.95249999999999</v>
      </c>
      <c r="H163" s="19">
        <f ca="1">IF($A163-H$3&lt;2,0,OFFSET('FPSO1 Base'!H160,-'FPSO1 Otim'!H$3,0))</f>
        <v>717.58500000000004</v>
      </c>
      <c r="I163" s="19">
        <f ca="1">IF($A163-I$3&lt;2,0,OFFSET('FPSO1 Base'!I160,-'FPSO1 Otim'!I$3,0))</f>
        <v>546.10050000000001</v>
      </c>
      <c r="J163" s="19">
        <f ca="1">IF($A163-J$3&lt;2,0,OFFSET('FPSO1 Base'!J160,-'FPSO1 Otim'!J$3,0))</f>
        <v>311.29949999999997</v>
      </c>
      <c r="K163" s="19">
        <f ca="1">IF($A163-K$3&lt;2,0,OFFSET('FPSO1 Base'!K160,-'FPSO1 Otim'!K$3,0))</f>
        <v>377.03700000000003</v>
      </c>
      <c r="L163" s="19">
        <f ca="1">IF($A163-L$3&lt;2,0,OFFSET('FPSO1 Base'!L160,-'FPSO1 Otim'!L$3,0))</f>
        <v>492.11249999999995</v>
      </c>
      <c r="M163" s="19">
        <f ca="1">IF($A163-M$3&lt;2,0,OFFSET('FPSO1 Base'!M160,-'FPSO1 Otim'!M$3,0))</f>
        <v>550.08899999999994</v>
      </c>
      <c r="N163" s="19">
        <f ca="1">IF($A163-N$3&lt;2,0,OFFSET('FPSO1 Base'!N160,-'FPSO1 Otim'!N$3,0))</f>
        <v>70.654036737733492</v>
      </c>
      <c r="O163" s="19">
        <f ca="1">IF($A163-O$3&lt;2,0,OFFSET('FPSO1 Base'!O160,-'FPSO1 Otim'!O$3,0))</f>
        <v>575.298</v>
      </c>
      <c r="P163" s="19">
        <f ca="1">IF($A163-P$3&lt;2,0,OFFSET('FPSO1 Base'!P160,-'FPSO1 Otim'!P$3,0))</f>
        <v>247.64550000000003</v>
      </c>
      <c r="Q163" s="19">
        <f ca="1">IF($A163-Q$3&lt;2,0,OFFSET('FPSO1 Base'!Q160,-'FPSO1 Otim'!Q$3,0))</f>
        <v>430.57500000000005</v>
      </c>
      <c r="R163" s="19">
        <f ca="1">IF($A163-R$3&lt;2,0,OFFSET('FPSO1 Base'!R160,-'FPSO1 Otim'!R$3,0))</f>
        <v>123.49994999999998</v>
      </c>
      <c r="S163" s="19">
        <f ca="1">IF($A163-S$3&lt;2,0,OFFSET('FPSO1 Base'!S160,-'FPSO1 Otim'!S$3,0))</f>
        <v>448.32449999999994</v>
      </c>
      <c r="T163" s="19">
        <f ca="1">IF($A163-T$3&lt;2,0,OFFSET('FPSO1 Base'!T160,-'FPSO1 Otim'!T$3,0))</f>
        <v>654.47249999999997</v>
      </c>
      <c r="U163" s="19">
        <f ca="1">IF($A163-U$3&lt;2,0,OFFSET('FPSO1 Base'!U160,-'FPSO1 Otim'!U$3,0))</f>
        <v>640.54950000000008</v>
      </c>
      <c r="V163" s="19">
        <f ca="1">IF($A163-V$3&lt;2,0,OFFSET('FPSO1 Base'!V160,-'FPSO1 Otim'!V$3,0))</f>
        <v>737.12850000000003</v>
      </c>
      <c r="W163" s="19">
        <f ca="1">IF($A163-W$3&lt;2,0,OFFSET('FPSO1 Base'!W160,-'FPSO1 Otim'!W$3,0))</f>
        <v>312.61649999999997</v>
      </c>
      <c r="X163" s="19">
        <f ca="1">IF($A163-X$3&lt;2,0,OFFSET('FPSO1 Base'!X160,-'FPSO1 Otim'!X$3,0))</f>
        <v>1105.9349999999999</v>
      </c>
      <c r="Y163" s="19">
        <f ca="1">IF($A163-Y$3&lt;2,0,OFFSET('FPSO1 Base'!Y160,-'FPSO1 Otim'!Y$3,0))</f>
        <v>510.49350000000004</v>
      </c>
      <c r="Z163" s="19">
        <f ca="1">IF($A163-Z$3&lt;2,0,OFFSET('FPSO1 Base'!Z160,-'FPSO1 Otim'!Z$3,0))</f>
        <v>685.43700000000001</v>
      </c>
      <c r="AA163" s="20">
        <v>15000</v>
      </c>
      <c r="AB163" s="19">
        <f t="shared" ca="1" si="10"/>
        <v>12546.001486737734</v>
      </c>
      <c r="AC163" s="20">
        <f t="shared" ca="1" si="11"/>
        <v>2453.998513262266</v>
      </c>
      <c r="AD163" s="19">
        <f t="shared" ca="1" si="12"/>
        <v>3409.2419559336945</v>
      </c>
    </row>
    <row r="164" spans="1:30" x14ac:dyDescent="0.25">
      <c r="A164" s="19">
        <v>160</v>
      </c>
      <c r="B164" s="31">
        <v>50465</v>
      </c>
      <c r="C164" s="19">
        <f ca="1">IF($A164-C$3&lt;2,0,OFFSET('FPSO1 Base'!C161,-'FPSO1 Otim'!C$3,0))</f>
        <v>1348.152</v>
      </c>
      <c r="D164" s="19">
        <f ca="1">IF($A164-D$3&lt;2,0,OFFSET('FPSO1 Base'!D161,-'FPSO1 Otim'!D$3,0))</f>
        <v>217.46999999999997</v>
      </c>
      <c r="E164" s="19">
        <f ca="1">IF($A164-E$3&lt;2,0,OFFSET('FPSO1 Base'!E161,-'FPSO1 Otim'!E$3,0))</f>
        <v>540.55050000000006</v>
      </c>
      <c r="F164" s="19">
        <f ca="1">IF($A164-F$3&lt;2,0,OFFSET('FPSO1 Base'!F161,-'FPSO1 Otim'!F$3,0))</f>
        <v>701.93999999999994</v>
      </c>
      <c r="G164" s="19">
        <f ca="1">IF($A164-G$3&lt;2,0,OFFSET('FPSO1 Base'!G161,-'FPSO1 Otim'!G$3,0))</f>
        <v>195.28800000000001</v>
      </c>
      <c r="H164" s="19">
        <f ca="1">IF($A164-H$3&lt;2,0,OFFSET('FPSO1 Base'!H161,-'FPSO1 Otim'!H$3,0))</f>
        <v>716.06399999999996</v>
      </c>
      <c r="I164" s="19">
        <f ca="1">IF($A164-I$3&lt;2,0,OFFSET('FPSO1 Base'!I161,-'FPSO1 Otim'!I$3,0))</f>
        <v>545.80649999999991</v>
      </c>
      <c r="J164" s="19">
        <f ca="1">IF($A164-J$3&lt;2,0,OFFSET('FPSO1 Base'!J161,-'FPSO1 Otim'!J$3,0))</f>
        <v>310.5</v>
      </c>
      <c r="K164" s="19">
        <f ca="1">IF($A164-K$3&lt;2,0,OFFSET('FPSO1 Base'!K161,-'FPSO1 Otim'!K$3,0))</f>
        <v>374.3775</v>
      </c>
      <c r="L164" s="19">
        <f ca="1">IF($A164-L$3&lt;2,0,OFFSET('FPSO1 Base'!L161,-'FPSO1 Otim'!L$3,0))</f>
        <v>489.339</v>
      </c>
      <c r="M164" s="19">
        <f ca="1">IF($A164-M$3&lt;2,0,OFFSET('FPSO1 Base'!M161,-'FPSO1 Otim'!M$3,0))</f>
        <v>545.86649999999997</v>
      </c>
      <c r="N164" s="19">
        <f ca="1">IF($A164-N$3&lt;2,0,OFFSET('FPSO1 Base'!N161,-'FPSO1 Otim'!N$3,0))</f>
        <v>69.947496370356163</v>
      </c>
      <c r="O164" s="19">
        <f ca="1">IF($A164-O$3&lt;2,0,OFFSET('FPSO1 Base'!O161,-'FPSO1 Otim'!O$3,0))</f>
        <v>573.27449999999999</v>
      </c>
      <c r="P164" s="19">
        <f ca="1">IF($A164-P$3&lt;2,0,OFFSET('FPSO1 Base'!P161,-'FPSO1 Otim'!P$3,0))</f>
        <v>246.66899999999998</v>
      </c>
      <c r="Q164" s="19">
        <f ca="1">IF($A164-Q$3&lt;2,0,OFFSET('FPSO1 Base'!Q161,-'FPSO1 Otim'!Q$3,0))</f>
        <v>430.43999999999994</v>
      </c>
      <c r="R164" s="19">
        <f ca="1">IF($A164-R$3&lt;2,0,OFFSET('FPSO1 Base'!R161,-'FPSO1 Otim'!R$3,0))</f>
        <v>122.87909999999999</v>
      </c>
      <c r="S164" s="19">
        <f ca="1">IF($A164-S$3&lt;2,0,OFFSET('FPSO1 Base'!S161,-'FPSO1 Otim'!S$3,0))</f>
        <v>446.298</v>
      </c>
      <c r="T164" s="19">
        <f ca="1">IF($A164-T$3&lt;2,0,OFFSET('FPSO1 Base'!T161,-'FPSO1 Otim'!T$3,0))</f>
        <v>654.03749999999991</v>
      </c>
      <c r="U164" s="19">
        <f ca="1">IF($A164-U$3&lt;2,0,OFFSET('FPSO1 Base'!U161,-'FPSO1 Otim'!U$3,0))</f>
        <v>637.98450000000003</v>
      </c>
      <c r="V164" s="19">
        <f ca="1">IF($A164-V$3&lt;2,0,OFFSET('FPSO1 Base'!V161,-'FPSO1 Otim'!V$3,0))</f>
        <v>733.74149999999997</v>
      </c>
      <c r="W164" s="19">
        <f ca="1">IF($A164-W$3&lt;2,0,OFFSET('FPSO1 Base'!W161,-'FPSO1 Otim'!W$3,0))</f>
        <v>311.46299999999997</v>
      </c>
      <c r="X164" s="19">
        <f ca="1">IF($A164-X$3&lt;2,0,OFFSET('FPSO1 Base'!X161,-'FPSO1 Otim'!X$3,0))</f>
        <v>1102.527</v>
      </c>
      <c r="Y164" s="19">
        <f ca="1">IF($A164-Y$3&lt;2,0,OFFSET('FPSO1 Base'!Y161,-'FPSO1 Otim'!Y$3,0))</f>
        <v>510.06599999999997</v>
      </c>
      <c r="Z164" s="19">
        <f ca="1">IF($A164-Z$3&lt;2,0,OFFSET('FPSO1 Base'!Z161,-'FPSO1 Otim'!Z$3,0))</f>
        <v>684.048</v>
      </c>
      <c r="AA164" s="20">
        <v>15000</v>
      </c>
      <c r="AB164" s="19">
        <f t="shared" ca="1" si="10"/>
        <v>12508.729596370356</v>
      </c>
      <c r="AC164" s="20">
        <f t="shared" ca="1" si="11"/>
        <v>2491.2704036296436</v>
      </c>
      <c r="AD164" s="19">
        <f t="shared" ca="1" si="12"/>
        <v>3371.0218687554875</v>
      </c>
    </row>
    <row r="165" spans="1:30" x14ac:dyDescent="0.25">
      <c r="A165" s="19">
        <v>161</v>
      </c>
      <c r="B165" s="31">
        <v>50496</v>
      </c>
      <c r="C165" s="19">
        <f ca="1">IF($A165-C$3&lt;2,0,OFFSET('FPSO1 Base'!C162,-'FPSO1 Otim'!C$3,0))</f>
        <v>1344.9465</v>
      </c>
      <c r="D165" s="19">
        <f ca="1">IF($A165-D$3&lt;2,0,OFFSET('FPSO1 Base'!D162,-'FPSO1 Otim'!D$3,0))</f>
        <v>216.10050000000001</v>
      </c>
      <c r="E165" s="19">
        <f ca="1">IF($A165-E$3&lt;2,0,OFFSET('FPSO1 Base'!E162,-'FPSO1 Otim'!E$3,0))</f>
        <v>538.91100000000006</v>
      </c>
      <c r="F165" s="19">
        <f ca="1">IF($A165-F$3&lt;2,0,OFFSET('FPSO1 Base'!F162,-'FPSO1 Otim'!F$3,0))</f>
        <v>701.54700000000003</v>
      </c>
      <c r="G165" s="19">
        <f ca="1">IF($A165-G$3&lt;2,0,OFFSET('FPSO1 Base'!G162,-'FPSO1 Otim'!G$3,0))</f>
        <v>194.59350000000001</v>
      </c>
      <c r="H165" s="19">
        <f ca="1">IF($A165-H$3&lt;2,0,OFFSET('FPSO1 Base'!H162,-'FPSO1 Otim'!H$3,0))</f>
        <v>714.51299999999992</v>
      </c>
      <c r="I165" s="19">
        <f ca="1">IF($A165-I$3&lt;2,0,OFFSET('FPSO1 Base'!I162,-'FPSO1 Otim'!I$3,0))</f>
        <v>544.59749999999997</v>
      </c>
      <c r="J165" s="19">
        <f ca="1">IF($A165-J$3&lt;2,0,OFFSET('FPSO1 Base'!J162,-'FPSO1 Otim'!J$3,0))</f>
        <v>309.67499999999995</v>
      </c>
      <c r="K165" s="19">
        <f ca="1">IF($A165-K$3&lt;2,0,OFFSET('FPSO1 Base'!K162,-'FPSO1 Otim'!K$3,0))</f>
        <v>372.2475</v>
      </c>
      <c r="L165" s="19">
        <f ca="1">IF($A165-L$3&lt;2,0,OFFSET('FPSO1 Base'!L162,-'FPSO1 Otim'!L$3,0))</f>
        <v>486.32549999999998</v>
      </c>
      <c r="M165" s="19">
        <f ca="1">IF($A165-M$3&lt;2,0,OFFSET('FPSO1 Base'!M162,-'FPSO1 Otim'!M$3,0))</f>
        <v>541.03199999999993</v>
      </c>
      <c r="N165" s="19">
        <f ca="1">IF($A165-N$3&lt;2,0,OFFSET('FPSO1 Base'!N162,-'FPSO1 Otim'!N$3,0))</f>
        <v>69.248021406652597</v>
      </c>
      <c r="O165" s="19">
        <f ca="1">IF($A165-O$3&lt;2,0,OFFSET('FPSO1 Base'!O162,-'FPSO1 Otim'!O$3,0))</f>
        <v>571.33050000000003</v>
      </c>
      <c r="P165" s="19">
        <f ca="1">IF($A165-P$3&lt;2,0,OFFSET('FPSO1 Base'!P162,-'FPSO1 Otim'!P$3,0))</f>
        <v>245.87850000000003</v>
      </c>
      <c r="Q165" s="19">
        <f ca="1">IF($A165-Q$3&lt;2,0,OFFSET('FPSO1 Base'!Q162,-'FPSO1 Otim'!Q$3,0))</f>
        <v>430.24650000000003</v>
      </c>
      <c r="R165" s="19">
        <f ca="1">IF($A165-R$3&lt;2,0,OFFSET('FPSO1 Base'!R162,-'FPSO1 Otim'!R$3,0))</f>
        <v>122.25</v>
      </c>
      <c r="S165" s="19">
        <f ca="1">IF($A165-S$3&lt;2,0,OFFSET('FPSO1 Base'!S162,-'FPSO1 Otim'!S$3,0))</f>
        <v>444.375</v>
      </c>
      <c r="T165" s="19">
        <f ca="1">IF($A165-T$3&lt;2,0,OFFSET('FPSO1 Base'!T162,-'FPSO1 Otim'!T$3,0))</f>
        <v>653.54100000000005</v>
      </c>
      <c r="U165" s="19">
        <f ca="1">IF($A165-U$3&lt;2,0,OFFSET('FPSO1 Base'!U162,-'FPSO1 Otim'!U$3,0))</f>
        <v>635.54100000000005</v>
      </c>
      <c r="V165" s="19">
        <f ca="1">IF($A165-V$3&lt;2,0,OFFSET('FPSO1 Base'!V162,-'FPSO1 Otim'!V$3,0))</f>
        <v>732.46500000000003</v>
      </c>
      <c r="W165" s="19">
        <f ca="1">IF($A165-W$3&lt;2,0,OFFSET('FPSO1 Base'!W162,-'FPSO1 Otim'!W$3,0))</f>
        <v>300.69</v>
      </c>
      <c r="X165" s="19">
        <f ca="1">IF($A165-X$3&lt;2,0,OFFSET('FPSO1 Base'!X162,-'FPSO1 Otim'!X$3,0))</f>
        <v>1099.8150000000001</v>
      </c>
      <c r="Y165" s="19">
        <f ca="1">IF($A165-Y$3&lt;2,0,OFFSET('FPSO1 Base'!Y162,-'FPSO1 Otim'!Y$3,0))</f>
        <v>509.61300000000006</v>
      </c>
      <c r="Z165" s="19">
        <f ca="1">IF($A165-Z$3&lt;2,0,OFFSET('FPSO1 Base'!Z162,-'FPSO1 Otim'!Z$3,0))</f>
        <v>681.9375</v>
      </c>
      <c r="AA165" s="20">
        <v>15000</v>
      </c>
      <c r="AB165" s="19">
        <f t="shared" ca="1" si="10"/>
        <v>12461.420021406653</v>
      </c>
      <c r="AC165" s="20">
        <f t="shared" ca="1" si="11"/>
        <v>2538.5799785933468</v>
      </c>
      <c r="AD165" s="19">
        <f t="shared" ca="1" si="12"/>
        <v>3330.5179276736299</v>
      </c>
    </row>
    <row r="166" spans="1:30" x14ac:dyDescent="0.25">
      <c r="A166" s="19">
        <v>162</v>
      </c>
      <c r="B166" s="31">
        <v>50526</v>
      </c>
      <c r="C166" s="19">
        <f ca="1">IF($A166-C$3&lt;2,0,OFFSET('FPSO1 Base'!C163,-'FPSO1 Otim'!C$3,0))</f>
        <v>1340.6624999999999</v>
      </c>
      <c r="D166" s="19">
        <f ca="1">IF($A166-D$3&lt;2,0,OFFSET('FPSO1 Base'!D163,-'FPSO1 Otim'!D$3,0))</f>
        <v>214.90500000000003</v>
      </c>
      <c r="E166" s="19">
        <f ca="1">IF($A166-E$3&lt;2,0,OFFSET('FPSO1 Base'!E163,-'FPSO1 Otim'!E$3,0))</f>
        <v>537.26549999999997</v>
      </c>
      <c r="F166" s="19">
        <f ca="1">IF($A166-F$3&lt;2,0,OFFSET('FPSO1 Base'!F163,-'FPSO1 Otim'!F$3,0))</f>
        <v>699.48450000000003</v>
      </c>
      <c r="G166" s="19">
        <f ca="1">IF($A166-G$3&lt;2,0,OFFSET('FPSO1 Base'!G163,-'FPSO1 Otim'!G$3,0))</f>
        <v>193.92599999999999</v>
      </c>
      <c r="H166" s="19">
        <f ca="1">IF($A166-H$3&lt;2,0,OFFSET('FPSO1 Base'!H163,-'FPSO1 Otim'!H$3,0))</f>
        <v>712.97699999999998</v>
      </c>
      <c r="I166" s="19">
        <f ca="1">IF($A166-I$3&lt;2,0,OFFSET('FPSO1 Base'!I163,-'FPSO1 Otim'!I$3,0))</f>
        <v>542.83949999999993</v>
      </c>
      <c r="J166" s="19">
        <f ca="1">IF($A166-J$3&lt;2,0,OFFSET('FPSO1 Base'!J163,-'FPSO1 Otim'!J$3,0))</f>
        <v>308.90250000000003</v>
      </c>
      <c r="K166" s="19">
        <f ca="1">IF($A166-K$3&lt;2,0,OFFSET('FPSO1 Base'!K163,-'FPSO1 Otim'!K$3,0))</f>
        <v>369.42899999999997</v>
      </c>
      <c r="L166" s="19">
        <f ca="1">IF($A166-L$3&lt;2,0,OFFSET('FPSO1 Base'!L163,-'FPSO1 Otim'!L$3,0))</f>
        <v>483.52049999999997</v>
      </c>
      <c r="M166" s="19">
        <f ca="1">IF($A166-M$3&lt;2,0,OFFSET('FPSO1 Base'!M163,-'FPSO1 Otim'!M$3,0))</f>
        <v>537.21749999999997</v>
      </c>
      <c r="N166" s="19">
        <f ca="1">IF($A166-N$3&lt;2,0,OFFSET('FPSO1 Base'!N163,-'FPSO1 Otim'!N$3,0))</f>
        <v>68.555541192586077</v>
      </c>
      <c r="O166" s="19">
        <f ca="1">IF($A166-O$3&lt;2,0,OFFSET('FPSO1 Base'!O163,-'FPSO1 Otim'!O$3,0))</f>
        <v>569.49149999999997</v>
      </c>
      <c r="P166" s="19">
        <f ca="1">IF($A166-P$3&lt;2,0,OFFSET('FPSO1 Base'!P163,-'FPSO1 Otim'!P$3,0))</f>
        <v>244.84950000000001</v>
      </c>
      <c r="Q166" s="19">
        <f ca="1">IF($A166-Q$3&lt;2,0,OFFSET('FPSO1 Base'!Q163,-'FPSO1 Otim'!Q$3,0))</f>
        <v>430.03800000000001</v>
      </c>
      <c r="R166" s="19">
        <f ca="1">IF($A166-R$3&lt;2,0,OFFSET('FPSO1 Base'!R163,-'FPSO1 Otim'!R$3,0))</f>
        <v>121.67505</v>
      </c>
      <c r="S166" s="19">
        <f ca="1">IF($A166-S$3&lt;2,0,OFFSET('FPSO1 Base'!S163,-'FPSO1 Otim'!S$3,0))</f>
        <v>442.43700000000001</v>
      </c>
      <c r="T166" s="19">
        <f ca="1">IF($A166-T$3&lt;2,0,OFFSET('FPSO1 Base'!T163,-'FPSO1 Otim'!T$3,0))</f>
        <v>653.00850000000003</v>
      </c>
      <c r="U166" s="19">
        <f ca="1">IF($A166-U$3&lt;2,0,OFFSET('FPSO1 Base'!U163,-'FPSO1 Otim'!U$3,0))</f>
        <v>632.95049999999992</v>
      </c>
      <c r="V166" s="19">
        <f ca="1">IF($A166-V$3&lt;2,0,OFFSET('FPSO1 Base'!V163,-'FPSO1 Otim'!V$3,0))</f>
        <v>724.452</v>
      </c>
      <c r="W166" s="19">
        <f ca="1">IF($A166-W$3&lt;2,0,OFFSET('FPSO1 Base'!W163,-'FPSO1 Otim'!W$3,0))</f>
        <v>298.65749999999997</v>
      </c>
      <c r="X166" s="19">
        <f ca="1">IF($A166-X$3&lt;2,0,OFFSET('FPSO1 Base'!X163,-'FPSO1 Otim'!X$3,0))</f>
        <v>1096.6005</v>
      </c>
      <c r="Y166" s="19">
        <f ca="1">IF($A166-Y$3&lt;2,0,OFFSET('FPSO1 Base'!Y163,-'FPSO1 Otim'!Y$3,0))</f>
        <v>509.16600000000005</v>
      </c>
      <c r="Z166" s="19">
        <f ca="1">IF($A166-Z$3&lt;2,0,OFFSET('FPSO1 Base'!Z163,-'FPSO1 Otim'!Z$3,0))</f>
        <v>679.26599999999996</v>
      </c>
      <c r="AA166" s="20">
        <v>15000</v>
      </c>
      <c r="AB166" s="19">
        <f t="shared" ca="1" si="10"/>
        <v>12412.277091192582</v>
      </c>
      <c r="AC166" s="20">
        <f t="shared" ca="1" si="11"/>
        <v>2587.7229088074182</v>
      </c>
      <c r="AD166" s="19">
        <f t="shared" ca="1" si="12"/>
        <v>3289.9672833105888</v>
      </c>
    </row>
    <row r="167" spans="1:30" x14ac:dyDescent="0.25">
      <c r="A167" s="19">
        <v>163</v>
      </c>
      <c r="B167" s="31">
        <v>50557</v>
      </c>
      <c r="C167" s="19">
        <f ca="1">IF($A167-C$3&lt;2,0,OFFSET('FPSO1 Base'!C164,-'FPSO1 Otim'!C$3,0))</f>
        <v>1335.6195</v>
      </c>
      <c r="D167" s="19">
        <f ca="1">IF($A167-D$3&lt;2,0,OFFSET('FPSO1 Base'!D164,-'FPSO1 Otim'!D$3,0))</f>
        <v>213.89099999999999</v>
      </c>
      <c r="E167" s="19">
        <f ca="1">IF($A167-E$3&lt;2,0,OFFSET('FPSO1 Base'!E164,-'FPSO1 Otim'!E$3,0))</f>
        <v>535.46250000000009</v>
      </c>
      <c r="F167" s="19">
        <f ca="1">IF($A167-F$3&lt;2,0,OFFSET('FPSO1 Base'!F164,-'FPSO1 Otim'!F$3,0))</f>
        <v>695.25</v>
      </c>
      <c r="G167" s="19">
        <f ca="1">IF($A167-G$3&lt;2,0,OFFSET('FPSO1 Base'!G164,-'FPSO1 Otim'!G$3,0))</f>
        <v>193.4205</v>
      </c>
      <c r="H167" s="19">
        <f ca="1">IF($A167-H$3&lt;2,0,OFFSET('FPSO1 Base'!H164,-'FPSO1 Otim'!H$3,0))</f>
        <v>711.48749999999995</v>
      </c>
      <c r="I167" s="19">
        <f ca="1">IF($A167-I$3&lt;2,0,OFFSET('FPSO1 Base'!I164,-'FPSO1 Otim'!I$3,0))</f>
        <v>541.30649999999991</v>
      </c>
      <c r="J167" s="19">
        <f ca="1">IF($A167-J$3&lt;2,0,OFFSET('FPSO1 Base'!J164,-'FPSO1 Otim'!J$3,0))</f>
        <v>308.178</v>
      </c>
      <c r="K167" s="19">
        <f ca="1">IF($A167-K$3&lt;2,0,OFFSET('FPSO1 Base'!K164,-'FPSO1 Otim'!K$3,0))</f>
        <v>367.209</v>
      </c>
      <c r="L167" s="19">
        <f ca="1">IF($A167-L$3&lt;2,0,OFFSET('FPSO1 Base'!L164,-'FPSO1 Otim'!L$3,0))</f>
        <v>480.726</v>
      </c>
      <c r="M167" s="19">
        <f ca="1">IF($A167-M$3&lt;2,0,OFFSET('FPSO1 Base'!M164,-'FPSO1 Otim'!M$3,0))</f>
        <v>532.79999999999995</v>
      </c>
      <c r="N167" s="19">
        <f ca="1">IF($A167-N$3&lt;2,0,OFFSET('FPSO1 Base'!N164,-'FPSO1 Otim'!N$3,0))</f>
        <v>67.869985780660215</v>
      </c>
      <c r="O167" s="19">
        <f ca="1">IF($A167-O$3&lt;2,0,OFFSET('FPSO1 Base'!O164,-'FPSO1 Otim'!O$3,0))</f>
        <v>567.49950000000001</v>
      </c>
      <c r="P167" s="19">
        <f ca="1">IF($A167-P$3&lt;2,0,OFFSET('FPSO1 Base'!P164,-'FPSO1 Otim'!P$3,0))</f>
        <v>243.96750000000003</v>
      </c>
      <c r="Q167" s="19">
        <f ca="1">IF($A167-Q$3&lt;2,0,OFFSET('FPSO1 Base'!Q164,-'FPSO1 Otim'!Q$3,0))</f>
        <v>429.798</v>
      </c>
      <c r="R167" s="19">
        <f ca="1">IF($A167-R$3&lt;2,0,OFFSET('FPSO1 Base'!R164,-'FPSO1 Otim'!R$3,0))</f>
        <v>120.4582995</v>
      </c>
      <c r="S167" s="19">
        <f ca="1">IF($A167-S$3&lt;2,0,OFFSET('FPSO1 Base'!S164,-'FPSO1 Otim'!S$3,0))</f>
        <v>440.45550000000003</v>
      </c>
      <c r="T167" s="19">
        <f ca="1">IF($A167-T$3&lt;2,0,OFFSET('FPSO1 Base'!T164,-'FPSO1 Otim'!T$3,0))</f>
        <v>652.37549999999999</v>
      </c>
      <c r="U167" s="19">
        <f ca="1">IF($A167-U$3&lt;2,0,OFFSET('FPSO1 Base'!U164,-'FPSO1 Otim'!U$3,0))</f>
        <v>630.65250000000003</v>
      </c>
      <c r="V167" s="19">
        <f ca="1">IF($A167-V$3&lt;2,0,OFFSET('FPSO1 Base'!V164,-'FPSO1 Otim'!V$3,0))</f>
        <v>715.84950000000003</v>
      </c>
      <c r="W167" s="19">
        <f ca="1">IF($A167-W$3&lt;2,0,OFFSET('FPSO1 Base'!W164,-'FPSO1 Otim'!W$3,0))</f>
        <v>297.45299999999997</v>
      </c>
      <c r="X167" s="19">
        <f ca="1">IF($A167-X$3&lt;2,0,OFFSET('FPSO1 Base'!X164,-'FPSO1 Otim'!X$3,0))</f>
        <v>1093.6695</v>
      </c>
      <c r="Y167" s="19">
        <f ca="1">IF($A167-Y$3&lt;2,0,OFFSET('FPSO1 Base'!Y164,-'FPSO1 Otim'!Y$3,0))</f>
        <v>508.7355</v>
      </c>
      <c r="Z167" s="19">
        <f ca="1">IF($A167-Z$3&lt;2,0,OFFSET('FPSO1 Base'!Z164,-'FPSO1 Otim'!Z$3,0))</f>
        <v>676.74149999999997</v>
      </c>
      <c r="AA167" s="20">
        <v>15000</v>
      </c>
      <c r="AB167" s="19">
        <f t="shared" ca="1" si="10"/>
        <v>12360.876285280659</v>
      </c>
      <c r="AC167" s="20">
        <f t="shared" ca="1" si="11"/>
        <v>2639.1237147193406</v>
      </c>
      <c r="AD167" s="19">
        <f t="shared" ca="1" si="12"/>
        <v>3249.2658977690835</v>
      </c>
    </row>
    <row r="168" spans="1:30" x14ac:dyDescent="0.25">
      <c r="A168" s="19">
        <v>164</v>
      </c>
      <c r="B168" s="31">
        <v>50587</v>
      </c>
      <c r="C168" s="19">
        <f ca="1">IF($A168-C$3&lt;2,0,OFFSET('FPSO1 Base'!C165,-'FPSO1 Otim'!C$3,0))</f>
        <v>1329.8174999999999</v>
      </c>
      <c r="D168" s="19">
        <f ca="1">IF($A168-D$3&lt;2,0,OFFSET('FPSO1 Base'!D165,-'FPSO1 Otim'!D$3,0))</f>
        <v>212.58599999999998</v>
      </c>
      <c r="E168" s="19">
        <f ca="1">IF($A168-E$3&lt;2,0,OFFSET('FPSO1 Base'!E165,-'FPSO1 Otim'!E$3,0))</f>
        <v>533.84249999999997</v>
      </c>
      <c r="F168" s="19">
        <f ca="1">IF($A168-F$3&lt;2,0,OFFSET('FPSO1 Base'!F165,-'FPSO1 Otim'!F$3,0))</f>
        <v>690.99149999999997</v>
      </c>
      <c r="G168" s="19">
        <f ca="1">IF($A168-G$3&lt;2,0,OFFSET('FPSO1 Base'!G165,-'FPSO1 Otim'!G$3,0))</f>
        <v>192.57900000000001</v>
      </c>
      <c r="H168" s="19">
        <f ca="1">IF($A168-H$3&lt;2,0,OFFSET('FPSO1 Base'!H165,-'FPSO1 Otim'!H$3,0))</f>
        <v>709.96500000000003</v>
      </c>
      <c r="I168" s="19">
        <f ca="1">IF($A168-I$3&lt;2,0,OFFSET('FPSO1 Base'!I165,-'FPSO1 Otim'!I$3,0))</f>
        <v>539.50049999999999</v>
      </c>
      <c r="J168" s="19">
        <f ca="1">IF($A168-J$3&lt;2,0,OFFSET('FPSO1 Base'!J165,-'FPSO1 Otim'!J$3,0))</f>
        <v>307.28550000000001</v>
      </c>
      <c r="K168" s="19">
        <f ca="1">IF($A168-K$3&lt;2,0,OFFSET('FPSO1 Base'!K165,-'FPSO1 Otim'!K$3,0))</f>
        <v>364.63800000000003</v>
      </c>
      <c r="L168" s="19">
        <f ca="1">IF($A168-L$3&lt;2,0,OFFSET('FPSO1 Base'!L165,-'FPSO1 Otim'!L$3,0))</f>
        <v>477.77549999999997</v>
      </c>
      <c r="M168" s="19">
        <f ca="1">IF($A168-M$3&lt;2,0,OFFSET('FPSO1 Base'!M165,-'FPSO1 Otim'!M$3,0))</f>
        <v>528.798</v>
      </c>
      <c r="N168" s="19">
        <f ca="1">IF($A168-N$3&lt;2,0,OFFSET('FPSO1 Base'!N165,-'FPSO1 Otim'!N$3,0))</f>
        <v>67.191285922853609</v>
      </c>
      <c r="O168" s="19">
        <f ca="1">IF($A168-O$3&lt;2,0,OFFSET('FPSO1 Base'!O165,-'FPSO1 Otim'!O$3,0))</f>
        <v>565.71749999999997</v>
      </c>
      <c r="P168" s="19">
        <f ca="1">IF($A168-P$3&lt;2,0,OFFSET('FPSO1 Base'!P165,-'FPSO1 Otim'!P$3,0))</f>
        <v>242.92499999999998</v>
      </c>
      <c r="Q168" s="19">
        <f ca="1">IF($A168-Q$3&lt;2,0,OFFSET('FPSO1 Base'!Q165,-'FPSO1 Otim'!Q$3,0))</f>
        <v>429.51299999999998</v>
      </c>
      <c r="R168" s="19">
        <f ca="1">IF($A168-R$3&lt;2,0,OFFSET('FPSO1 Base'!R165,-'FPSO1 Otim'!R$3,0))</f>
        <v>119.253716505</v>
      </c>
      <c r="S168" s="19">
        <f ca="1">IF($A168-S$3&lt;2,0,OFFSET('FPSO1 Base'!S165,-'FPSO1 Otim'!S$3,0))</f>
        <v>438.375</v>
      </c>
      <c r="T168" s="19">
        <f ca="1">IF($A168-T$3&lt;2,0,OFFSET('FPSO1 Base'!T165,-'FPSO1 Otim'!T$3,0))</f>
        <v>651.76199999999994</v>
      </c>
      <c r="U168" s="19">
        <f ca="1">IF($A168-U$3&lt;2,0,OFFSET('FPSO1 Base'!U165,-'FPSO1 Otim'!U$3,0))</f>
        <v>628.15049999999997</v>
      </c>
      <c r="V168" s="19">
        <f ca="1">IF($A168-V$3&lt;2,0,OFFSET('FPSO1 Base'!V165,-'FPSO1 Otim'!V$3,0))</f>
        <v>708.19350000000009</v>
      </c>
      <c r="W168" s="19">
        <f ca="1">IF($A168-W$3&lt;2,0,OFFSET('FPSO1 Base'!W165,-'FPSO1 Otim'!W$3,0))</f>
        <v>296.43150000000003</v>
      </c>
      <c r="X168" s="19">
        <f ca="1">IF($A168-X$3&lt;2,0,OFFSET('FPSO1 Base'!X165,-'FPSO1 Otim'!X$3,0))</f>
        <v>1090.5255000000002</v>
      </c>
      <c r="Y168" s="19">
        <f ca="1">IF($A168-Y$3&lt;2,0,OFFSET('FPSO1 Base'!Y165,-'FPSO1 Otim'!Y$3,0))</f>
        <v>508.24199999999996</v>
      </c>
      <c r="Z168" s="19">
        <f ca="1">IF($A168-Z$3&lt;2,0,OFFSET('FPSO1 Base'!Z165,-'FPSO1 Otim'!Z$3,0))</f>
        <v>673.71299999999997</v>
      </c>
      <c r="AA168" s="20">
        <v>15000</v>
      </c>
      <c r="AB168" s="19">
        <f t="shared" ca="1" si="10"/>
        <v>12307.772502427852</v>
      </c>
      <c r="AC168" s="20">
        <f t="shared" ca="1" si="11"/>
        <v>2692.2274975721484</v>
      </c>
      <c r="AD168" s="19">
        <f t="shared" ca="1" si="12"/>
        <v>3208.5685964877775</v>
      </c>
    </row>
    <row r="169" spans="1:30" x14ac:dyDescent="0.25">
      <c r="A169" s="19">
        <v>165</v>
      </c>
      <c r="B169" s="31">
        <v>50618</v>
      </c>
      <c r="C169" s="19">
        <f ca="1">IF($A169-C$3&lt;2,0,OFFSET('FPSO1 Base'!C166,-'FPSO1 Otim'!C$3,0))</f>
        <v>1323.8174999999999</v>
      </c>
      <c r="D169" s="19">
        <f ca="1">IF($A169-D$3&lt;2,0,OFFSET('FPSO1 Base'!D166,-'FPSO1 Otim'!D$3,0))</f>
        <v>211.209</v>
      </c>
      <c r="E169" s="19">
        <f ca="1">IF($A169-E$3&lt;2,0,OFFSET('FPSO1 Base'!E166,-'FPSO1 Otim'!E$3,0))</f>
        <v>532.03800000000001</v>
      </c>
      <c r="F169" s="19">
        <f ca="1">IF($A169-F$3&lt;2,0,OFFSET('FPSO1 Base'!F166,-'FPSO1 Otim'!F$3,0))</f>
        <v>686.21250000000009</v>
      </c>
      <c r="G169" s="19">
        <f ca="1">IF($A169-G$3&lt;2,0,OFFSET('FPSO1 Base'!G166,-'FPSO1 Otim'!G$3,0))</f>
        <v>192.13200000000001</v>
      </c>
      <c r="H169" s="19">
        <f ca="1">IF($A169-H$3&lt;2,0,OFFSET('FPSO1 Base'!H166,-'FPSO1 Otim'!H$3,0))</f>
        <v>708.49649999999997</v>
      </c>
      <c r="I169" s="19">
        <f ca="1">IF($A169-I$3&lt;2,0,OFFSET('FPSO1 Base'!I166,-'FPSO1 Otim'!I$3,0))</f>
        <v>537.91949999999997</v>
      </c>
      <c r="J169" s="19">
        <f ca="1">IF($A169-J$3&lt;2,0,OFFSET('FPSO1 Base'!J166,-'FPSO1 Otim'!J$3,0))</f>
        <v>306.62850000000003</v>
      </c>
      <c r="K169" s="19">
        <f ca="1">IF($A169-K$3&lt;2,0,OFFSET('FPSO1 Base'!K166,-'FPSO1 Otim'!K$3,0))</f>
        <v>362.51549999999997</v>
      </c>
      <c r="L169" s="19">
        <f ca="1">IF($A169-L$3&lt;2,0,OFFSET('FPSO1 Base'!L166,-'FPSO1 Otim'!L$3,0))</f>
        <v>475.11300000000006</v>
      </c>
      <c r="M169" s="19">
        <f ca="1">IF($A169-M$3&lt;2,0,OFFSET('FPSO1 Base'!M166,-'FPSO1 Otim'!M$3,0))</f>
        <v>524.73749999999995</v>
      </c>
      <c r="N169" s="19">
        <f ca="1">IF($A169-N$3&lt;2,0,OFFSET('FPSO1 Base'!N166,-'FPSO1 Otim'!N$3,0))</f>
        <v>66.519373063625068</v>
      </c>
      <c r="O169" s="19">
        <f ca="1">IF($A169-O$3&lt;2,0,OFFSET('FPSO1 Base'!O166,-'FPSO1 Otim'!O$3,0))</f>
        <v>563.74950000000001</v>
      </c>
      <c r="P169" s="19">
        <f ca="1">IF($A169-P$3&lt;2,0,OFFSET('FPSO1 Base'!P166,-'FPSO1 Otim'!P$3,0))</f>
        <v>241.98450000000003</v>
      </c>
      <c r="Q169" s="19">
        <f ca="1">IF($A169-Q$3&lt;2,0,OFFSET('FPSO1 Base'!Q166,-'FPSO1 Otim'!Q$3,0))</f>
        <v>429.21749999999997</v>
      </c>
      <c r="R169" s="19">
        <f ca="1">IF($A169-R$3&lt;2,0,OFFSET('FPSO1 Base'!R166,-'FPSO1 Otim'!R$3,0))</f>
        <v>118.06117933995</v>
      </c>
      <c r="S169" s="19">
        <f ca="1">IF($A169-S$3&lt;2,0,OFFSET('FPSO1 Base'!S166,-'FPSO1 Otim'!S$3,0))</f>
        <v>436.51199999999994</v>
      </c>
      <c r="T169" s="19">
        <f ca="1">IF($A169-T$3&lt;2,0,OFFSET('FPSO1 Base'!T166,-'FPSO1 Otim'!T$3,0))</f>
        <v>651.06299999999999</v>
      </c>
      <c r="U169" s="19">
        <f ca="1">IF($A169-U$3&lt;2,0,OFFSET('FPSO1 Base'!U166,-'FPSO1 Otim'!U$3,0))</f>
        <v>625.81499999999994</v>
      </c>
      <c r="V169" s="19">
        <f ca="1">IF($A169-V$3&lt;2,0,OFFSET('FPSO1 Base'!V166,-'FPSO1 Otim'!V$3,0))</f>
        <v>700.2</v>
      </c>
      <c r="W169" s="19">
        <f ca="1">IF($A169-W$3&lt;2,0,OFFSET('FPSO1 Base'!W166,-'FPSO1 Otim'!W$3,0))</f>
        <v>295.33799999999997</v>
      </c>
      <c r="X169" s="19">
        <f ca="1">IF($A169-X$3&lt;2,0,OFFSET('FPSO1 Base'!X166,-'FPSO1 Otim'!X$3,0))</f>
        <v>1087.4760000000001</v>
      </c>
      <c r="Y169" s="19">
        <f ca="1">IF($A169-Y$3&lt;2,0,OFFSET('FPSO1 Base'!Y166,-'FPSO1 Otim'!Y$3,0))</f>
        <v>507.81599999999997</v>
      </c>
      <c r="Z169" s="19">
        <f ca="1">IF($A169-Z$3&lt;2,0,OFFSET('FPSO1 Base'!Z166,-'FPSO1 Otim'!Z$3,0))</f>
        <v>670.72350000000006</v>
      </c>
      <c r="AA169" s="20">
        <v>15000</v>
      </c>
      <c r="AB169" s="19">
        <f t="shared" ca="1" si="10"/>
        <v>12255.295052403575</v>
      </c>
      <c r="AC169" s="20">
        <f t="shared" ca="1" si="11"/>
        <v>2744.704947596425</v>
      </c>
      <c r="AD169" s="19">
        <f t="shared" ca="1" si="12"/>
        <v>3168.4839807288358</v>
      </c>
    </row>
    <row r="170" spans="1:30" x14ac:dyDescent="0.25">
      <c r="A170" s="19">
        <v>166</v>
      </c>
      <c r="B170" s="31">
        <v>50649</v>
      </c>
      <c r="C170" s="19">
        <f ca="1">IF($A170-C$3&lt;2,0,OFFSET('FPSO1 Base'!C167,-'FPSO1 Otim'!C$3,0))</f>
        <v>1318.2375000000002</v>
      </c>
      <c r="D170" s="19">
        <f ca="1">IF($A170-D$3&lt;2,0,OFFSET('FPSO1 Base'!D167,-'FPSO1 Otim'!D$3,0))</f>
        <v>208.78800000000001</v>
      </c>
      <c r="E170" s="19">
        <f ca="1">IF($A170-E$3&lt;2,0,OFFSET('FPSO1 Base'!E167,-'FPSO1 Otim'!E$3,0))</f>
        <v>530.274</v>
      </c>
      <c r="F170" s="19">
        <f ca="1">IF($A170-F$3&lt;2,0,OFFSET('FPSO1 Base'!F167,-'FPSO1 Otim'!F$3,0))</f>
        <v>681.56850000000009</v>
      </c>
      <c r="G170" s="19">
        <f ca="1">IF($A170-G$3&lt;2,0,OFFSET('FPSO1 Base'!G167,-'FPSO1 Otim'!G$3,0))</f>
        <v>191.44499999999999</v>
      </c>
      <c r="H170" s="19">
        <f ca="1">IF($A170-H$3&lt;2,0,OFFSET('FPSO1 Base'!H167,-'FPSO1 Otim'!H$3,0))</f>
        <v>707.01150000000007</v>
      </c>
      <c r="I170" s="19">
        <f ca="1">IF($A170-I$3&lt;2,0,OFFSET('FPSO1 Base'!I167,-'FPSO1 Otim'!I$3,0))</f>
        <v>536.14949999999999</v>
      </c>
      <c r="J170" s="19">
        <f ca="1">IF($A170-J$3&lt;2,0,OFFSET('FPSO1 Base'!J167,-'FPSO1 Otim'!J$3,0))</f>
        <v>305.8245</v>
      </c>
      <c r="K170" s="19">
        <f ca="1">IF($A170-K$3&lt;2,0,OFFSET('FPSO1 Base'!K167,-'FPSO1 Otim'!K$3,0))</f>
        <v>360.26250000000005</v>
      </c>
      <c r="L170" s="19">
        <f ca="1">IF($A170-L$3&lt;2,0,OFFSET('FPSO1 Base'!L167,-'FPSO1 Otim'!L$3,0))</f>
        <v>472.24950000000001</v>
      </c>
      <c r="M170" s="19">
        <f ca="1">IF($A170-M$3&lt;2,0,OFFSET('FPSO1 Base'!M167,-'FPSO1 Otim'!M$3,0))</f>
        <v>521.16600000000005</v>
      </c>
      <c r="N170" s="19">
        <f ca="1">IF($A170-N$3&lt;2,0,OFFSET('FPSO1 Base'!N167,-'FPSO1 Otim'!N$3,0))</f>
        <v>65.854179332988821</v>
      </c>
      <c r="O170" s="19">
        <f ca="1">IF($A170-O$3&lt;2,0,OFFSET('FPSO1 Base'!O167,-'FPSO1 Otim'!O$3,0))</f>
        <v>555.45899999999995</v>
      </c>
      <c r="P170" s="19">
        <f ca="1">IF($A170-P$3&lt;2,0,OFFSET('FPSO1 Base'!P167,-'FPSO1 Otim'!P$3,0))</f>
        <v>241.01549999999997</v>
      </c>
      <c r="Q170" s="19">
        <f ca="1">IF($A170-Q$3&lt;2,0,OFFSET('FPSO1 Base'!Q167,-'FPSO1 Otim'!Q$3,0))</f>
        <v>428.93999999999994</v>
      </c>
      <c r="R170" s="19">
        <f ca="1">IF($A170-R$3&lt;2,0,OFFSET('FPSO1 Base'!R167,-'FPSO1 Otim'!R$3,0))</f>
        <v>116.88056754655049</v>
      </c>
      <c r="S170" s="19">
        <f ca="1">IF($A170-S$3&lt;2,0,OFFSET('FPSO1 Base'!S167,-'FPSO1 Otim'!S$3,0))</f>
        <v>434.85450000000003</v>
      </c>
      <c r="T170" s="19">
        <f ca="1">IF($A170-T$3&lt;2,0,OFFSET('FPSO1 Base'!T167,-'FPSO1 Otim'!T$3,0))</f>
        <v>650.322</v>
      </c>
      <c r="U170" s="19">
        <f ca="1">IF($A170-U$3&lt;2,0,OFFSET('FPSO1 Base'!U167,-'FPSO1 Otim'!U$3,0))</f>
        <v>623.61300000000006</v>
      </c>
      <c r="V170" s="19">
        <f ca="1">IF($A170-V$3&lt;2,0,OFFSET('FPSO1 Base'!V167,-'FPSO1 Otim'!V$3,0))</f>
        <v>692.80649999999991</v>
      </c>
      <c r="W170" s="19">
        <f ca="1">IF($A170-W$3&lt;2,0,OFFSET('FPSO1 Base'!W167,-'FPSO1 Otim'!W$3,0))</f>
        <v>294.399</v>
      </c>
      <c r="X170" s="19">
        <f ca="1">IF($A170-X$3&lt;2,0,OFFSET('FPSO1 Base'!X167,-'FPSO1 Otim'!X$3,0))</f>
        <v>1084.4760000000001</v>
      </c>
      <c r="Y170" s="19">
        <f ca="1">IF($A170-Y$3&lt;2,0,OFFSET('FPSO1 Base'!Y167,-'FPSO1 Otim'!Y$3,0))</f>
        <v>507.31200000000001</v>
      </c>
      <c r="Z170" s="19">
        <f ca="1">IF($A170-Z$3&lt;2,0,OFFSET('FPSO1 Base'!Z167,-'FPSO1 Otim'!Z$3,0))</f>
        <v>667.45650000000001</v>
      </c>
      <c r="AA170" s="20">
        <v>15000</v>
      </c>
      <c r="AB170" s="19">
        <f t="shared" ca="1" si="10"/>
        <v>12196.365246879539</v>
      </c>
      <c r="AC170" s="20">
        <f t="shared" ca="1" si="11"/>
        <v>2803.634753120461</v>
      </c>
      <c r="AD170" s="19">
        <f t="shared" ca="1" si="12"/>
        <v>3127.1883657707544</v>
      </c>
    </row>
    <row r="171" spans="1:30" x14ac:dyDescent="0.25">
      <c r="A171" s="19">
        <v>167</v>
      </c>
      <c r="B171" s="31">
        <v>50679</v>
      </c>
      <c r="C171" s="19">
        <f ca="1">IF($A171-C$3&lt;2,0,OFFSET('FPSO1 Base'!C168,-'FPSO1 Otim'!C$3,0))</f>
        <v>1312.854</v>
      </c>
      <c r="D171" s="19">
        <f ca="1">IF($A171-D$3&lt;2,0,OFFSET('FPSO1 Base'!D168,-'FPSO1 Otim'!D$3,0))</f>
        <v>207.786</v>
      </c>
      <c r="E171" s="19">
        <f ca="1">IF($A171-E$3&lt;2,0,OFFSET('FPSO1 Base'!E168,-'FPSO1 Otim'!E$3,0))</f>
        <v>528.60450000000003</v>
      </c>
      <c r="F171" s="19">
        <f ca="1">IF($A171-F$3&lt;2,0,OFFSET('FPSO1 Base'!F168,-'FPSO1 Otim'!F$3,0))</f>
        <v>676.86300000000006</v>
      </c>
      <c r="G171" s="19">
        <f ca="1">IF($A171-G$3&lt;2,0,OFFSET('FPSO1 Base'!G168,-'FPSO1 Otim'!G$3,0))</f>
        <v>190.2</v>
      </c>
      <c r="H171" s="19">
        <f ca="1">IF($A171-H$3&lt;2,0,OFFSET('FPSO1 Base'!H168,-'FPSO1 Otim'!H$3,0))</f>
        <v>697.596</v>
      </c>
      <c r="I171" s="19">
        <f ca="1">IF($A171-I$3&lt;2,0,OFFSET('FPSO1 Base'!I168,-'FPSO1 Otim'!I$3,0))</f>
        <v>534.50850000000003</v>
      </c>
      <c r="J171" s="19">
        <f ca="1">IF($A171-J$3&lt;2,0,OFFSET('FPSO1 Base'!J168,-'FPSO1 Otim'!J$3,0))</f>
        <v>305.12850000000003</v>
      </c>
      <c r="K171" s="19">
        <f ca="1">IF($A171-K$3&lt;2,0,OFFSET('FPSO1 Base'!K168,-'FPSO1 Otim'!K$3,0))</f>
        <v>358.30650000000003</v>
      </c>
      <c r="L171" s="19">
        <f ca="1">IF($A171-L$3&lt;2,0,OFFSET('FPSO1 Base'!L168,-'FPSO1 Otim'!L$3,0))</f>
        <v>453.339</v>
      </c>
      <c r="M171" s="19">
        <f ca="1">IF($A171-M$3&lt;2,0,OFFSET('FPSO1 Base'!M168,-'FPSO1 Otim'!M$3,0))</f>
        <v>517.59749999999997</v>
      </c>
      <c r="N171" s="19">
        <f ca="1">IF($A171-N$3&lt;2,0,OFFSET('FPSO1 Base'!N168,-'FPSO1 Otim'!N$3,0))</f>
        <v>65.195637539658932</v>
      </c>
      <c r="O171" s="19">
        <f ca="1">IF($A171-O$3&lt;2,0,OFFSET('FPSO1 Base'!O168,-'FPSO1 Otim'!O$3,0))</f>
        <v>553.08899999999994</v>
      </c>
      <c r="P171" s="19">
        <f ca="1">IF($A171-P$3&lt;2,0,OFFSET('FPSO1 Base'!P168,-'FPSO1 Otim'!P$3,0))</f>
        <v>239.95050000000003</v>
      </c>
      <c r="Q171" s="19">
        <f ca="1">IF($A171-Q$3&lt;2,0,OFFSET('FPSO1 Base'!Q168,-'FPSO1 Otim'!Q$3,0))</f>
        <v>428.51849999999996</v>
      </c>
      <c r="R171" s="19">
        <f ca="1">IF($A171-R$3&lt;2,0,OFFSET('FPSO1 Base'!R168,-'FPSO1 Otim'!R$3,0))</f>
        <v>115.71176187108499</v>
      </c>
      <c r="S171" s="19">
        <f ca="1">IF($A171-S$3&lt;2,0,OFFSET('FPSO1 Base'!S168,-'FPSO1 Otim'!S$3,0))</f>
        <v>433.07100000000003</v>
      </c>
      <c r="T171" s="19">
        <f ca="1">IF($A171-T$3&lt;2,0,OFFSET('FPSO1 Base'!T168,-'FPSO1 Otim'!T$3,0))</f>
        <v>649.62149999999997</v>
      </c>
      <c r="U171" s="19">
        <f ca="1">IF($A171-U$3&lt;2,0,OFFSET('FPSO1 Base'!U168,-'FPSO1 Otim'!U$3,0))</f>
        <v>621.0809999999999</v>
      </c>
      <c r="V171" s="19">
        <f ca="1">IF($A171-V$3&lt;2,0,OFFSET('FPSO1 Base'!V168,-'FPSO1 Otim'!V$3,0))</f>
        <v>685.64549999999997</v>
      </c>
      <c r="W171" s="19">
        <f ca="1">IF($A171-W$3&lt;2,0,OFFSET('FPSO1 Base'!W168,-'FPSO1 Otim'!W$3,0))</f>
        <v>293.39999999999998</v>
      </c>
      <c r="X171" s="19">
        <f ca="1">IF($A171-X$3&lt;2,0,OFFSET('FPSO1 Base'!X168,-'FPSO1 Otim'!X$3,0))</f>
        <v>1081.2494999999999</v>
      </c>
      <c r="Y171" s="19">
        <f ca="1">IF($A171-Y$3&lt;2,0,OFFSET('FPSO1 Base'!Y168,-'FPSO1 Otim'!Y$3,0))</f>
        <v>506.86649999999997</v>
      </c>
      <c r="Z171" s="19">
        <f ca="1">IF($A171-Z$3&lt;2,0,OFFSET('FPSO1 Base'!Z168,-'FPSO1 Otim'!Z$3,0))</f>
        <v>664.43999999999994</v>
      </c>
      <c r="AA171" s="20">
        <v>15000</v>
      </c>
      <c r="AB171" s="19">
        <f t="shared" ca="1" si="10"/>
        <v>12120.623899410744</v>
      </c>
      <c r="AC171" s="20">
        <f t="shared" ca="1" si="11"/>
        <v>2879.3761005892557</v>
      </c>
      <c r="AD171" s="19">
        <f t="shared" ca="1" si="12"/>
        <v>3082.0840005700434</v>
      </c>
    </row>
    <row r="172" spans="1:30" x14ac:dyDescent="0.25">
      <c r="A172" s="19">
        <v>168</v>
      </c>
      <c r="B172" s="31">
        <v>50710</v>
      </c>
      <c r="C172" s="19">
        <f ca="1">IF($A172-C$3&lt;2,0,OFFSET('FPSO1 Base'!C169,-'FPSO1 Otim'!C$3,0))</f>
        <v>1308.1544999999999</v>
      </c>
      <c r="D172" s="19">
        <f ca="1">IF($A172-D$3&lt;2,0,OFFSET('FPSO1 Base'!D169,-'FPSO1 Otim'!D$3,0))</f>
        <v>206.673</v>
      </c>
      <c r="E172" s="19">
        <f ca="1">IF($A172-E$3&lt;2,0,OFFSET('FPSO1 Base'!E169,-'FPSO1 Otim'!E$3,0))</f>
        <v>526.5809999999999</v>
      </c>
      <c r="F172" s="19">
        <f ca="1">IF($A172-F$3&lt;2,0,OFFSET('FPSO1 Base'!F169,-'FPSO1 Otim'!F$3,0))</f>
        <v>671.87549999999999</v>
      </c>
      <c r="G172" s="19">
        <f ca="1">IF($A172-G$3&lt;2,0,OFFSET('FPSO1 Base'!G169,-'FPSO1 Otim'!G$3,0))</f>
        <v>189.69749999999999</v>
      </c>
      <c r="H172" s="19">
        <f ca="1">IF($A172-H$3&lt;2,0,OFFSET('FPSO1 Base'!H169,-'FPSO1 Otim'!H$3,0))</f>
        <v>696.4815000000001</v>
      </c>
      <c r="I172" s="19">
        <f ca="1">IF($A172-I$3&lt;2,0,OFFSET('FPSO1 Base'!I169,-'FPSO1 Otim'!I$3,0))</f>
        <v>532.88699999999994</v>
      </c>
      <c r="J172" s="19">
        <f ca="1">IF($A172-J$3&lt;2,0,OFFSET('FPSO1 Base'!J169,-'FPSO1 Otim'!J$3,0))</f>
        <v>304.35000000000002</v>
      </c>
      <c r="K172" s="19">
        <f ca="1">IF($A172-K$3&lt;2,0,OFFSET('FPSO1 Base'!K169,-'FPSO1 Otim'!K$3,0))</f>
        <v>356.39550000000003</v>
      </c>
      <c r="L172" s="19">
        <f ca="1">IF($A172-L$3&lt;2,0,OFFSET('FPSO1 Base'!L169,-'FPSO1 Otim'!L$3,0))</f>
        <v>449.52750000000003</v>
      </c>
      <c r="M172" s="19">
        <f ca="1">IF($A172-M$3&lt;2,0,OFFSET('FPSO1 Base'!M169,-'FPSO1 Otim'!M$3,0))</f>
        <v>513.9375</v>
      </c>
      <c r="N172" s="19">
        <f ca="1">IF($A172-N$3&lt;2,0,OFFSET('FPSO1 Base'!N169,-'FPSO1 Otim'!N$3,0))</f>
        <v>64.543681164262338</v>
      </c>
      <c r="O172" s="19">
        <f ca="1">IF($A172-O$3&lt;2,0,OFFSET('FPSO1 Base'!O169,-'FPSO1 Otim'!O$3,0))</f>
        <v>550.9815000000001</v>
      </c>
      <c r="P172" s="19">
        <f ca="1">IF($A172-P$3&lt;2,0,OFFSET('FPSO1 Base'!P169,-'FPSO1 Otim'!P$3,0))</f>
        <v>239.0085</v>
      </c>
      <c r="Q172" s="19">
        <f ca="1">IF($A172-Q$3&lt;2,0,OFFSET('FPSO1 Base'!Q169,-'FPSO1 Otim'!Q$3,0))</f>
        <v>428.14050000000003</v>
      </c>
      <c r="R172" s="19">
        <f ca="1">IF($A172-R$3&lt;2,0,OFFSET('FPSO1 Base'!R169,-'FPSO1 Otim'!R$3,0))</f>
        <v>114.55464425237413</v>
      </c>
      <c r="S172" s="19">
        <f ca="1">IF($A172-S$3&lt;2,0,OFFSET('FPSO1 Base'!S169,-'FPSO1 Otim'!S$3,0))</f>
        <v>431.77049999999997</v>
      </c>
      <c r="T172" s="19">
        <f ca="1">IF($A172-T$3&lt;2,0,OFFSET('FPSO1 Base'!T169,-'FPSO1 Otim'!T$3,0))</f>
        <v>648.73649999999998</v>
      </c>
      <c r="U172" s="19">
        <f ca="1">IF($A172-U$3&lt;2,0,OFFSET('FPSO1 Base'!U169,-'FPSO1 Otim'!U$3,0))</f>
        <v>618.96749999999997</v>
      </c>
      <c r="V172" s="19">
        <f ca="1">IF($A172-V$3&lt;2,0,OFFSET('FPSO1 Base'!V169,-'FPSO1 Otim'!V$3,0))</f>
        <v>677.74950000000001</v>
      </c>
      <c r="W172" s="19">
        <f ca="1">IF($A172-W$3&lt;2,0,OFFSET('FPSO1 Base'!W169,-'FPSO1 Otim'!W$3,0))</f>
        <v>292.488</v>
      </c>
      <c r="X172" s="19">
        <f ca="1">IF($A172-X$3&lt;2,0,OFFSET('FPSO1 Base'!X169,-'FPSO1 Otim'!X$3,0))</f>
        <v>1078.3064999999999</v>
      </c>
      <c r="Y172" s="19">
        <f ca="1">IF($A172-Y$3&lt;2,0,OFFSET('FPSO1 Base'!Y169,-'FPSO1 Otim'!Y$3,0))</f>
        <v>506.35650000000004</v>
      </c>
      <c r="Z172" s="19">
        <f ca="1">IF($A172-Z$3&lt;2,0,OFFSET('FPSO1 Base'!Z169,-'FPSO1 Otim'!Z$3,0))</f>
        <v>661.37250000000006</v>
      </c>
      <c r="AA172" s="20">
        <v>15000</v>
      </c>
      <c r="AB172" s="19">
        <f t="shared" ca="1" si="10"/>
        <v>12069.536825416635</v>
      </c>
      <c r="AC172" s="20">
        <f t="shared" ca="1" si="11"/>
        <v>2930.4631745833649</v>
      </c>
      <c r="AD172" s="19">
        <f t="shared" ca="1" si="12"/>
        <v>3043.7289533072544</v>
      </c>
    </row>
    <row r="173" spans="1:30" x14ac:dyDescent="0.25">
      <c r="A173" s="19">
        <v>169</v>
      </c>
      <c r="B173" s="31">
        <v>50740</v>
      </c>
      <c r="C173" s="19">
        <f ca="1">IF($A173-C$3&lt;2,0,OFFSET('FPSO1 Base'!C170,-'FPSO1 Otim'!C$3,0))</f>
        <v>1303.7339999999999</v>
      </c>
      <c r="D173" s="19">
        <f ca="1">IF($A173-D$3&lt;2,0,OFFSET('FPSO1 Base'!D170,-'FPSO1 Otim'!D$3,0))</f>
        <v>205.6155</v>
      </c>
      <c r="E173" s="19">
        <f ca="1">IF($A173-E$3&lt;2,0,OFFSET('FPSO1 Base'!E170,-'FPSO1 Otim'!E$3,0))</f>
        <v>525.024</v>
      </c>
      <c r="F173" s="19">
        <f ca="1">IF($A173-F$3&lt;2,0,OFFSET('FPSO1 Base'!F170,-'FPSO1 Otim'!F$3,0))</f>
        <v>667.29449999999997</v>
      </c>
      <c r="G173" s="19">
        <f ca="1">IF($A173-G$3&lt;2,0,OFFSET('FPSO1 Base'!G170,-'FPSO1 Otim'!G$3,0))</f>
        <v>189.36599999999999</v>
      </c>
      <c r="H173" s="19">
        <f ca="1">IF($A173-H$3&lt;2,0,OFFSET('FPSO1 Base'!H170,-'FPSO1 Otim'!H$3,0))</f>
        <v>695.12699999999995</v>
      </c>
      <c r="I173" s="19">
        <f ca="1">IF($A173-I$3&lt;2,0,OFFSET('FPSO1 Base'!I170,-'FPSO1 Otim'!I$3,0))</f>
        <v>531.25049999999999</v>
      </c>
      <c r="J173" s="19">
        <f ca="1">IF($A173-J$3&lt;2,0,OFFSET('FPSO1 Base'!J170,-'FPSO1 Otim'!J$3,0))</f>
        <v>303.62850000000003</v>
      </c>
      <c r="K173" s="19">
        <f ca="1">IF($A173-K$3&lt;2,0,OFFSET('FPSO1 Base'!K170,-'FPSO1 Otim'!K$3,0))</f>
        <v>354.53100000000001</v>
      </c>
      <c r="L173" s="19">
        <f ca="1">IF($A173-L$3&lt;2,0,OFFSET('FPSO1 Base'!L170,-'FPSO1 Otim'!L$3,0))</f>
        <v>447.24599999999998</v>
      </c>
      <c r="M173" s="19">
        <f ca="1">IF($A173-M$3&lt;2,0,OFFSET('FPSO1 Base'!M170,-'FPSO1 Otim'!M$3,0))</f>
        <v>510.55649999999997</v>
      </c>
      <c r="N173" s="19">
        <f ca="1">IF($A173-N$3&lt;2,0,OFFSET('FPSO1 Base'!N170,-'FPSO1 Otim'!N$3,0))</f>
        <v>63.898244352619713</v>
      </c>
      <c r="O173" s="19">
        <f ca="1">IF($A173-O$3&lt;2,0,OFFSET('FPSO1 Base'!O170,-'FPSO1 Otim'!O$3,0))</f>
        <v>549.31499999999994</v>
      </c>
      <c r="P173" s="19">
        <f ca="1">IF($A173-P$3&lt;2,0,OFFSET('FPSO1 Base'!P170,-'FPSO1 Otim'!P$3,0))</f>
        <v>237.9495</v>
      </c>
      <c r="Q173" s="19">
        <f ca="1">IF($A173-Q$3&lt;2,0,OFFSET('FPSO1 Base'!Q170,-'FPSO1 Otim'!Q$3,0))</f>
        <v>427.66200000000003</v>
      </c>
      <c r="R173" s="19">
        <f ca="1">IF($A173-R$3&lt;2,0,OFFSET('FPSO1 Base'!R170,-'FPSO1 Otim'!R$3,0))</f>
        <v>113.40909780985039</v>
      </c>
      <c r="S173" s="19">
        <f ca="1">IF($A173-S$3&lt;2,0,OFFSET('FPSO1 Base'!S170,-'FPSO1 Otim'!S$3,0))</f>
        <v>430.34999999999997</v>
      </c>
      <c r="T173" s="19">
        <f ca="1">IF($A173-T$3&lt;2,0,OFFSET('FPSO1 Base'!T170,-'FPSO1 Otim'!T$3,0))</f>
        <v>647.98800000000006</v>
      </c>
      <c r="U173" s="19">
        <f ca="1">IF($A173-U$3&lt;2,0,OFFSET('FPSO1 Base'!U170,-'FPSO1 Otim'!U$3,0))</f>
        <v>616.60050000000001</v>
      </c>
      <c r="V173" s="19">
        <f ca="1">IF($A173-V$3&lt;2,0,OFFSET('FPSO1 Base'!V170,-'FPSO1 Otim'!V$3,0))</f>
        <v>671.274</v>
      </c>
      <c r="W173" s="19">
        <f ca="1">IF($A173-W$3&lt;2,0,OFFSET('FPSO1 Base'!W170,-'FPSO1 Otim'!W$3,0))</f>
        <v>291.58050000000003</v>
      </c>
      <c r="X173" s="19">
        <f ca="1">IF($A173-X$3&lt;2,0,OFFSET('FPSO1 Base'!X170,-'FPSO1 Otim'!X$3,0))</f>
        <v>1075.0994999999998</v>
      </c>
      <c r="Y173" s="19">
        <f ca="1">IF($A173-Y$3&lt;2,0,OFFSET('FPSO1 Base'!Y170,-'FPSO1 Otim'!Y$3,0))</f>
        <v>505.88100000000003</v>
      </c>
      <c r="Z173" s="19">
        <f ca="1">IF($A173-Z$3&lt;2,0,OFFSET('FPSO1 Base'!Z170,-'FPSO1 Otim'!Z$3,0))</f>
        <v>658.11899999999991</v>
      </c>
      <c r="AA173" s="20">
        <v>15000</v>
      </c>
      <c r="AB173" s="19">
        <f t="shared" ca="1" si="10"/>
        <v>12022.499842162468</v>
      </c>
      <c r="AC173" s="20">
        <f t="shared" ca="1" si="11"/>
        <v>2977.5001578375322</v>
      </c>
      <c r="AD173" s="19">
        <f t="shared" ca="1" si="12"/>
        <v>3006.8102852758734</v>
      </c>
    </row>
    <row r="174" spans="1:30" x14ac:dyDescent="0.25">
      <c r="A174" s="19">
        <v>170</v>
      </c>
      <c r="B174" s="31">
        <v>50771</v>
      </c>
      <c r="C174" s="19">
        <f ca="1">IF($A174-C$3&lt;2,0,OFFSET('FPSO1 Base'!C171,-'FPSO1 Otim'!C$3,0))</f>
        <v>1299.8835000000001</v>
      </c>
      <c r="D174" s="19">
        <f ca="1">IF($A174-D$3&lt;2,0,OFFSET('FPSO1 Base'!D171,-'FPSO1 Otim'!D$3,0))</f>
        <v>204.46350000000001</v>
      </c>
      <c r="E174" s="19">
        <f ca="1">IF($A174-E$3&lt;2,0,OFFSET('FPSO1 Base'!E171,-'FPSO1 Otim'!E$3,0))</f>
        <v>523.15049999999997</v>
      </c>
      <c r="F174" s="19">
        <f ca="1">IF($A174-F$3&lt;2,0,OFFSET('FPSO1 Base'!F171,-'FPSO1 Otim'!F$3,0))</f>
        <v>662.27549999999997</v>
      </c>
      <c r="G174" s="19">
        <f ca="1">IF($A174-G$3&lt;2,0,OFFSET('FPSO1 Base'!G171,-'FPSO1 Otim'!G$3,0))</f>
        <v>188.721</v>
      </c>
      <c r="H174" s="19">
        <f ca="1">IF($A174-H$3&lt;2,0,OFFSET('FPSO1 Base'!H171,-'FPSO1 Otim'!H$3,0))</f>
        <v>693.83550000000002</v>
      </c>
      <c r="I174" s="19">
        <f ca="1">IF($A174-I$3&lt;2,0,OFFSET('FPSO1 Base'!I171,-'FPSO1 Otim'!I$3,0))</f>
        <v>529.83899999999994</v>
      </c>
      <c r="J174" s="19">
        <f ca="1">IF($A174-J$3&lt;2,0,OFFSET('FPSO1 Base'!J171,-'FPSO1 Otim'!J$3,0))</f>
        <v>302.90250000000003</v>
      </c>
      <c r="K174" s="19">
        <f ca="1">IF($A174-K$3&lt;2,0,OFFSET('FPSO1 Base'!K171,-'FPSO1 Otim'!K$3,0))</f>
        <v>352.70550000000003</v>
      </c>
      <c r="L174" s="19">
        <f ca="1">IF($A174-L$3&lt;2,0,OFFSET('FPSO1 Base'!L171,-'FPSO1 Otim'!L$3,0))</f>
        <v>445.34249999999997</v>
      </c>
      <c r="M174" s="19">
        <f ca="1">IF($A174-M$3&lt;2,0,OFFSET('FPSO1 Base'!M171,-'FPSO1 Otim'!M$3,0))</f>
        <v>506.87549999999999</v>
      </c>
      <c r="N174" s="19">
        <f ca="1">IF($A174-N$3&lt;2,0,OFFSET('FPSO1 Base'!N171,-'FPSO1 Otim'!N$3,0))</f>
        <v>63.259261909093517</v>
      </c>
      <c r="O174" s="19">
        <f ca="1">IF($A174-O$3&lt;2,0,OFFSET('FPSO1 Base'!O171,-'FPSO1 Otim'!O$3,0))</f>
        <v>547.27500000000009</v>
      </c>
      <c r="P174" s="19">
        <f ca="1">IF($A174-P$3&lt;2,0,OFFSET('FPSO1 Base'!P171,-'FPSO1 Otim'!P$3,0))</f>
        <v>236.9025</v>
      </c>
      <c r="Q174" s="19">
        <f ca="1">IF($A174-Q$3&lt;2,0,OFFSET('FPSO1 Base'!Q171,-'FPSO1 Otim'!Q$3,0))</f>
        <v>427.23449999999997</v>
      </c>
      <c r="R174" s="19">
        <f ca="1">IF($A174-R$3&lt;2,0,OFFSET('FPSO1 Base'!R171,-'FPSO1 Otim'!R$3,0))</f>
        <v>112.2750068317519</v>
      </c>
      <c r="S174" s="19">
        <f ca="1">IF($A174-S$3&lt;2,0,OFFSET('FPSO1 Base'!S171,-'FPSO1 Otim'!S$3,0))</f>
        <v>429.19350000000003</v>
      </c>
      <c r="T174" s="19">
        <f ca="1">IF($A174-T$3&lt;2,0,OFFSET('FPSO1 Base'!T171,-'FPSO1 Otim'!T$3,0))</f>
        <v>647.05050000000006</v>
      </c>
      <c r="U174" s="19">
        <f ca="1">IF($A174-U$3&lt;2,0,OFFSET('FPSO1 Base'!U171,-'FPSO1 Otim'!U$3,0))</f>
        <v>614.39549999999997</v>
      </c>
      <c r="V174" s="19">
        <f ca="1">IF($A174-V$3&lt;2,0,OFFSET('FPSO1 Base'!V171,-'FPSO1 Otim'!V$3,0))</f>
        <v>664.65000000000009</v>
      </c>
      <c r="W174" s="19">
        <f ca="1">IF($A174-W$3&lt;2,0,OFFSET('FPSO1 Base'!W171,-'FPSO1 Otim'!W$3,0))</f>
        <v>290.65049999999997</v>
      </c>
      <c r="X174" s="19">
        <f ca="1">IF($A174-X$3&lt;2,0,OFFSET('FPSO1 Base'!X171,-'FPSO1 Otim'!X$3,0))</f>
        <v>1072.0650000000001</v>
      </c>
      <c r="Y174" s="19">
        <f ca="1">IF($A174-Y$3&lt;2,0,OFFSET('FPSO1 Base'!Y171,-'FPSO1 Otim'!Y$3,0))</f>
        <v>505.3845</v>
      </c>
      <c r="Z174" s="19">
        <f ca="1">IF($A174-Z$3&lt;2,0,OFFSET('FPSO1 Base'!Z171,-'FPSO1 Otim'!Z$3,0))</f>
        <v>655.08899999999994</v>
      </c>
      <c r="AA174" s="20">
        <v>15000</v>
      </c>
      <c r="AB174" s="19">
        <f t="shared" ca="1" si="10"/>
        <v>11975.419268740847</v>
      </c>
      <c r="AC174" s="20">
        <f t="shared" ca="1" si="11"/>
        <v>3024.5807312591533</v>
      </c>
      <c r="AD174" s="19">
        <f t="shared" ca="1" si="12"/>
        <v>2970.2831406377395</v>
      </c>
    </row>
    <row r="175" spans="1:30" x14ac:dyDescent="0.25">
      <c r="A175" s="19">
        <v>171</v>
      </c>
      <c r="B175" s="31">
        <v>50802</v>
      </c>
      <c r="C175" s="19">
        <f ca="1">IF($A175-C$3&lt;2,0,OFFSET('FPSO1 Base'!C172,-'FPSO1 Otim'!C$3,0))</f>
        <v>1296.7004999999999</v>
      </c>
      <c r="D175" s="19">
        <f ca="1">IF($A175-D$3&lt;2,0,OFFSET('FPSO1 Base'!D172,-'FPSO1 Otim'!D$3,0))</f>
        <v>203.38200000000001</v>
      </c>
      <c r="E175" s="19">
        <f ca="1">IF($A175-E$3&lt;2,0,OFFSET('FPSO1 Base'!E172,-'FPSO1 Otim'!E$3,0))</f>
        <v>521.46749999999997</v>
      </c>
      <c r="F175" s="19">
        <f ca="1">IF($A175-F$3&lt;2,0,OFFSET('FPSO1 Base'!F172,-'FPSO1 Otim'!F$3,0))</f>
        <v>657.55649999999991</v>
      </c>
      <c r="G175" s="19">
        <f ca="1">IF($A175-G$3&lt;2,0,OFFSET('FPSO1 Base'!G172,-'FPSO1 Otim'!G$3,0))</f>
        <v>188.292</v>
      </c>
      <c r="H175" s="19">
        <f ca="1">IF($A175-H$3&lt;2,0,OFFSET('FPSO1 Base'!H172,-'FPSO1 Otim'!H$3,0))</f>
        <v>692.45699999999999</v>
      </c>
      <c r="I175" s="19">
        <f ca="1">IF($A175-I$3&lt;2,0,OFFSET('FPSO1 Base'!I172,-'FPSO1 Otim'!I$3,0))</f>
        <v>528.22499999999991</v>
      </c>
      <c r="J175" s="19">
        <f ca="1">IF($A175-J$3&lt;2,0,OFFSET('FPSO1 Base'!J172,-'FPSO1 Otim'!J$3,0))</f>
        <v>302.17499999999995</v>
      </c>
      <c r="K175" s="19">
        <f ca="1">IF($A175-K$3&lt;2,0,OFFSET('FPSO1 Base'!K172,-'FPSO1 Otim'!K$3,0))</f>
        <v>350.71800000000002</v>
      </c>
      <c r="L175" s="19">
        <f ca="1">IF($A175-L$3&lt;2,0,OFFSET('FPSO1 Base'!L172,-'FPSO1 Otim'!L$3,0))</f>
        <v>443.20049999999998</v>
      </c>
      <c r="M175" s="19">
        <f ca="1">IF($A175-M$3&lt;2,0,OFFSET('FPSO1 Base'!M172,-'FPSO1 Otim'!M$3,0))</f>
        <v>503.40750000000003</v>
      </c>
      <c r="N175" s="19">
        <f ca="1">IF($A175-N$3&lt;2,0,OFFSET('FPSO1 Base'!N172,-'FPSO1 Otim'!N$3,0))</f>
        <v>62.626669290002582</v>
      </c>
      <c r="O175" s="19">
        <f ca="1">IF($A175-O$3&lt;2,0,OFFSET('FPSO1 Base'!O172,-'FPSO1 Otim'!O$3,0))</f>
        <v>545.39549999999997</v>
      </c>
      <c r="P175" s="19">
        <f ca="1">IF($A175-P$3&lt;2,0,OFFSET('FPSO1 Base'!P172,-'FPSO1 Otim'!P$3,0))</f>
        <v>235.911</v>
      </c>
      <c r="Q175" s="19">
        <f ca="1">IF($A175-Q$3&lt;2,0,OFFSET('FPSO1 Base'!Q172,-'FPSO1 Otim'!Q$3,0))</f>
        <v>426.72450000000003</v>
      </c>
      <c r="R175" s="19">
        <f ca="1">IF($A175-R$3&lt;2,0,OFFSET('FPSO1 Base'!R172,-'FPSO1 Otim'!R$3,0))</f>
        <v>111.15225676343438</v>
      </c>
      <c r="S175" s="19">
        <f ca="1">IF($A175-S$3&lt;2,0,OFFSET('FPSO1 Base'!S172,-'FPSO1 Otim'!S$3,0))</f>
        <v>428.05050000000006</v>
      </c>
      <c r="T175" s="19">
        <f ca="1">IF($A175-T$3&lt;2,0,OFFSET('FPSO1 Base'!T172,-'FPSO1 Otim'!T$3,0))</f>
        <v>646.18500000000006</v>
      </c>
      <c r="U175" s="19">
        <f ca="1">IF($A175-U$3&lt;2,0,OFFSET('FPSO1 Base'!U172,-'FPSO1 Otim'!U$3,0))</f>
        <v>612</v>
      </c>
      <c r="V175" s="19">
        <f ca="1">IF($A175-V$3&lt;2,0,OFFSET('FPSO1 Base'!V172,-'FPSO1 Otim'!V$3,0))</f>
        <v>659.12850000000003</v>
      </c>
      <c r="W175" s="19">
        <f ca="1">IF($A175-W$3&lt;2,0,OFFSET('FPSO1 Base'!W172,-'FPSO1 Otim'!W$3,0))</f>
        <v>289.815</v>
      </c>
      <c r="X175" s="19">
        <f ca="1">IF($A175-X$3&lt;2,0,OFFSET('FPSO1 Base'!X172,-'FPSO1 Otim'!X$3,0))</f>
        <v>1069.1370000000002</v>
      </c>
      <c r="Y175" s="19">
        <f ca="1">IF($A175-Y$3&lt;2,0,OFFSET('FPSO1 Base'!Y172,-'FPSO1 Otim'!Y$3,0))</f>
        <v>504.86850000000004</v>
      </c>
      <c r="Z175" s="19">
        <f ca="1">IF($A175-Z$3&lt;2,0,OFFSET('FPSO1 Base'!Z172,-'FPSO1 Otim'!Z$3,0))</f>
        <v>651.80700000000002</v>
      </c>
      <c r="AA175" s="20">
        <v>15000</v>
      </c>
      <c r="AB175" s="19">
        <f t="shared" ca="1" si="10"/>
        <v>11930.38292605344</v>
      </c>
      <c r="AC175" s="20">
        <f t="shared" ca="1" si="11"/>
        <v>3069.6170739465597</v>
      </c>
      <c r="AD175" s="19">
        <f t="shared" ca="1" si="12"/>
        <v>2934.6572248508692</v>
      </c>
    </row>
    <row r="176" spans="1:30" x14ac:dyDescent="0.25">
      <c r="A176" s="19">
        <v>172</v>
      </c>
      <c r="B176" s="31">
        <v>50830</v>
      </c>
      <c r="C176" s="19">
        <f ca="1">IF($A176-C$3&lt;2,0,OFFSET('FPSO1 Base'!C173,-'FPSO1 Otim'!C$3,0))</f>
        <v>1293.5985000000001</v>
      </c>
      <c r="D176" s="19">
        <f ca="1">IF($A176-D$3&lt;2,0,OFFSET('FPSO1 Base'!D173,-'FPSO1 Otim'!D$3,0))</f>
        <v>202.30199999999999</v>
      </c>
      <c r="E176" s="19">
        <f ca="1">IF($A176-E$3&lt;2,0,OFFSET('FPSO1 Base'!E173,-'FPSO1 Otim'!E$3,0))</f>
        <v>519.61200000000008</v>
      </c>
      <c r="F176" s="19">
        <f ca="1">IF($A176-F$3&lt;2,0,OFFSET('FPSO1 Base'!F173,-'FPSO1 Otim'!F$3,0))</f>
        <v>653.10450000000003</v>
      </c>
      <c r="G176" s="19">
        <f ca="1">IF($A176-G$3&lt;2,0,OFFSET('FPSO1 Base'!G173,-'FPSO1 Otim'!G$3,0))</f>
        <v>187.76850000000002</v>
      </c>
      <c r="H176" s="19">
        <f ca="1">IF($A176-H$3&lt;2,0,OFFSET('FPSO1 Base'!H173,-'FPSO1 Otim'!H$3,0))</f>
        <v>691.16249999999991</v>
      </c>
      <c r="I176" s="19">
        <f ca="1">IF($A176-I$3&lt;2,0,OFFSET('FPSO1 Base'!I173,-'FPSO1 Otim'!I$3,0))</f>
        <v>524.75850000000003</v>
      </c>
      <c r="J176" s="19">
        <f ca="1">IF($A176-J$3&lt;2,0,OFFSET('FPSO1 Base'!J173,-'FPSO1 Otim'!J$3,0))</f>
        <v>301.524</v>
      </c>
      <c r="K176" s="19">
        <f ca="1">IF($A176-K$3&lt;2,0,OFFSET('FPSO1 Base'!K173,-'FPSO1 Otim'!K$3,0))</f>
        <v>348.84000000000003</v>
      </c>
      <c r="L176" s="19">
        <f ca="1">IF($A176-L$3&lt;2,0,OFFSET('FPSO1 Base'!L173,-'FPSO1 Otim'!L$3,0))</f>
        <v>441.21749999999997</v>
      </c>
      <c r="M176" s="19">
        <f ca="1">IF($A176-M$3&lt;2,0,OFFSET('FPSO1 Base'!M173,-'FPSO1 Otim'!M$3,0))</f>
        <v>500.202</v>
      </c>
      <c r="N176" s="19">
        <f ca="1">IF($A176-N$3&lt;2,0,OFFSET('FPSO1 Base'!N173,-'FPSO1 Otim'!N$3,0))</f>
        <v>62.000402597102557</v>
      </c>
      <c r="O176" s="19">
        <f ca="1">IF($A176-O$3&lt;2,0,OFFSET('FPSO1 Base'!O173,-'FPSO1 Otim'!O$3,0))</f>
        <v>543.29999999999995</v>
      </c>
      <c r="P176" s="19">
        <f ca="1">IF($A176-P$3&lt;2,0,OFFSET('FPSO1 Base'!P173,-'FPSO1 Otim'!P$3,0))</f>
        <v>234.804</v>
      </c>
      <c r="Q176" s="19">
        <f ca="1">IF($A176-Q$3&lt;2,0,OFFSET('FPSO1 Base'!Q173,-'FPSO1 Otim'!Q$3,0))</f>
        <v>426.25349999999997</v>
      </c>
      <c r="R176" s="19">
        <f ca="1">IF($A176-R$3&lt;2,0,OFFSET('FPSO1 Base'!R173,-'FPSO1 Otim'!R$3,0))</f>
        <v>110.04073419580004</v>
      </c>
      <c r="S176" s="19">
        <f ca="1">IF($A176-S$3&lt;2,0,OFFSET('FPSO1 Base'!S173,-'FPSO1 Otim'!S$3,0))</f>
        <v>427.125</v>
      </c>
      <c r="T176" s="19">
        <f ca="1">IF($A176-T$3&lt;2,0,OFFSET('FPSO1 Base'!T173,-'FPSO1 Otim'!T$3,0))</f>
        <v>645.22499999999991</v>
      </c>
      <c r="U176" s="19">
        <f ca="1">IF($A176-U$3&lt;2,0,OFFSET('FPSO1 Base'!U173,-'FPSO1 Otim'!U$3,0))</f>
        <v>609.75</v>
      </c>
      <c r="V176" s="19">
        <f ca="1">IF($A176-V$3&lt;2,0,OFFSET('FPSO1 Base'!V173,-'FPSO1 Otim'!V$3,0))</f>
        <v>653.66100000000006</v>
      </c>
      <c r="W176" s="19">
        <f ca="1">IF($A176-W$3&lt;2,0,OFFSET('FPSO1 Base'!W173,-'FPSO1 Otim'!W$3,0))</f>
        <v>288.89999999999998</v>
      </c>
      <c r="X176" s="19">
        <f ca="1">IF($A176-X$3&lt;2,0,OFFSET('FPSO1 Base'!X173,-'FPSO1 Otim'!X$3,0))</f>
        <v>1065.6164999999999</v>
      </c>
      <c r="Y176" s="19">
        <f ca="1">IF($A176-Y$3&lt;2,0,OFFSET('FPSO1 Base'!Y173,-'FPSO1 Otim'!Y$3,0))</f>
        <v>504.38699999999994</v>
      </c>
      <c r="Z176" s="19">
        <f ca="1">IF($A176-Z$3&lt;2,0,OFFSET('FPSO1 Base'!Z173,-'FPSO1 Otim'!Z$3,0))</f>
        <v>648.678</v>
      </c>
      <c r="AA176" s="20">
        <v>15000</v>
      </c>
      <c r="AB176" s="19">
        <f t="shared" ca="1" si="10"/>
        <v>11883.831136792904</v>
      </c>
      <c r="AC176" s="20">
        <f t="shared" ca="1" si="11"/>
        <v>3116.1688632070964</v>
      </c>
      <c r="AD176" s="19">
        <f t="shared" ca="1" si="12"/>
        <v>2899.0476013078915</v>
      </c>
    </row>
    <row r="177" spans="1:30" x14ac:dyDescent="0.25">
      <c r="A177" s="19">
        <v>173</v>
      </c>
      <c r="B177" s="31">
        <v>50861</v>
      </c>
      <c r="C177" s="19">
        <f ca="1">IF($A177-C$3&lt;2,0,OFFSET('FPSO1 Base'!C174,-'FPSO1 Otim'!C$3,0))</f>
        <v>1290.8444999999999</v>
      </c>
      <c r="D177" s="19">
        <f ca="1">IF($A177-D$3&lt;2,0,OFFSET('FPSO1 Base'!D174,-'FPSO1 Otim'!D$3,0))</f>
        <v>201.23849999999999</v>
      </c>
      <c r="E177" s="19">
        <f ca="1">IF($A177-E$3&lt;2,0,OFFSET('FPSO1 Base'!E174,-'FPSO1 Otim'!E$3,0))</f>
        <v>517.851</v>
      </c>
      <c r="F177" s="19">
        <f ca="1">IF($A177-F$3&lt;2,0,OFFSET('FPSO1 Base'!F174,-'FPSO1 Otim'!F$3,0))</f>
        <v>647.8125</v>
      </c>
      <c r="G177" s="19">
        <f ca="1">IF($A177-G$3&lt;2,0,OFFSET('FPSO1 Base'!G174,-'FPSO1 Otim'!G$3,0))</f>
        <v>187.0035</v>
      </c>
      <c r="H177" s="19">
        <f ca="1">IF($A177-H$3&lt;2,0,OFFSET('FPSO1 Base'!H174,-'FPSO1 Otim'!H$3,0))</f>
        <v>689.81100000000004</v>
      </c>
      <c r="I177" s="19">
        <f ca="1">IF($A177-I$3&lt;2,0,OFFSET('FPSO1 Base'!I174,-'FPSO1 Otim'!I$3,0))</f>
        <v>523.11300000000006</v>
      </c>
      <c r="J177" s="19">
        <f ca="1">IF($A177-J$3&lt;2,0,OFFSET('FPSO1 Base'!J174,-'FPSO1 Otim'!J$3,0))</f>
        <v>300.79949999999997</v>
      </c>
      <c r="K177" s="19">
        <f ca="1">IF($A177-K$3&lt;2,0,OFFSET('FPSO1 Base'!K174,-'FPSO1 Otim'!K$3,0))</f>
        <v>347.21999999999997</v>
      </c>
      <c r="L177" s="19">
        <f ca="1">IF($A177-L$3&lt;2,0,OFFSET('FPSO1 Base'!L174,-'FPSO1 Otim'!L$3,0))</f>
        <v>439.07549999999998</v>
      </c>
      <c r="M177" s="19">
        <f ca="1">IF($A177-M$3&lt;2,0,OFFSET('FPSO1 Base'!M174,-'FPSO1 Otim'!M$3,0))</f>
        <v>496.40699999999998</v>
      </c>
      <c r="N177" s="19">
        <f ca="1">IF($A177-N$3&lt;2,0,OFFSET('FPSO1 Base'!N174,-'FPSO1 Otim'!N$3,0))</f>
        <v>61.380398571131529</v>
      </c>
      <c r="O177" s="19">
        <f ca="1">IF($A177-O$3&lt;2,0,OFFSET('FPSO1 Base'!O174,-'FPSO1 Otim'!O$3,0))</f>
        <v>541.25850000000003</v>
      </c>
      <c r="P177" s="19">
        <f ca="1">IF($A177-P$3&lt;2,0,OFFSET('FPSO1 Base'!P174,-'FPSO1 Otim'!P$3,0))</f>
        <v>233.85449999999997</v>
      </c>
      <c r="Q177" s="19">
        <f ca="1">IF($A177-Q$3&lt;2,0,OFFSET('FPSO1 Base'!Q174,-'FPSO1 Otim'!Q$3,0))</f>
        <v>425.77049999999997</v>
      </c>
      <c r="R177" s="19">
        <f ca="1">IF($A177-R$3&lt;2,0,OFFSET('FPSO1 Base'!R174,-'FPSO1 Otim'!R$3,0))</f>
        <v>108.94032685384204</v>
      </c>
      <c r="S177" s="19">
        <f ca="1">IF($A177-S$3&lt;2,0,OFFSET('FPSO1 Base'!S174,-'FPSO1 Otim'!S$3,0))</f>
        <v>426.26550000000003</v>
      </c>
      <c r="T177" s="19">
        <f ca="1">IF($A177-T$3&lt;2,0,OFFSET('FPSO1 Base'!T174,-'FPSO1 Otim'!T$3,0))</f>
        <v>644.26199999999994</v>
      </c>
      <c r="U177" s="19">
        <f ca="1">IF($A177-U$3&lt;2,0,OFFSET('FPSO1 Base'!U174,-'FPSO1 Otim'!U$3,0))</f>
        <v>607.524</v>
      </c>
      <c r="V177" s="19">
        <f ca="1">IF($A177-V$3&lt;2,0,OFFSET('FPSO1 Base'!V174,-'FPSO1 Otim'!V$3,0))</f>
        <v>647.57100000000003</v>
      </c>
      <c r="W177" s="19">
        <f ca="1">IF($A177-W$3&lt;2,0,OFFSET('FPSO1 Base'!W174,-'FPSO1 Otim'!W$3,0))</f>
        <v>288.072</v>
      </c>
      <c r="X177" s="19">
        <f ca="1">IF($A177-X$3&lt;2,0,OFFSET('FPSO1 Base'!X174,-'FPSO1 Otim'!X$3,0))</f>
        <v>1062.7739999999999</v>
      </c>
      <c r="Y177" s="19">
        <f ca="1">IF($A177-Y$3&lt;2,0,OFFSET('FPSO1 Base'!Y174,-'FPSO1 Otim'!Y$3,0))</f>
        <v>503.84400000000005</v>
      </c>
      <c r="Z177" s="19">
        <f ca="1">IF($A177-Z$3&lt;2,0,OFFSET('FPSO1 Base'!Z174,-'FPSO1 Otim'!Z$3,0))</f>
        <v>645.66600000000005</v>
      </c>
      <c r="AA177" s="20">
        <v>15000</v>
      </c>
      <c r="AB177" s="19">
        <f t="shared" ca="1" si="10"/>
        <v>11838.358725424971</v>
      </c>
      <c r="AC177" s="20">
        <f t="shared" ca="1" si="11"/>
        <v>3161.6412745750295</v>
      </c>
      <c r="AD177" s="19">
        <f t="shared" ca="1" si="12"/>
        <v>2864.0872624614376</v>
      </c>
    </row>
    <row r="178" spans="1:30" x14ac:dyDescent="0.25">
      <c r="A178" s="19">
        <v>174</v>
      </c>
      <c r="B178" s="31">
        <v>50891</v>
      </c>
      <c r="C178" s="19">
        <f ca="1">IF($A178-C$3&lt;2,0,OFFSET('FPSO1 Base'!C175,-'FPSO1 Otim'!C$3,0))</f>
        <v>1288.2825</v>
      </c>
      <c r="D178" s="19">
        <f ca="1">IF($A178-D$3&lt;2,0,OFFSET('FPSO1 Base'!D175,-'FPSO1 Otim'!D$3,0))</f>
        <v>200.1705</v>
      </c>
      <c r="E178" s="19">
        <f ca="1">IF($A178-E$3&lt;2,0,OFFSET('FPSO1 Base'!E175,-'FPSO1 Otim'!E$3,0))</f>
        <v>516.12149999999997</v>
      </c>
      <c r="F178" s="19">
        <f ca="1">IF($A178-F$3&lt;2,0,OFFSET('FPSO1 Base'!F175,-'FPSO1 Otim'!F$3,0))</f>
        <v>643.59749999999997</v>
      </c>
      <c r="G178" s="19">
        <f ca="1">IF($A178-G$3&lt;2,0,OFFSET('FPSO1 Base'!G175,-'FPSO1 Otim'!G$3,0))</f>
        <v>186.78</v>
      </c>
      <c r="H178" s="19">
        <f ca="1">IF($A178-H$3&lt;2,0,OFFSET('FPSO1 Base'!H175,-'FPSO1 Otim'!H$3,0))</f>
        <v>688.476</v>
      </c>
      <c r="I178" s="19">
        <f ca="1">IF($A178-I$3&lt;2,0,OFFSET('FPSO1 Base'!I175,-'FPSO1 Otim'!I$3,0))</f>
        <v>521.71500000000003</v>
      </c>
      <c r="J178" s="19">
        <f ca="1">IF($A178-J$3&lt;2,0,OFFSET('FPSO1 Base'!J175,-'FPSO1 Otim'!J$3,0))</f>
        <v>300.12149999999997</v>
      </c>
      <c r="K178" s="19">
        <f ca="1">IF($A178-K$3&lt;2,0,OFFSET('FPSO1 Base'!K175,-'FPSO1 Otim'!K$3,0))</f>
        <v>345.15449999999998</v>
      </c>
      <c r="L178" s="19">
        <f ca="1">IF($A178-L$3&lt;2,0,OFFSET('FPSO1 Base'!L175,-'FPSO1 Otim'!L$3,0))</f>
        <v>437.05649999999997</v>
      </c>
      <c r="M178" s="19">
        <f ca="1">IF($A178-M$3&lt;2,0,OFFSET('FPSO1 Base'!M175,-'FPSO1 Otim'!M$3,0))</f>
        <v>493.41600000000005</v>
      </c>
      <c r="N178" s="19">
        <f ca="1">IF($A178-N$3&lt;2,0,OFFSET('FPSO1 Base'!N175,-'FPSO1 Otim'!N$3,0))</f>
        <v>60.766594585420215</v>
      </c>
      <c r="O178" s="19">
        <f ca="1">IF($A178-O$3&lt;2,0,OFFSET('FPSO1 Base'!O175,-'FPSO1 Otim'!O$3,0))</f>
        <v>539.10450000000003</v>
      </c>
      <c r="P178" s="19">
        <f ca="1">IF($A178-P$3&lt;2,0,OFFSET('FPSO1 Base'!P175,-'FPSO1 Otim'!P$3,0))</f>
        <v>232.77449999999999</v>
      </c>
      <c r="Q178" s="19">
        <f ca="1">IF($A178-Q$3&lt;2,0,OFFSET('FPSO1 Base'!Q175,-'FPSO1 Otim'!Q$3,0))</f>
        <v>425.20049999999998</v>
      </c>
      <c r="R178" s="19">
        <f ca="1">IF($A178-R$3&lt;2,0,OFFSET('FPSO1 Base'!R175,-'FPSO1 Otim'!R$3,0))</f>
        <v>107.85092358530362</v>
      </c>
      <c r="S178" s="19">
        <f ca="1">IF($A178-S$3&lt;2,0,OFFSET('FPSO1 Base'!S175,-'FPSO1 Otim'!S$3,0))</f>
        <v>425.53800000000001</v>
      </c>
      <c r="T178" s="19">
        <f ca="1">IF($A178-T$3&lt;2,0,OFFSET('FPSO1 Base'!T175,-'FPSO1 Otim'!T$3,0))</f>
        <v>643.30649999999991</v>
      </c>
      <c r="U178" s="19">
        <f ca="1">IF($A178-U$3&lt;2,0,OFFSET('FPSO1 Base'!U175,-'FPSO1 Otim'!U$3,0))</f>
        <v>605.14949999999999</v>
      </c>
      <c r="V178" s="19">
        <f ca="1">IF($A178-V$3&lt;2,0,OFFSET('FPSO1 Base'!V175,-'FPSO1 Otim'!V$3,0))</f>
        <v>642.87149999999997</v>
      </c>
      <c r="W178" s="19">
        <f ca="1">IF($A178-W$3&lt;2,0,OFFSET('FPSO1 Base'!W175,-'FPSO1 Otim'!W$3,0))</f>
        <v>287.286</v>
      </c>
      <c r="X178" s="19">
        <f ca="1">IF($A178-X$3&lt;2,0,OFFSET('FPSO1 Base'!X175,-'FPSO1 Otim'!X$3,0))</f>
        <v>1059.375</v>
      </c>
      <c r="Y178" s="19">
        <f ca="1">IF($A178-Y$3&lt;2,0,OFFSET('FPSO1 Base'!Y175,-'FPSO1 Otim'!Y$3,0))</f>
        <v>503.37150000000003</v>
      </c>
      <c r="Z178" s="19">
        <f ca="1">IF($A178-Z$3&lt;2,0,OFFSET('FPSO1 Base'!Z175,-'FPSO1 Otim'!Z$3,0))</f>
        <v>642.10050000000001</v>
      </c>
      <c r="AA178" s="20">
        <v>15000</v>
      </c>
      <c r="AB178" s="19">
        <f t="shared" ca="1" si="10"/>
        <v>11795.587018170723</v>
      </c>
      <c r="AC178" s="20">
        <f t="shared" ca="1" si="11"/>
        <v>3204.4129818292768</v>
      </c>
      <c r="AD178" s="19">
        <f t="shared" ca="1" si="12"/>
        <v>2830.1547606007648</v>
      </c>
    </row>
    <row r="179" spans="1:30" x14ac:dyDescent="0.25">
      <c r="A179" s="19">
        <v>175</v>
      </c>
      <c r="B179" s="31">
        <v>50922</v>
      </c>
      <c r="C179" s="19">
        <f ca="1">IF($A179-C$3&lt;2,0,OFFSET('FPSO1 Base'!C176,-'FPSO1 Otim'!C$3,0))</f>
        <v>1286.0355</v>
      </c>
      <c r="D179" s="19">
        <f ca="1">IF($A179-D$3&lt;2,0,OFFSET('FPSO1 Base'!D176,-'FPSO1 Otim'!D$3,0))</f>
        <v>199.077</v>
      </c>
      <c r="E179" s="19">
        <f ca="1">IF($A179-E$3&lt;2,0,OFFSET('FPSO1 Base'!E176,-'FPSO1 Otim'!E$3,0))</f>
        <v>514.3125</v>
      </c>
      <c r="F179" s="19">
        <f ca="1">IF($A179-F$3&lt;2,0,OFFSET('FPSO1 Base'!F176,-'FPSO1 Otim'!F$3,0))</f>
        <v>638.66249999999991</v>
      </c>
      <c r="G179" s="19">
        <f ca="1">IF($A179-G$3&lt;2,0,OFFSET('FPSO1 Base'!G176,-'FPSO1 Otim'!G$3,0))</f>
        <v>186.48750000000001</v>
      </c>
      <c r="H179" s="19">
        <f ca="1">IF($A179-H$3&lt;2,0,OFFSET('FPSO1 Base'!H176,-'FPSO1 Otim'!H$3,0))</f>
        <v>687.18299999999999</v>
      </c>
      <c r="I179" s="19">
        <f ca="1">IF($A179-I$3&lt;2,0,OFFSET('FPSO1 Base'!I176,-'FPSO1 Otim'!I$3,0))</f>
        <v>520.548</v>
      </c>
      <c r="J179" s="19">
        <f ca="1">IF($A179-J$3&lt;2,0,OFFSET('FPSO1 Base'!J176,-'FPSO1 Otim'!J$3,0))</f>
        <v>299.51549999999997</v>
      </c>
      <c r="K179" s="19">
        <f ca="1">IF($A179-K$3&lt;2,0,OFFSET('FPSO1 Base'!K176,-'FPSO1 Otim'!K$3,0))</f>
        <v>343.488</v>
      </c>
      <c r="L179" s="19">
        <f ca="1">IF($A179-L$3&lt;2,0,OFFSET('FPSO1 Base'!L176,-'FPSO1 Otim'!L$3,0))</f>
        <v>435.048</v>
      </c>
      <c r="M179" s="19">
        <f ca="1">IF($A179-M$3&lt;2,0,OFFSET('FPSO1 Base'!M176,-'FPSO1 Otim'!M$3,0))</f>
        <v>489.97499999999997</v>
      </c>
      <c r="N179" s="19">
        <f ca="1">IF($A179-N$3&lt;2,0,OFFSET('FPSO1 Base'!N176,-'FPSO1 Otim'!N$3,0))</f>
        <v>60.158928639566014</v>
      </c>
      <c r="O179" s="19">
        <f ca="1">IF($A179-O$3&lt;2,0,OFFSET('FPSO1 Base'!O176,-'FPSO1 Otim'!O$3,0))</f>
        <v>536.77500000000009</v>
      </c>
      <c r="P179" s="19">
        <f ca="1">IF($A179-P$3&lt;2,0,OFFSET('FPSO1 Base'!P176,-'FPSO1 Otim'!P$3,0))</f>
        <v>231.75</v>
      </c>
      <c r="Q179" s="19">
        <f ca="1">IF($A179-Q$3&lt;2,0,OFFSET('FPSO1 Base'!Q176,-'FPSO1 Otim'!Q$3,0))</f>
        <v>424.69350000000003</v>
      </c>
      <c r="R179" s="19">
        <f ca="1">IF($A179-R$3&lt;2,0,OFFSET('FPSO1 Base'!R176,-'FPSO1 Otim'!R$3,0))</f>
        <v>106.77241434945059</v>
      </c>
      <c r="S179" s="19">
        <f ca="1">IF($A179-S$3&lt;2,0,OFFSET('FPSO1 Base'!S176,-'FPSO1 Otim'!S$3,0))</f>
        <v>424.947</v>
      </c>
      <c r="T179" s="19">
        <f ca="1">IF($A179-T$3&lt;2,0,OFFSET('FPSO1 Base'!T176,-'FPSO1 Otim'!T$3,0))</f>
        <v>642.25049999999999</v>
      </c>
      <c r="U179" s="19">
        <f ca="1">IF($A179-U$3&lt;2,0,OFFSET('FPSO1 Base'!U176,-'FPSO1 Otim'!U$3,0))</f>
        <v>603.072</v>
      </c>
      <c r="V179" s="19">
        <f ca="1">IF($A179-V$3&lt;2,0,OFFSET('FPSO1 Base'!V176,-'FPSO1 Otim'!V$3,0))</f>
        <v>637.45049999999992</v>
      </c>
      <c r="W179" s="19">
        <f ca="1">IF($A179-W$3&lt;2,0,OFFSET('FPSO1 Base'!W176,-'FPSO1 Otim'!W$3,0))</f>
        <v>286.35299999999995</v>
      </c>
      <c r="X179" s="19">
        <f ca="1">IF($A179-X$3&lt;2,0,OFFSET('FPSO1 Base'!X176,-'FPSO1 Otim'!X$3,0))</f>
        <v>1056.2655</v>
      </c>
      <c r="Y179" s="19">
        <f ca="1">IF($A179-Y$3&lt;2,0,OFFSET('FPSO1 Base'!Y176,-'FPSO1 Otim'!Y$3,0))</f>
        <v>502.86300000000006</v>
      </c>
      <c r="Z179" s="19">
        <f ca="1">IF($A179-Z$3&lt;2,0,OFFSET('FPSO1 Base'!Z176,-'FPSO1 Otim'!Z$3,0))</f>
        <v>639.10950000000003</v>
      </c>
      <c r="AA179" s="20">
        <v>15000</v>
      </c>
      <c r="AB179" s="19">
        <f t="shared" ca="1" si="10"/>
        <v>11752.793342989016</v>
      </c>
      <c r="AC179" s="20">
        <f t="shared" ca="1" si="11"/>
        <v>3247.2066570109837</v>
      </c>
      <c r="AD179" s="19">
        <f t="shared" ca="1" si="12"/>
        <v>2796.5822782478062</v>
      </c>
    </row>
    <row r="180" spans="1:30" x14ac:dyDescent="0.25">
      <c r="A180" s="19">
        <v>176</v>
      </c>
      <c r="B180" s="31">
        <v>50952</v>
      </c>
      <c r="C180" s="19">
        <f ca="1">IF($A180-C$3&lt;2,0,OFFSET('FPSO1 Base'!C177,-'FPSO1 Otim'!C$3,0))</f>
        <v>1283.8409999999999</v>
      </c>
      <c r="D180" s="19">
        <f ca="1">IF($A180-D$3&lt;2,0,OFFSET('FPSO1 Base'!D177,-'FPSO1 Otim'!D$3,0))</f>
        <v>198.03449999999998</v>
      </c>
      <c r="E180" s="19">
        <f ca="1">IF($A180-E$3&lt;2,0,OFFSET('FPSO1 Base'!E177,-'FPSO1 Otim'!E$3,0))</f>
        <v>512.68500000000006</v>
      </c>
      <c r="F180" s="19">
        <f ca="1">IF($A180-F$3&lt;2,0,OFFSET('FPSO1 Base'!F177,-'FPSO1 Otim'!F$3,0))</f>
        <v>634.197</v>
      </c>
      <c r="G180" s="19">
        <f ca="1">IF($A180-G$3&lt;2,0,OFFSET('FPSO1 Base'!G177,-'FPSO1 Otim'!G$3,0))</f>
        <v>185.982</v>
      </c>
      <c r="H180" s="19">
        <f ca="1">IF($A180-H$3&lt;2,0,OFFSET('FPSO1 Base'!H177,-'FPSO1 Otim'!H$3,0))</f>
        <v>685.86599999999999</v>
      </c>
      <c r="I180" s="19">
        <f ca="1">IF($A180-I$3&lt;2,0,OFFSET('FPSO1 Base'!I177,-'FPSO1 Otim'!I$3,0))</f>
        <v>519.22499999999991</v>
      </c>
      <c r="J180" s="19">
        <f ca="1">IF($A180-J$3&lt;2,0,OFFSET('FPSO1 Base'!J177,-'FPSO1 Otim'!J$3,0))</f>
        <v>298.78499999999997</v>
      </c>
      <c r="K180" s="19">
        <f ca="1">IF($A180-K$3&lt;2,0,OFFSET('FPSO1 Base'!K177,-'FPSO1 Otim'!K$3,0))</f>
        <v>341.55600000000004</v>
      </c>
      <c r="L180" s="19">
        <f ca="1">IF($A180-L$3&lt;2,0,OFFSET('FPSO1 Base'!L177,-'FPSO1 Otim'!L$3,0))</f>
        <v>432.91200000000003</v>
      </c>
      <c r="M180" s="19">
        <f ca="1">IF($A180-M$3&lt;2,0,OFFSET('FPSO1 Base'!M177,-'FPSO1 Otim'!M$3,0))</f>
        <v>486.88350000000003</v>
      </c>
      <c r="N180" s="19">
        <f ca="1">IF($A180-N$3&lt;2,0,OFFSET('FPSO1 Base'!N177,-'FPSO1 Otim'!N$3,0))</f>
        <v>59.557339353170356</v>
      </c>
      <c r="O180" s="19">
        <f ca="1">IF($A180-O$3&lt;2,0,OFFSET('FPSO1 Base'!O177,-'FPSO1 Otim'!O$3,0))</f>
        <v>534.50850000000003</v>
      </c>
      <c r="P180" s="19">
        <f ca="1">IF($A180-P$3&lt;2,0,OFFSET('FPSO1 Base'!P177,-'FPSO1 Otim'!P$3,0))</f>
        <v>230.67449999999997</v>
      </c>
      <c r="Q180" s="19">
        <f ca="1">IF($A180-Q$3&lt;2,0,OFFSET('FPSO1 Base'!Q177,-'FPSO1 Otim'!Q$3,0))</f>
        <v>424.125</v>
      </c>
      <c r="R180" s="19">
        <f ca="1">IF($A180-R$3&lt;2,0,OFFSET('FPSO1 Base'!R177,-'FPSO1 Otim'!R$3,0))</f>
        <v>105.70469020595608</v>
      </c>
      <c r="S180" s="19">
        <f ca="1">IF($A180-S$3&lt;2,0,OFFSET('FPSO1 Base'!S177,-'FPSO1 Otim'!S$3,0))</f>
        <v>424.42499999999995</v>
      </c>
      <c r="T180" s="19">
        <f ca="1">IF($A180-T$3&lt;2,0,OFFSET('FPSO1 Base'!T177,-'FPSO1 Otim'!T$3,0))</f>
        <v>641.28600000000006</v>
      </c>
      <c r="U180" s="19">
        <f ca="1">IF($A180-U$3&lt;2,0,OFFSET('FPSO1 Base'!U177,-'FPSO1 Otim'!U$3,0))</f>
        <v>600.77549999999997</v>
      </c>
      <c r="V180" s="19">
        <f ca="1">IF($A180-V$3&lt;2,0,OFFSET('FPSO1 Base'!V177,-'FPSO1 Otim'!V$3,0))</f>
        <v>632.322</v>
      </c>
      <c r="W180" s="19">
        <f ca="1">IF($A180-W$3&lt;2,0,OFFSET('FPSO1 Base'!W177,-'FPSO1 Otim'!W$3,0))</f>
        <v>285.62850000000003</v>
      </c>
      <c r="X180" s="19">
        <f ca="1">IF($A180-X$3&lt;2,0,OFFSET('FPSO1 Base'!X177,-'FPSO1 Otim'!X$3,0))</f>
        <v>1052.8499999999999</v>
      </c>
      <c r="Y180" s="19">
        <f ca="1">IF($A180-Y$3&lt;2,0,OFFSET('FPSO1 Base'!Y177,-'FPSO1 Otim'!Y$3,0))</f>
        <v>502.28550000000007</v>
      </c>
      <c r="Z180" s="19">
        <f ca="1">IF($A180-Z$3&lt;2,0,OFFSET('FPSO1 Base'!Z177,-'FPSO1 Otim'!Z$3,0))</f>
        <v>635.50649999999996</v>
      </c>
      <c r="AA180" s="20">
        <v>15000</v>
      </c>
      <c r="AB180" s="19">
        <f t="shared" ca="1" si="10"/>
        <v>11709.616029559129</v>
      </c>
      <c r="AC180" s="20">
        <f t="shared" ca="1" si="11"/>
        <v>3290.3839704408711</v>
      </c>
      <c r="AD180" s="19">
        <f t="shared" ca="1" si="12"/>
        <v>2763.28087712969</v>
      </c>
    </row>
    <row r="181" spans="1:30" x14ac:dyDescent="0.25">
      <c r="A181" s="19">
        <v>177</v>
      </c>
      <c r="B181" s="31">
        <v>50983</v>
      </c>
      <c r="C181" s="19">
        <f ca="1">IF($A181-C$3&lt;2,0,OFFSET('FPSO1 Base'!C178,-'FPSO1 Otim'!C$3,0))</f>
        <v>1281.8085000000001</v>
      </c>
      <c r="D181" s="19">
        <f ca="1">IF($A181-D$3&lt;2,0,OFFSET('FPSO1 Base'!D178,-'FPSO1 Otim'!D$3,0))</f>
        <v>196.99799999999999</v>
      </c>
      <c r="E181" s="19">
        <f ca="1">IF($A181-E$3&lt;2,0,OFFSET('FPSO1 Base'!E178,-'FPSO1 Otim'!E$3,0))</f>
        <v>510.86249999999995</v>
      </c>
      <c r="F181" s="19">
        <f ca="1">IF($A181-F$3&lt;2,0,OFFSET('FPSO1 Base'!F178,-'FPSO1 Otim'!F$3,0))</f>
        <v>628.30050000000006</v>
      </c>
      <c r="G181" s="19">
        <f ca="1">IF($A181-G$3&lt;2,0,OFFSET('FPSO1 Base'!G178,-'FPSO1 Otim'!G$3,0))</f>
        <v>185.577</v>
      </c>
      <c r="H181" s="19">
        <f ca="1">IF($A181-H$3&lt;2,0,OFFSET('FPSO1 Base'!H178,-'FPSO1 Otim'!H$3,0))</f>
        <v>684.59400000000005</v>
      </c>
      <c r="I181" s="19">
        <f ca="1">IF($A181-I$3&lt;2,0,OFFSET('FPSO1 Base'!I178,-'FPSO1 Otim'!I$3,0))</f>
        <v>518.03250000000003</v>
      </c>
      <c r="J181" s="19">
        <f ca="1">IF($A181-J$3&lt;2,0,OFFSET('FPSO1 Base'!J178,-'FPSO1 Otim'!J$3,0))</f>
        <v>298.23450000000003</v>
      </c>
      <c r="K181" s="19">
        <f ca="1">IF($A181-K$3&lt;2,0,OFFSET('FPSO1 Base'!K178,-'FPSO1 Otim'!K$3,0))</f>
        <v>339.8895</v>
      </c>
      <c r="L181" s="19">
        <f ca="1">IF($A181-L$3&lt;2,0,OFFSET('FPSO1 Base'!L178,-'FPSO1 Otim'!L$3,0))</f>
        <v>430.99650000000003</v>
      </c>
      <c r="M181" s="19">
        <f ca="1">IF($A181-M$3&lt;2,0,OFFSET('FPSO1 Base'!M178,-'FPSO1 Otim'!M$3,0))</f>
        <v>483.52500000000003</v>
      </c>
      <c r="N181" s="19">
        <f ca="1">IF($A181-N$3&lt;2,0,OFFSET('FPSO1 Base'!N178,-'FPSO1 Otim'!N$3,0))</f>
        <v>58.961765959638655</v>
      </c>
      <c r="O181" s="19">
        <f ca="1">IF($A181-O$3&lt;2,0,OFFSET('FPSO1 Base'!O178,-'FPSO1 Otim'!O$3,0))</f>
        <v>531.90000000000009</v>
      </c>
      <c r="P181" s="19">
        <f ca="1">IF($A181-P$3&lt;2,0,OFFSET('FPSO1 Base'!P178,-'FPSO1 Otim'!P$3,0))</f>
        <v>229.5975</v>
      </c>
      <c r="Q181" s="19">
        <f ca="1">IF($A181-Q$3&lt;2,0,OFFSET('FPSO1 Base'!Q178,-'FPSO1 Otim'!Q$3,0))</f>
        <v>423.55649999999997</v>
      </c>
      <c r="R181" s="19">
        <f ca="1">IF($A181-R$3&lt;2,0,OFFSET('FPSO1 Base'!R178,-'FPSO1 Otim'!R$3,0))</f>
        <v>104.64764330389652</v>
      </c>
      <c r="S181" s="19">
        <f ca="1">IF($A181-S$3&lt;2,0,OFFSET('FPSO1 Base'!S178,-'FPSO1 Otim'!S$3,0))</f>
        <v>423.96749999999997</v>
      </c>
      <c r="T181" s="19">
        <f ca="1">IF($A181-T$3&lt;2,0,OFFSET('FPSO1 Base'!T178,-'FPSO1 Otim'!T$3,0))</f>
        <v>640.23749999999995</v>
      </c>
      <c r="U181" s="19">
        <f ca="1">IF($A181-U$3&lt;2,0,OFFSET('FPSO1 Base'!U178,-'FPSO1 Otim'!U$3,0))</f>
        <v>598.59749999999997</v>
      </c>
      <c r="V181" s="19">
        <f ca="1">IF($A181-V$3&lt;2,0,OFFSET('FPSO1 Base'!V178,-'FPSO1 Otim'!V$3,0))</f>
        <v>627.34950000000003</v>
      </c>
      <c r="W181" s="19">
        <f ca="1">IF($A181-W$3&lt;2,0,OFFSET('FPSO1 Base'!W178,-'FPSO1 Otim'!W$3,0))</f>
        <v>284.77499999999998</v>
      </c>
      <c r="X181" s="19">
        <f ca="1">IF($A181-X$3&lt;2,0,OFFSET('FPSO1 Base'!X178,-'FPSO1 Otim'!X$3,0))</f>
        <v>1049.6370000000002</v>
      </c>
      <c r="Y181" s="19">
        <f ca="1">IF($A181-Y$3&lt;2,0,OFFSET('FPSO1 Base'!Y178,-'FPSO1 Otim'!Y$3,0))</f>
        <v>501.81000000000006</v>
      </c>
      <c r="Z181" s="19">
        <f ca="1">IF($A181-Z$3&lt;2,0,OFFSET('FPSO1 Base'!Z178,-'FPSO1 Otim'!Z$3,0))</f>
        <v>632.09249999999997</v>
      </c>
      <c r="AA181" s="20">
        <v>15000</v>
      </c>
      <c r="AB181" s="19">
        <f t="shared" ca="1" si="10"/>
        <v>11665.948409263536</v>
      </c>
      <c r="AC181" s="20">
        <f t="shared" ca="1" si="11"/>
        <v>3334.0515907364643</v>
      </c>
      <c r="AD181" s="19">
        <f t="shared" ca="1" si="12"/>
        <v>2730.2241537697864</v>
      </c>
    </row>
    <row r="182" spans="1:30" x14ac:dyDescent="0.25">
      <c r="A182" s="19">
        <v>178</v>
      </c>
      <c r="B182" s="31">
        <v>51014</v>
      </c>
      <c r="C182" s="19">
        <f ca="1">IF($A182-C$3&lt;2,0,OFFSET('FPSO1 Base'!C179,-'FPSO1 Otim'!C$3,0))</f>
        <v>1279.9559999999999</v>
      </c>
      <c r="D182" s="19">
        <f ca="1">IF($A182-D$3&lt;2,0,OFFSET('FPSO1 Base'!D179,-'FPSO1 Otim'!D$3,0))</f>
        <v>195.15450000000001</v>
      </c>
      <c r="E182" s="19">
        <f ca="1">IF($A182-E$3&lt;2,0,OFFSET('FPSO1 Base'!E179,-'FPSO1 Otim'!E$3,0))</f>
        <v>509.18999999999994</v>
      </c>
      <c r="F182" s="19">
        <f ca="1">IF($A182-F$3&lt;2,0,OFFSET('FPSO1 Base'!F179,-'FPSO1 Otim'!F$3,0))</f>
        <v>621.83399999999995</v>
      </c>
      <c r="G182" s="19">
        <f ca="1">IF($A182-G$3&lt;2,0,OFFSET('FPSO1 Base'!G179,-'FPSO1 Otim'!G$3,0))</f>
        <v>185.03100000000001</v>
      </c>
      <c r="H182" s="19">
        <f ca="1">IF($A182-H$3&lt;2,0,OFFSET('FPSO1 Base'!H179,-'FPSO1 Otim'!H$3,0))</f>
        <v>683.27850000000001</v>
      </c>
      <c r="I182" s="19">
        <f ca="1">IF($A182-I$3&lt;2,0,OFFSET('FPSO1 Base'!I179,-'FPSO1 Otim'!I$3,0))</f>
        <v>516.75</v>
      </c>
      <c r="J182" s="19">
        <f ca="1">IF($A182-J$3&lt;2,0,OFFSET('FPSO1 Base'!J179,-'FPSO1 Otim'!J$3,0))</f>
        <v>297.5505</v>
      </c>
      <c r="K182" s="19">
        <f ca="1">IF($A182-K$3&lt;2,0,OFFSET('FPSO1 Base'!K179,-'FPSO1 Otim'!K$3,0))</f>
        <v>337.96199999999999</v>
      </c>
      <c r="L182" s="19">
        <f ca="1">IF($A182-L$3&lt;2,0,OFFSET('FPSO1 Base'!L179,-'FPSO1 Otim'!L$3,0))</f>
        <v>428.91300000000001</v>
      </c>
      <c r="M182" s="19">
        <f ca="1">IF($A182-M$3&lt;2,0,OFFSET('FPSO1 Base'!M179,-'FPSO1 Otim'!M$3,0))</f>
        <v>480.38699999999994</v>
      </c>
      <c r="N182" s="19">
        <f ca="1">IF($A182-N$3&lt;2,0,OFFSET('FPSO1 Base'!N179,-'FPSO1 Otim'!N$3,0))</f>
        <v>58.372148300042269</v>
      </c>
      <c r="O182" s="19">
        <f ca="1">IF($A182-O$3&lt;2,0,OFFSET('FPSO1 Base'!O179,-'FPSO1 Otim'!O$3,0))</f>
        <v>529.37850000000003</v>
      </c>
      <c r="P182" s="19">
        <f ca="1">IF($A182-P$3&lt;2,0,OFFSET('FPSO1 Base'!P179,-'FPSO1 Otim'!P$3,0))</f>
        <v>228.5805</v>
      </c>
      <c r="Q182" s="19">
        <f ca="1">IF($A182-Q$3&lt;2,0,OFFSET('FPSO1 Base'!Q179,-'FPSO1 Otim'!Q$3,0))</f>
        <v>423.048</v>
      </c>
      <c r="R182" s="19">
        <f ca="1">IF($A182-R$3&lt;2,0,OFFSET('FPSO1 Base'!R179,-'FPSO1 Otim'!R$3,0))</f>
        <v>103.60116687085755</v>
      </c>
      <c r="S182" s="19">
        <f ca="1">IF($A182-S$3&lt;2,0,OFFSET('FPSO1 Base'!S179,-'FPSO1 Otim'!S$3,0))</f>
        <v>423.59249999999997</v>
      </c>
      <c r="T182" s="19">
        <f ca="1">IF($A182-T$3&lt;2,0,OFFSET('FPSO1 Base'!T179,-'FPSO1 Otim'!T$3,0))</f>
        <v>639.19350000000009</v>
      </c>
      <c r="U182" s="19">
        <f ca="1">IF($A182-U$3&lt;2,0,OFFSET('FPSO1 Base'!U179,-'FPSO1 Otim'!U$3,0))</f>
        <v>596.56499999999994</v>
      </c>
      <c r="V182" s="19">
        <f ca="1">IF($A182-V$3&lt;2,0,OFFSET('FPSO1 Base'!V179,-'FPSO1 Otim'!V$3,0))</f>
        <v>623.08050000000003</v>
      </c>
      <c r="W182" s="19">
        <f ca="1">IF($A182-W$3&lt;2,0,OFFSET('FPSO1 Base'!W179,-'FPSO1 Otim'!W$3,0))</f>
        <v>284.02050000000003</v>
      </c>
      <c r="X182" s="19">
        <f ca="1">IF($A182-X$3&lt;2,0,OFFSET('FPSO1 Base'!X179,-'FPSO1 Otim'!X$3,0))</f>
        <v>1046.3715</v>
      </c>
      <c r="Y182" s="19">
        <f ca="1">IF($A182-Y$3&lt;2,0,OFFSET('FPSO1 Base'!Y179,-'FPSO1 Otim'!Y$3,0))</f>
        <v>501.26250000000005</v>
      </c>
      <c r="Z182" s="19">
        <f ca="1">IF($A182-Z$3&lt;2,0,OFFSET('FPSO1 Base'!Z179,-'FPSO1 Otim'!Z$3,0))</f>
        <v>628.35599999999999</v>
      </c>
      <c r="AA182" s="20">
        <v>15000</v>
      </c>
      <c r="AB182" s="19">
        <f t="shared" ca="1" si="10"/>
        <v>11621.428815170901</v>
      </c>
      <c r="AC182" s="20">
        <f t="shared" ca="1" si="11"/>
        <v>3378.5711848290994</v>
      </c>
      <c r="AD182" s="19">
        <f t="shared" ca="1" si="12"/>
        <v>2697.3273440719145</v>
      </c>
    </row>
    <row r="183" spans="1:30" x14ac:dyDescent="0.25">
      <c r="A183" s="19">
        <v>179</v>
      </c>
      <c r="B183" s="31">
        <v>51044</v>
      </c>
      <c r="C183" s="19">
        <f ca="1">IF($A183-C$3&lt;2,0,OFFSET('FPSO1 Base'!C180,-'FPSO1 Otim'!C$3,0))</f>
        <v>1278.1005</v>
      </c>
      <c r="D183" s="19">
        <f ca="1">IF($A183-D$3&lt;2,0,OFFSET('FPSO1 Base'!D180,-'FPSO1 Otim'!D$3,0))</f>
        <v>194.24849999999998</v>
      </c>
      <c r="E183" s="19">
        <f ca="1">IF($A183-E$3&lt;2,0,OFFSET('FPSO1 Base'!E180,-'FPSO1 Otim'!E$3,0))</f>
        <v>507.59249999999997</v>
      </c>
      <c r="F183" s="19">
        <f ca="1">IF($A183-F$3&lt;2,0,OFFSET('FPSO1 Base'!F180,-'FPSO1 Otim'!F$3,0))</f>
        <v>615.423</v>
      </c>
      <c r="G183" s="19">
        <f ca="1">IF($A183-G$3&lt;2,0,OFFSET('FPSO1 Base'!G180,-'FPSO1 Otim'!G$3,0))</f>
        <v>184.5</v>
      </c>
      <c r="H183" s="19">
        <f ca="1">IF($A183-H$3&lt;2,0,OFFSET('FPSO1 Base'!H180,-'FPSO1 Otim'!H$3,0))</f>
        <v>679.19100000000003</v>
      </c>
      <c r="I183" s="19">
        <f ca="1">IF($A183-I$3&lt;2,0,OFFSET('FPSO1 Base'!I180,-'FPSO1 Otim'!I$3,0))</f>
        <v>515.58899999999994</v>
      </c>
      <c r="J183" s="19">
        <f ca="1">IF($A183-J$3&lt;2,0,OFFSET('FPSO1 Base'!J180,-'FPSO1 Otim'!J$3,0))</f>
        <v>296.928</v>
      </c>
      <c r="K183" s="19">
        <f ca="1">IF($A183-K$3&lt;2,0,OFFSET('FPSO1 Base'!K180,-'FPSO1 Otim'!K$3,0))</f>
        <v>336.1275</v>
      </c>
      <c r="L183" s="19">
        <f ca="1">IF($A183-L$3&lt;2,0,OFFSET('FPSO1 Base'!L180,-'FPSO1 Otim'!L$3,0))</f>
        <v>426.96749999999997</v>
      </c>
      <c r="M183" s="19">
        <f ca="1">IF($A183-M$3&lt;2,0,OFFSET('FPSO1 Base'!M180,-'FPSO1 Otim'!M$3,0))</f>
        <v>477.303</v>
      </c>
      <c r="N183" s="19">
        <f ca="1">IF($A183-N$3&lt;2,0,OFFSET('FPSO1 Base'!N180,-'FPSO1 Otim'!N$3,0))</f>
        <v>57.788426817041845</v>
      </c>
      <c r="O183" s="19">
        <f ca="1">IF($A183-O$3&lt;2,0,OFFSET('FPSO1 Base'!O180,-'FPSO1 Otim'!O$3,0))</f>
        <v>526.88699999999994</v>
      </c>
      <c r="P183" s="19">
        <f ca="1">IF($A183-P$3&lt;2,0,OFFSET('FPSO1 Base'!P180,-'FPSO1 Otim'!P$3,0))</f>
        <v>227.4495</v>
      </c>
      <c r="Q183" s="19">
        <f ca="1">IF($A183-Q$3&lt;2,0,OFFSET('FPSO1 Base'!Q180,-'FPSO1 Otim'!Q$3,0))</f>
        <v>422.35650000000004</v>
      </c>
      <c r="R183" s="19">
        <f ca="1">IF($A183-R$3&lt;2,0,OFFSET('FPSO1 Base'!R180,-'FPSO1 Otim'!R$3,0))</f>
        <v>102.56515520214897</v>
      </c>
      <c r="S183" s="19">
        <f ca="1">IF($A183-S$3&lt;2,0,OFFSET('FPSO1 Base'!S180,-'FPSO1 Otim'!S$3,0))</f>
        <v>423.28199999999998</v>
      </c>
      <c r="T183" s="19">
        <f ca="1">IF($A183-T$3&lt;2,0,OFFSET('FPSO1 Base'!T180,-'FPSO1 Otim'!T$3,0))</f>
        <v>638.21399999999994</v>
      </c>
      <c r="U183" s="19">
        <f ca="1">IF($A183-U$3&lt;2,0,OFFSET('FPSO1 Base'!U180,-'FPSO1 Otim'!U$3,0))</f>
        <v>594.1875</v>
      </c>
      <c r="V183" s="19">
        <f ca="1">IF($A183-V$3&lt;2,0,OFFSET('FPSO1 Base'!V180,-'FPSO1 Otim'!V$3,0))</f>
        <v>618.774</v>
      </c>
      <c r="W183" s="19">
        <f ca="1">IF($A183-W$3&lt;2,0,OFFSET('FPSO1 Base'!W180,-'FPSO1 Otim'!W$3,0))</f>
        <v>283.18799999999999</v>
      </c>
      <c r="X183" s="19">
        <f ca="1">IF($A183-X$3&lt;2,0,OFFSET('FPSO1 Base'!X180,-'FPSO1 Otim'!X$3,0))</f>
        <v>1042.9005000000002</v>
      </c>
      <c r="Y183" s="19">
        <f ca="1">IF($A183-Y$3&lt;2,0,OFFSET('FPSO1 Base'!Y180,-'FPSO1 Otim'!Y$3,0))</f>
        <v>500.74650000000003</v>
      </c>
      <c r="Z183" s="19">
        <f ca="1">IF($A183-Z$3&lt;2,0,OFFSET('FPSO1 Base'!Z180,-'FPSO1 Otim'!Z$3,0))</f>
        <v>624.78600000000006</v>
      </c>
      <c r="AA183" s="20">
        <v>15000</v>
      </c>
      <c r="AB183" s="19">
        <f t="shared" ca="1" si="10"/>
        <v>11575.095582019187</v>
      </c>
      <c r="AC183" s="20">
        <f t="shared" ca="1" si="11"/>
        <v>3424.9044179808134</v>
      </c>
      <c r="AD183" s="19">
        <f t="shared" ca="1" si="12"/>
        <v>2664.370339547771</v>
      </c>
    </row>
    <row r="184" spans="1:30" x14ac:dyDescent="0.25">
      <c r="A184" s="19">
        <v>180</v>
      </c>
      <c r="B184" s="31">
        <v>51075</v>
      </c>
      <c r="C184" s="19">
        <f ca="1">IF($A184-C$3&lt;2,0,OFFSET('FPSO1 Base'!C181,-'FPSO1 Otim'!C$3,0))</f>
        <v>1276.3664999999999</v>
      </c>
      <c r="D184" s="19">
        <f ca="1">IF($A184-D$3&lt;2,0,OFFSET('FPSO1 Base'!D181,-'FPSO1 Otim'!D$3,0))</f>
        <v>193.2405</v>
      </c>
      <c r="E184" s="19">
        <f ca="1">IF($A184-E$3&lt;2,0,OFFSET('FPSO1 Base'!E181,-'FPSO1 Otim'!E$3,0))</f>
        <v>505.54049999999995</v>
      </c>
      <c r="F184" s="19">
        <f ca="1">IF($A184-F$3&lt;2,0,OFFSET('FPSO1 Base'!F181,-'FPSO1 Otim'!F$3,0))</f>
        <v>608.70000000000005</v>
      </c>
      <c r="G184" s="19">
        <f ca="1">IF($A184-G$3&lt;2,0,OFFSET('FPSO1 Base'!G181,-'FPSO1 Otim'!G$3,0))</f>
        <v>184.16550000000001</v>
      </c>
      <c r="H184" s="19">
        <f ca="1">IF($A184-H$3&lt;2,0,OFFSET('FPSO1 Base'!H181,-'FPSO1 Otim'!H$3,0))</f>
        <v>678.0915</v>
      </c>
      <c r="I184" s="19">
        <f ca="1">IF($A184-I$3&lt;2,0,OFFSET('FPSO1 Base'!I181,-'FPSO1 Otim'!I$3,0))</f>
        <v>514.476</v>
      </c>
      <c r="J184" s="19">
        <f ca="1">IF($A184-J$3&lt;2,0,OFFSET('FPSO1 Base'!J181,-'FPSO1 Otim'!J$3,0))</f>
        <v>296.25</v>
      </c>
      <c r="K184" s="19">
        <f ca="1">IF($A184-K$3&lt;2,0,OFFSET('FPSO1 Base'!K181,-'FPSO1 Otim'!K$3,0))</f>
        <v>334.2885</v>
      </c>
      <c r="L184" s="19">
        <f ca="1">IF($A184-L$3&lt;2,0,OFFSET('FPSO1 Base'!L181,-'FPSO1 Otim'!L$3,0))</f>
        <v>425.14050000000003</v>
      </c>
      <c r="M184" s="19">
        <f ca="1">IF($A184-M$3&lt;2,0,OFFSET('FPSO1 Base'!M181,-'FPSO1 Otim'!M$3,0))</f>
        <v>474.11249999999995</v>
      </c>
      <c r="N184" s="19">
        <f ca="1">IF($A184-N$3&lt;2,0,OFFSET('FPSO1 Base'!N181,-'FPSO1 Otim'!N$3,0))</f>
        <v>57.210542548871423</v>
      </c>
      <c r="O184" s="19">
        <f ca="1">IF($A184-O$3&lt;2,0,OFFSET('FPSO1 Base'!O181,-'FPSO1 Otim'!O$3,0))</f>
        <v>523.74149999999997</v>
      </c>
      <c r="P184" s="19">
        <f ca="1">IF($A184-P$3&lt;2,0,OFFSET('FPSO1 Base'!P181,-'FPSO1 Otim'!P$3,0))</f>
        <v>226.428</v>
      </c>
      <c r="Q184" s="19">
        <f ca="1">IF($A184-Q$3&lt;2,0,OFFSET('FPSO1 Base'!Q181,-'FPSO1 Otim'!Q$3,0))</f>
        <v>421.839</v>
      </c>
      <c r="R184" s="19">
        <f ca="1">IF($A184-R$3&lt;2,0,OFFSET('FPSO1 Base'!R181,-'FPSO1 Otim'!R$3,0))</f>
        <v>101.53950365012749</v>
      </c>
      <c r="S184" s="19">
        <f ca="1">IF($A184-S$3&lt;2,0,OFFSET('FPSO1 Base'!S181,-'FPSO1 Otim'!S$3,0))</f>
        <v>423.048</v>
      </c>
      <c r="T184" s="19">
        <f ca="1">IF($A184-T$3&lt;2,0,OFFSET('FPSO1 Base'!T181,-'FPSO1 Otim'!T$3,0))</f>
        <v>637.0440000000001</v>
      </c>
      <c r="U184" s="19">
        <f ca="1">IF($A184-U$3&lt;2,0,OFFSET('FPSO1 Base'!U181,-'FPSO1 Otim'!U$3,0))</f>
        <v>592.30649999999991</v>
      </c>
      <c r="V184" s="19">
        <f ca="1">IF($A184-V$3&lt;2,0,OFFSET('FPSO1 Base'!V181,-'FPSO1 Otim'!V$3,0))</f>
        <v>614.25</v>
      </c>
      <c r="W184" s="19">
        <f ca="1">IF($A184-W$3&lt;2,0,OFFSET('FPSO1 Base'!W181,-'FPSO1 Otim'!W$3,0))</f>
        <v>282.423</v>
      </c>
      <c r="X184" s="19">
        <f ca="1">IF($A184-X$3&lt;2,0,OFFSET('FPSO1 Base'!X181,-'FPSO1 Otim'!X$3,0))</f>
        <v>1039.7414999999999</v>
      </c>
      <c r="Y184" s="19">
        <f ca="1">IF($A184-Y$3&lt;2,0,OFFSET('FPSO1 Base'!Y181,-'FPSO1 Otim'!Y$3,0))</f>
        <v>500.17499999999995</v>
      </c>
      <c r="Z184" s="19">
        <f ca="1">IF($A184-Z$3&lt;2,0,OFFSET('FPSO1 Base'!Z181,-'FPSO1 Otim'!Z$3,0))</f>
        <v>621.19949999999994</v>
      </c>
      <c r="AA184" s="20">
        <v>15000</v>
      </c>
      <c r="AB184" s="19">
        <f t="shared" ca="1" si="10"/>
        <v>11531.318046199</v>
      </c>
      <c r="AC184" s="20">
        <f t="shared" ca="1" si="11"/>
        <v>3468.6819538010004</v>
      </c>
      <c r="AD184" s="19">
        <f t="shared" ca="1" si="12"/>
        <v>2632.3572597350894</v>
      </c>
    </row>
    <row r="185" spans="1:30" x14ac:dyDescent="0.25">
      <c r="A185" s="19">
        <v>181</v>
      </c>
      <c r="B185" s="31">
        <v>51105</v>
      </c>
      <c r="C185" s="19">
        <f ca="1">IF($A185-C$3&lt;2,0,OFFSET('FPSO1 Base'!C182,-'FPSO1 Otim'!C$3,0))</f>
        <v>1274.6505000000002</v>
      </c>
      <c r="D185" s="19">
        <f ca="1">IF($A185-D$3&lt;2,0,OFFSET('FPSO1 Base'!D182,-'FPSO1 Otim'!D$3,0))</f>
        <v>192.27299999999997</v>
      </c>
      <c r="E185" s="19">
        <f ca="1">IF($A185-E$3&lt;2,0,OFFSET('FPSO1 Base'!E182,-'FPSO1 Otim'!E$3,0))</f>
        <v>503.89050000000003</v>
      </c>
      <c r="F185" s="19">
        <f ca="1">IF($A185-F$3&lt;2,0,OFFSET('FPSO1 Base'!F182,-'FPSO1 Otim'!F$3,0))</f>
        <v>602.78250000000003</v>
      </c>
      <c r="G185" s="19">
        <f ca="1">IF($A185-G$3&lt;2,0,OFFSET('FPSO1 Base'!G182,-'FPSO1 Otim'!G$3,0))</f>
        <v>183.69</v>
      </c>
      <c r="H185" s="19">
        <f ca="1">IF($A185-H$3&lt;2,0,OFFSET('FPSO1 Base'!H182,-'FPSO1 Otim'!H$3,0))</f>
        <v>676.85249999999996</v>
      </c>
      <c r="I185" s="19">
        <f ca="1">IF($A185-I$3&lt;2,0,OFFSET('FPSO1 Base'!I182,-'FPSO1 Otim'!I$3,0))</f>
        <v>513.29999999999995</v>
      </c>
      <c r="J185" s="19">
        <f ca="1">IF($A185-J$3&lt;2,0,OFFSET('FPSO1 Base'!J182,-'FPSO1 Otim'!J$3,0))</f>
        <v>295.64550000000003</v>
      </c>
      <c r="K185" s="19">
        <f ca="1">IF($A185-K$3&lt;2,0,OFFSET('FPSO1 Base'!K182,-'FPSO1 Otim'!K$3,0))</f>
        <v>332.46299999999997</v>
      </c>
      <c r="L185" s="19">
        <f ca="1">IF($A185-L$3&lt;2,0,OFFSET('FPSO1 Base'!L182,-'FPSO1 Otim'!L$3,0))</f>
        <v>422.97300000000007</v>
      </c>
      <c r="M185" s="19">
        <f ca="1">IF($A185-M$3&lt;2,0,OFFSET('FPSO1 Base'!M182,-'FPSO1 Otim'!M$3,0))</f>
        <v>471.19350000000003</v>
      </c>
      <c r="N185" s="19">
        <f ca="1">IF($A185-N$3&lt;2,0,OFFSET('FPSO1 Base'!N182,-'FPSO1 Otim'!N$3,0))</f>
        <v>56.638437123382708</v>
      </c>
      <c r="O185" s="19">
        <f ca="1">IF($A185-O$3&lt;2,0,OFFSET('FPSO1 Base'!O182,-'FPSO1 Otim'!O$3,0))</f>
        <v>521.08050000000003</v>
      </c>
      <c r="P185" s="19">
        <f ca="1">IF($A185-P$3&lt;2,0,OFFSET('FPSO1 Base'!P182,-'FPSO1 Otim'!P$3,0))</f>
        <v>225.40049999999999</v>
      </c>
      <c r="Q185" s="19">
        <f ca="1">IF($A185-Q$3&lt;2,0,OFFSET('FPSO1 Base'!Q182,-'FPSO1 Otim'!Q$3,0))</f>
        <v>421.15049999999997</v>
      </c>
      <c r="R185" s="19">
        <f ca="1">IF($A185-R$3&lt;2,0,OFFSET('FPSO1 Base'!R182,-'FPSO1 Otim'!R$3,0))</f>
        <v>100.52410861362621</v>
      </c>
      <c r="S185" s="19">
        <f ca="1">IF($A185-S$3&lt;2,0,OFFSET('FPSO1 Base'!S182,-'FPSO1 Otim'!S$3,0))</f>
        <v>422.83799999999997</v>
      </c>
      <c r="T185" s="19">
        <f ca="1">IF($A185-T$3&lt;2,0,OFFSET('FPSO1 Base'!T182,-'FPSO1 Otim'!T$3,0))</f>
        <v>636.09749999999997</v>
      </c>
      <c r="U185" s="19">
        <f ca="1">IF($A185-U$3&lt;2,0,OFFSET('FPSO1 Base'!U182,-'FPSO1 Otim'!U$3,0))</f>
        <v>590.12549999999999</v>
      </c>
      <c r="V185" s="19">
        <f ca="1">IF($A185-V$3&lt;2,0,OFFSET('FPSO1 Base'!V182,-'FPSO1 Otim'!V$3,0))</f>
        <v>610.20899999999995</v>
      </c>
      <c r="W185" s="19">
        <f ca="1">IF($A185-W$3&lt;2,0,OFFSET('FPSO1 Base'!W182,-'FPSO1 Otim'!W$3,0))</f>
        <v>281.673</v>
      </c>
      <c r="X185" s="19">
        <f ca="1">IF($A185-X$3&lt;2,0,OFFSET('FPSO1 Base'!X182,-'FPSO1 Otim'!X$3,0))</f>
        <v>1036.2494999999999</v>
      </c>
      <c r="Y185" s="19">
        <f ca="1">IF($A185-Y$3&lt;2,0,OFFSET('FPSO1 Base'!Y182,-'FPSO1 Otim'!Y$3,0))</f>
        <v>499.62150000000003</v>
      </c>
      <c r="Z185" s="19">
        <f ca="1">IF($A185-Z$3&lt;2,0,OFFSET('FPSO1 Base'!Z182,-'FPSO1 Otim'!Z$3,0))</f>
        <v>617.36850000000004</v>
      </c>
      <c r="AA185" s="20">
        <v>15000</v>
      </c>
      <c r="AB185" s="19">
        <f t="shared" ca="1" si="10"/>
        <v>11488.690545737009</v>
      </c>
      <c r="AC185" s="20">
        <f t="shared" ca="1" si="11"/>
        <v>3511.3094542629915</v>
      </c>
      <c r="AD185" s="19">
        <f t="shared" ca="1" si="12"/>
        <v>2600.9517008706048</v>
      </c>
    </row>
    <row r="186" spans="1:30" x14ac:dyDescent="0.25">
      <c r="A186" s="19">
        <v>182</v>
      </c>
      <c r="B186" s="31">
        <v>51136</v>
      </c>
      <c r="C186" s="19">
        <f ca="1">IF($A186-C$3&lt;2,0,OFFSET('FPSO1 Base'!C183,-'FPSO1 Otim'!C$3,0))</f>
        <v>1272.9960000000001</v>
      </c>
      <c r="D186" s="19">
        <f ca="1">IF($A186-D$3&lt;2,0,OFFSET('FPSO1 Base'!D183,-'FPSO1 Otim'!D$3,0))</f>
        <v>191.44499999999999</v>
      </c>
      <c r="E186" s="19">
        <f ca="1">IF($A186-E$3&lt;2,0,OFFSET('FPSO1 Base'!E183,-'FPSO1 Otim'!E$3,0))</f>
        <v>502.00049999999999</v>
      </c>
      <c r="F186" s="19">
        <f ca="1">IF($A186-F$3&lt;2,0,OFFSET('FPSO1 Base'!F183,-'FPSO1 Otim'!F$3,0))</f>
        <v>596.50049999999999</v>
      </c>
      <c r="G186" s="19">
        <f ca="1">IF($A186-G$3&lt;2,0,OFFSET('FPSO1 Base'!G183,-'FPSO1 Otim'!G$3,0))</f>
        <v>183.38550000000001</v>
      </c>
      <c r="H186" s="19">
        <f ca="1">IF($A186-H$3&lt;2,0,OFFSET('FPSO1 Base'!H183,-'FPSO1 Otim'!H$3,0))</f>
        <v>675.64649999999995</v>
      </c>
      <c r="I186" s="19">
        <f ca="1">IF($A186-I$3&lt;2,0,OFFSET('FPSO1 Base'!I183,-'FPSO1 Otim'!I$3,0))</f>
        <v>512.274</v>
      </c>
      <c r="J186" s="19">
        <f ca="1">IF($A186-J$3&lt;2,0,OFFSET('FPSO1 Base'!J183,-'FPSO1 Otim'!J$3,0))</f>
        <v>294.96750000000003</v>
      </c>
      <c r="K186" s="19">
        <f ca="1">IF($A186-K$3&lt;2,0,OFFSET('FPSO1 Base'!K183,-'FPSO1 Otim'!K$3,0))</f>
        <v>330.726</v>
      </c>
      <c r="L186" s="19">
        <f ca="1">IF($A186-L$3&lt;2,0,OFFSET('FPSO1 Base'!L183,-'FPSO1 Otim'!L$3,0))</f>
        <v>421.24650000000003</v>
      </c>
      <c r="M186" s="19">
        <f ca="1">IF($A186-M$3&lt;2,0,OFFSET('FPSO1 Base'!M183,-'FPSO1 Otim'!M$3,0))</f>
        <v>468.04950000000002</v>
      </c>
      <c r="N186" s="19">
        <f ca="1">IF($A186-N$3&lt;2,0,OFFSET('FPSO1 Base'!N183,-'FPSO1 Otim'!N$3,0))</f>
        <v>56.072052752148878</v>
      </c>
      <c r="O186" s="19">
        <f ca="1">IF($A186-O$3&lt;2,0,OFFSET('FPSO1 Base'!O183,-'FPSO1 Otim'!O$3,0))</f>
        <v>517.84950000000003</v>
      </c>
      <c r="P186" s="19">
        <f ca="1">IF($A186-P$3&lt;2,0,OFFSET('FPSO1 Base'!P183,-'FPSO1 Otim'!P$3,0))</f>
        <v>224.322</v>
      </c>
      <c r="Q186" s="19">
        <f ca="1">IF($A186-Q$3&lt;2,0,OFFSET('FPSO1 Base'!Q183,-'FPSO1 Otim'!Q$3,0))</f>
        <v>420.53250000000003</v>
      </c>
      <c r="R186" s="19">
        <f ca="1">IF($A186-R$3&lt;2,0,OFFSET('FPSO1 Base'!R183,-'FPSO1 Otim'!R$3,0))</f>
        <v>99.518867527489945</v>
      </c>
      <c r="S186" s="19">
        <f ca="1">IF($A186-S$3&lt;2,0,OFFSET('FPSO1 Base'!S183,-'FPSO1 Otim'!S$3,0))</f>
        <v>422.697</v>
      </c>
      <c r="T186" s="19">
        <f ca="1">IF($A186-T$3&lt;2,0,OFFSET('FPSO1 Base'!T183,-'FPSO1 Otim'!T$3,0))</f>
        <v>634.98749999999995</v>
      </c>
      <c r="U186" s="19">
        <f ca="1">IF($A186-U$3&lt;2,0,OFFSET('FPSO1 Base'!U183,-'FPSO1 Otim'!U$3,0))</f>
        <v>588.072</v>
      </c>
      <c r="V186" s="19">
        <f ca="1">IF($A186-V$3&lt;2,0,OFFSET('FPSO1 Base'!V183,-'FPSO1 Otim'!V$3,0))</f>
        <v>605.89949999999999</v>
      </c>
      <c r="W186" s="19">
        <f ca="1">IF($A186-W$3&lt;2,0,OFFSET('FPSO1 Base'!W183,-'FPSO1 Otim'!W$3,0))</f>
        <v>280.875</v>
      </c>
      <c r="X186" s="19">
        <f ca="1">IF($A186-X$3&lt;2,0,OFFSET('FPSO1 Base'!X183,-'FPSO1 Otim'!X$3,0))</f>
        <v>1032.8955000000001</v>
      </c>
      <c r="Y186" s="19">
        <f ca="1">IF($A186-Y$3&lt;2,0,OFFSET('FPSO1 Base'!Y183,-'FPSO1 Otim'!Y$3,0))</f>
        <v>499.089</v>
      </c>
      <c r="Z186" s="19">
        <f ca="1">IF($A186-Z$3&lt;2,0,OFFSET('FPSO1 Base'!Z183,-'FPSO1 Otim'!Z$3,0))</f>
        <v>613.80899999999997</v>
      </c>
      <c r="AA186" s="20">
        <v>15000</v>
      </c>
      <c r="AB186" s="19">
        <f t="shared" ca="1" si="10"/>
        <v>11445.856920279639</v>
      </c>
      <c r="AC186" s="20">
        <f t="shared" ca="1" si="11"/>
        <v>3554.1430797203611</v>
      </c>
      <c r="AD186" s="19">
        <f t="shared" ca="1" si="12"/>
        <v>2569.8391691490515</v>
      </c>
    </row>
    <row r="187" spans="1:30" x14ac:dyDescent="0.25">
      <c r="A187" s="19">
        <v>183</v>
      </c>
      <c r="B187" s="31">
        <v>51167</v>
      </c>
      <c r="C187" s="19">
        <f ca="1">IF($A187-C$3&lt;2,0,OFFSET('FPSO1 Base'!C184,-'FPSO1 Otim'!C$3,0))</f>
        <v>1271.4839999999999</v>
      </c>
      <c r="D187" s="19">
        <f ca="1">IF($A187-D$3&lt;2,0,OFFSET('FPSO1 Base'!D184,-'FPSO1 Otim'!D$3,0))</f>
        <v>190.2225</v>
      </c>
      <c r="E187" s="19">
        <f ca="1">IF($A187-E$3&lt;2,0,OFFSET('FPSO1 Base'!E184,-'FPSO1 Otim'!E$3,0))</f>
        <v>500.286</v>
      </c>
      <c r="F187" s="19">
        <f ca="1">IF($A187-F$3&lt;2,0,OFFSET('FPSO1 Base'!F184,-'FPSO1 Otim'!F$3,0))</f>
        <v>590.70899999999995</v>
      </c>
      <c r="G187" s="19">
        <f ca="1">IF($A187-G$3&lt;2,0,OFFSET('FPSO1 Base'!G184,-'FPSO1 Otim'!G$3,0))</f>
        <v>183.18299999999999</v>
      </c>
      <c r="H187" s="19">
        <f ca="1">IF($A187-H$3&lt;2,0,OFFSET('FPSO1 Base'!H184,-'FPSO1 Otim'!H$3,0))</f>
        <v>674.40750000000003</v>
      </c>
      <c r="I187" s="19">
        <f ca="1">IF($A187-I$3&lt;2,0,OFFSET('FPSO1 Base'!I184,-'FPSO1 Otim'!I$3,0))</f>
        <v>511.20000000000005</v>
      </c>
      <c r="J187" s="19">
        <f ca="1">IF($A187-J$3&lt;2,0,OFFSET('FPSO1 Base'!J184,-'FPSO1 Otim'!J$3,0))</f>
        <v>294.32550000000003</v>
      </c>
      <c r="K187" s="19">
        <f ca="1">IF($A187-K$3&lt;2,0,OFFSET('FPSO1 Base'!K184,-'FPSO1 Otim'!K$3,0))</f>
        <v>328.81200000000001</v>
      </c>
      <c r="L187" s="19">
        <f ca="1">IF($A187-L$3&lt;2,0,OFFSET('FPSO1 Base'!L184,-'FPSO1 Otim'!L$3,0))</f>
        <v>419.25</v>
      </c>
      <c r="M187" s="19">
        <f ca="1">IF($A187-M$3&lt;2,0,OFFSET('FPSO1 Base'!M184,-'FPSO1 Otim'!M$3,0))</f>
        <v>465.12150000000003</v>
      </c>
      <c r="N187" s="19">
        <f ca="1">IF($A187-N$3&lt;2,0,OFFSET('FPSO1 Base'!N184,-'FPSO1 Otim'!N$3,0))</f>
        <v>55.511332224627388</v>
      </c>
      <c r="O187" s="19">
        <f ca="1">IF($A187-O$3&lt;2,0,OFFSET('FPSO1 Base'!O184,-'FPSO1 Otim'!O$3,0))</f>
        <v>514.74149999999997</v>
      </c>
      <c r="P187" s="19">
        <f ca="1">IF($A187-P$3&lt;2,0,OFFSET('FPSO1 Base'!P184,-'FPSO1 Otim'!P$3,0))</f>
        <v>223.35449999999997</v>
      </c>
      <c r="Q187" s="19">
        <f ca="1">IF($A187-Q$3&lt;2,0,OFFSET('FPSO1 Base'!Q184,-'FPSO1 Otim'!Q$3,0))</f>
        <v>419.82449999999994</v>
      </c>
      <c r="R187" s="19">
        <f ca="1">IF($A187-R$3&lt;2,0,OFFSET('FPSO1 Base'!R184,-'FPSO1 Otim'!R$3,0))</f>
        <v>98.523678852215042</v>
      </c>
      <c r="S187" s="19">
        <f ca="1">IF($A187-S$3&lt;2,0,OFFSET('FPSO1 Base'!S184,-'FPSO1 Otim'!S$3,0))</f>
        <v>422.53800000000001</v>
      </c>
      <c r="T187" s="19">
        <f ca="1">IF($A187-T$3&lt;2,0,OFFSET('FPSO1 Base'!T184,-'FPSO1 Otim'!T$3,0))</f>
        <v>633.95550000000003</v>
      </c>
      <c r="U187" s="19">
        <f ca="1">IF($A187-U$3&lt;2,0,OFFSET('FPSO1 Base'!U184,-'FPSO1 Otim'!U$3,0))</f>
        <v>585.92550000000006</v>
      </c>
      <c r="V187" s="19">
        <f ca="1">IF($A187-V$3&lt;2,0,OFFSET('FPSO1 Base'!V184,-'FPSO1 Otim'!V$3,0))</f>
        <v>601.88699999999994</v>
      </c>
      <c r="W187" s="19">
        <f ca="1">IF($A187-W$3&lt;2,0,OFFSET('FPSO1 Base'!W184,-'FPSO1 Otim'!W$3,0))</f>
        <v>280.173</v>
      </c>
      <c r="X187" s="19">
        <f ca="1">IF($A187-X$3&lt;2,0,OFFSET('FPSO1 Base'!X184,-'FPSO1 Otim'!X$3,0))</f>
        <v>1029.6524999999999</v>
      </c>
      <c r="Y187" s="19">
        <f ca="1">IF($A187-Y$3&lt;2,0,OFFSET('FPSO1 Base'!Y184,-'FPSO1 Otim'!Y$3,0))</f>
        <v>498.49950000000001</v>
      </c>
      <c r="Z187" s="19">
        <f ca="1">IF($A187-Z$3&lt;2,0,OFFSET('FPSO1 Base'!Z184,-'FPSO1 Otim'!Z$3,0))</f>
        <v>609.87450000000001</v>
      </c>
      <c r="AA187" s="20">
        <v>15000</v>
      </c>
      <c r="AB187" s="19">
        <f t="shared" ca="1" si="10"/>
        <v>11403.462011076843</v>
      </c>
      <c r="AC187" s="20">
        <f t="shared" ca="1" si="11"/>
        <v>3596.5379889231572</v>
      </c>
      <c r="AD187" s="19">
        <f t="shared" ca="1" si="12"/>
        <v>2539.1609327528618</v>
      </c>
    </row>
    <row r="188" spans="1:30" x14ac:dyDescent="0.25">
      <c r="A188" s="19">
        <v>184</v>
      </c>
      <c r="B188" s="31">
        <v>51196</v>
      </c>
      <c r="C188" s="19">
        <f ca="1">IF($A188-C$3&lt;2,0,OFFSET('FPSO1 Base'!C185,-'FPSO1 Otim'!C$3,0))</f>
        <v>1269.8775000000001</v>
      </c>
      <c r="D188" s="19">
        <f ca="1">IF($A188-D$3&lt;2,0,OFFSET('FPSO1 Base'!D185,-'FPSO1 Otim'!D$3,0))</f>
        <v>189.21299999999999</v>
      </c>
      <c r="E188" s="19">
        <f ca="1">IF($A188-E$3&lt;2,0,OFFSET('FPSO1 Base'!E185,-'FPSO1 Otim'!E$3,0))</f>
        <v>498.40049999999997</v>
      </c>
      <c r="F188" s="19">
        <f ca="1">IF($A188-F$3&lt;2,0,OFFSET('FPSO1 Base'!F185,-'FPSO1 Otim'!F$3,0))</f>
        <v>585.29100000000005</v>
      </c>
      <c r="G188" s="19">
        <f ca="1">IF($A188-G$3&lt;2,0,OFFSET('FPSO1 Base'!G185,-'FPSO1 Otim'!G$3,0))</f>
        <v>182.0985</v>
      </c>
      <c r="H188" s="19">
        <f ca="1">IF($A188-H$3&lt;2,0,OFFSET('FPSO1 Base'!H185,-'FPSO1 Otim'!H$3,0))</f>
        <v>673.2059999999999</v>
      </c>
      <c r="I188" s="19">
        <f ca="1">IF($A188-I$3&lt;2,0,OFFSET('FPSO1 Base'!I185,-'FPSO1 Otim'!I$3,0))</f>
        <v>506.15250000000003</v>
      </c>
      <c r="J188" s="19">
        <f ca="1">IF($A188-J$3&lt;2,0,OFFSET('FPSO1 Base'!J185,-'FPSO1 Otim'!J$3,0))</f>
        <v>293.709</v>
      </c>
      <c r="K188" s="19">
        <f ca="1">IF($A188-K$3&lt;2,0,OFFSET('FPSO1 Base'!K185,-'FPSO1 Otim'!K$3,0))</f>
        <v>327.024</v>
      </c>
      <c r="L188" s="19">
        <f ca="1">IF($A188-L$3&lt;2,0,OFFSET('FPSO1 Base'!L185,-'FPSO1 Otim'!L$3,0))</f>
        <v>417.411</v>
      </c>
      <c r="M188" s="19">
        <f ca="1">IF($A188-M$3&lt;2,0,OFFSET('FPSO1 Base'!M185,-'FPSO1 Otim'!M$3,0))</f>
        <v>462.423</v>
      </c>
      <c r="N188" s="19">
        <f ca="1">IF($A188-N$3&lt;2,0,OFFSET('FPSO1 Base'!N185,-'FPSO1 Otim'!N$3,0))</f>
        <v>54.956218902381117</v>
      </c>
      <c r="O188" s="19">
        <f ca="1">IF($A188-O$3&lt;2,0,OFFSET('FPSO1 Base'!O185,-'FPSO1 Otim'!O$3,0))</f>
        <v>511.27500000000003</v>
      </c>
      <c r="P188" s="19">
        <f ca="1">IF($A188-P$3&lt;2,0,OFFSET('FPSO1 Base'!P185,-'FPSO1 Otim'!P$3,0))</f>
        <v>222.2415</v>
      </c>
      <c r="Q188" s="19">
        <f ca="1">IF($A188-Q$3&lt;2,0,OFFSET('FPSO1 Base'!Q185,-'FPSO1 Otim'!Q$3,0))</f>
        <v>419.178</v>
      </c>
      <c r="R188" s="19">
        <f ca="1">IF($A188-R$3&lt;2,0,OFFSET('FPSO1 Base'!R185,-'FPSO1 Otim'!R$3,0))</f>
        <v>97.538442063692884</v>
      </c>
      <c r="S188" s="19">
        <f ca="1">IF($A188-S$3&lt;2,0,OFFSET('FPSO1 Base'!S185,-'FPSO1 Otim'!S$3,0))</f>
        <v>422.39549999999997</v>
      </c>
      <c r="T188" s="19">
        <f ca="1">IF($A188-T$3&lt;2,0,OFFSET('FPSO1 Base'!T185,-'FPSO1 Otim'!T$3,0))</f>
        <v>632.83799999999997</v>
      </c>
      <c r="U188" s="19">
        <f ca="1">IF($A188-U$3&lt;2,0,OFFSET('FPSO1 Base'!U185,-'FPSO1 Otim'!U$3,0))</f>
        <v>583.91100000000006</v>
      </c>
      <c r="V188" s="19">
        <f ca="1">IF($A188-V$3&lt;2,0,OFFSET('FPSO1 Base'!V185,-'FPSO1 Otim'!V$3,0))</f>
        <v>598.01549999999997</v>
      </c>
      <c r="W188" s="19">
        <f ca="1">IF($A188-W$3&lt;2,0,OFFSET('FPSO1 Base'!W185,-'FPSO1 Otim'!W$3,0))</f>
        <v>279.42449999999997</v>
      </c>
      <c r="X188" s="19">
        <f ca="1">IF($A188-X$3&lt;2,0,OFFSET('FPSO1 Base'!X185,-'FPSO1 Otim'!X$3,0))</f>
        <v>1025.9744999999998</v>
      </c>
      <c r="Y188" s="19">
        <f ca="1">IF($A188-Y$3&lt;2,0,OFFSET('FPSO1 Base'!Y185,-'FPSO1 Otim'!Y$3,0))</f>
        <v>497.964</v>
      </c>
      <c r="Z188" s="19">
        <f ca="1">IF($A188-Z$3&lt;2,0,OFFSET('FPSO1 Base'!Z185,-'FPSO1 Otim'!Z$3,0))</f>
        <v>589.69949999999994</v>
      </c>
      <c r="AA188" s="20">
        <v>15000</v>
      </c>
      <c r="AB188" s="19">
        <f t="shared" ca="1" si="10"/>
        <v>11340.217660966073</v>
      </c>
      <c r="AC188" s="20">
        <f t="shared" ca="1" si="11"/>
        <v>3659.7823390339272</v>
      </c>
      <c r="AD188" s="19">
        <f t="shared" ca="1" si="12"/>
        <v>2504.2101612551342</v>
      </c>
    </row>
    <row r="189" spans="1:30" x14ac:dyDescent="0.25">
      <c r="A189" s="19">
        <v>185</v>
      </c>
      <c r="B189" s="31">
        <v>51227</v>
      </c>
      <c r="C189" s="19">
        <f ca="1">IF($A189-C$3&lt;2,0,OFFSET('FPSO1 Base'!C186,-'FPSO1 Otim'!C$3,0))</f>
        <v>1268.3595</v>
      </c>
      <c r="D189" s="19">
        <f ca="1">IF($A189-D$3&lt;2,0,OFFSET('FPSO1 Base'!D186,-'FPSO1 Otim'!D$3,0))</f>
        <v>188.232</v>
      </c>
      <c r="E189" s="19">
        <f ca="1">IF($A189-E$3&lt;2,0,OFFSET('FPSO1 Base'!E186,-'FPSO1 Otim'!E$3,0))</f>
        <v>496.60949999999997</v>
      </c>
      <c r="F189" s="19">
        <f ca="1">IF($A189-F$3&lt;2,0,OFFSET('FPSO1 Base'!F186,-'FPSO1 Otim'!F$3,0))</f>
        <v>579.13350000000003</v>
      </c>
      <c r="G189" s="19">
        <f ca="1">IF($A189-G$3&lt;2,0,OFFSET('FPSO1 Base'!G186,-'FPSO1 Otim'!G$3,0))</f>
        <v>181.51650000000001</v>
      </c>
      <c r="H189" s="19">
        <f ca="1">IF($A189-H$3&lt;2,0,OFFSET('FPSO1 Base'!H186,-'FPSO1 Otim'!H$3,0))</f>
        <v>671.97300000000007</v>
      </c>
      <c r="I189" s="19">
        <f ca="1">IF($A189-I$3&lt;2,0,OFFSET('FPSO1 Base'!I186,-'FPSO1 Otim'!I$3,0))</f>
        <v>504.678</v>
      </c>
      <c r="J189" s="19">
        <f ca="1">IF($A189-J$3&lt;2,0,OFFSET('FPSO1 Base'!J186,-'FPSO1 Otim'!J$3,0))</f>
        <v>293.10000000000002</v>
      </c>
      <c r="K189" s="19">
        <f ca="1">IF($A189-K$3&lt;2,0,OFFSET('FPSO1 Base'!K186,-'FPSO1 Otim'!K$3,0))</f>
        <v>325.464</v>
      </c>
      <c r="L189" s="19">
        <f ca="1">IF($A189-L$3&lt;2,0,OFFSET('FPSO1 Base'!L186,-'FPSO1 Otim'!L$3,0))</f>
        <v>415.42499999999995</v>
      </c>
      <c r="M189" s="19">
        <f ca="1">IF($A189-M$3&lt;2,0,OFFSET('FPSO1 Base'!M186,-'FPSO1 Otim'!M$3,0))</f>
        <v>459.21449999999993</v>
      </c>
      <c r="N189" s="19">
        <f ca="1">IF($A189-N$3&lt;2,0,OFFSET('FPSO1 Base'!N186,-'FPSO1 Otim'!N$3,0))</f>
        <v>54.406656713357307</v>
      </c>
      <c r="O189" s="19">
        <f ca="1">IF($A189-O$3&lt;2,0,OFFSET('FPSO1 Base'!O186,-'FPSO1 Otim'!O$3,0))</f>
        <v>507.94350000000003</v>
      </c>
      <c r="P189" s="19">
        <f ca="1">IF($A189-P$3&lt;2,0,OFFSET('FPSO1 Base'!P186,-'FPSO1 Otim'!P$3,0))</f>
        <v>221.298</v>
      </c>
      <c r="Q189" s="19">
        <f ca="1">IF($A189-Q$3&lt;2,0,OFFSET('FPSO1 Base'!Q186,-'FPSO1 Otim'!Q$3,0))</f>
        <v>418.51199999999994</v>
      </c>
      <c r="R189" s="19">
        <f ca="1">IF($A189-R$3&lt;2,0,OFFSET('FPSO1 Base'!R186,-'FPSO1 Otim'!R$3,0))</f>
        <v>96.563057643055956</v>
      </c>
      <c r="S189" s="19">
        <f ca="1">IF($A189-S$3&lt;2,0,OFFSET('FPSO1 Base'!S186,-'FPSO1 Otim'!S$3,0))</f>
        <v>422.25</v>
      </c>
      <c r="T189" s="19">
        <f ca="1">IF($A189-T$3&lt;2,0,OFFSET('FPSO1 Base'!T186,-'FPSO1 Otim'!T$3,0))</f>
        <v>631.76549999999997</v>
      </c>
      <c r="U189" s="19">
        <f ca="1">IF($A189-U$3&lt;2,0,OFFSET('FPSO1 Base'!U186,-'FPSO1 Otim'!U$3,0))</f>
        <v>581.952</v>
      </c>
      <c r="V189" s="19">
        <f ca="1">IF($A189-V$3&lt;2,0,OFFSET('FPSO1 Base'!V186,-'FPSO1 Otim'!V$3,0))</f>
        <v>593.625</v>
      </c>
      <c r="W189" s="19">
        <f ca="1">IF($A189-W$3&lt;2,0,OFFSET('FPSO1 Base'!W186,-'FPSO1 Otim'!W$3,0))</f>
        <v>278.72249999999997</v>
      </c>
      <c r="X189" s="19">
        <f ca="1">IF($A189-X$3&lt;2,0,OFFSET('FPSO1 Base'!X186,-'FPSO1 Otim'!X$3,0))</f>
        <v>1022.8064999999999</v>
      </c>
      <c r="Y189" s="19">
        <f ca="1">IF($A189-Y$3&lt;2,0,OFFSET('FPSO1 Base'!Y186,-'FPSO1 Otim'!Y$3,0))</f>
        <v>498.06299999999999</v>
      </c>
      <c r="Z189" s="19">
        <f ca="1">IF($A189-Z$3&lt;2,0,OFFSET('FPSO1 Base'!Z186,-'FPSO1 Otim'!Z$3,0))</f>
        <v>585.03</v>
      </c>
      <c r="AA189" s="20">
        <v>15000</v>
      </c>
      <c r="AB189" s="19">
        <f t="shared" ca="1" si="10"/>
        <v>11296.643214356414</v>
      </c>
      <c r="AC189" s="20">
        <f t="shared" ca="1" si="11"/>
        <v>3703.3567856435857</v>
      </c>
      <c r="AD189" s="19">
        <f t="shared" ca="1" si="12"/>
        <v>2473.9713805652018</v>
      </c>
    </row>
    <row r="190" spans="1:30" x14ac:dyDescent="0.25">
      <c r="A190" s="19">
        <v>186</v>
      </c>
      <c r="B190" s="31">
        <v>51257</v>
      </c>
      <c r="C190" s="19">
        <f ca="1">IF($A190-C$3&lt;2,0,OFFSET('FPSO1 Base'!C187,-'FPSO1 Otim'!C$3,0))</f>
        <v>1266.7350000000001</v>
      </c>
      <c r="D190" s="19">
        <f ca="1">IF($A190-D$3&lt;2,0,OFFSET('FPSO1 Base'!D187,-'FPSO1 Otim'!D$3,0))</f>
        <v>187.28100000000001</v>
      </c>
      <c r="E190" s="19">
        <f ca="1">IF($A190-E$3&lt;2,0,OFFSET('FPSO1 Base'!E187,-'FPSO1 Otim'!E$3,0))</f>
        <v>494.86649999999997</v>
      </c>
      <c r="F190" s="19">
        <f ca="1">IF($A190-F$3&lt;2,0,OFFSET('FPSO1 Base'!F187,-'FPSO1 Otim'!F$3,0))</f>
        <v>574.35450000000003</v>
      </c>
      <c r="G190" s="19">
        <f ca="1">IF($A190-G$3&lt;2,0,OFFSET('FPSO1 Base'!G187,-'FPSO1 Otim'!G$3,0))</f>
        <v>180.59550000000002</v>
      </c>
      <c r="H190" s="19">
        <f ca="1">IF($A190-H$3&lt;2,0,OFFSET('FPSO1 Base'!H187,-'FPSO1 Otim'!H$3,0))</f>
        <v>670.73249999999996</v>
      </c>
      <c r="I190" s="19">
        <f ca="1">IF($A190-I$3&lt;2,0,OFFSET('FPSO1 Base'!I187,-'FPSO1 Otim'!I$3,0))</f>
        <v>503.75850000000003</v>
      </c>
      <c r="J190" s="19">
        <f ca="1">IF($A190-J$3&lt;2,0,OFFSET('FPSO1 Base'!J187,-'FPSO1 Otim'!J$3,0))</f>
        <v>290.03249999999997</v>
      </c>
      <c r="K190" s="19">
        <f ca="1">IF($A190-K$3&lt;2,0,OFFSET('FPSO1 Base'!K187,-'FPSO1 Otim'!K$3,0))</f>
        <v>323.47799999999995</v>
      </c>
      <c r="L190" s="19">
        <f ca="1">IF($A190-L$3&lt;2,0,OFFSET('FPSO1 Base'!L187,-'FPSO1 Otim'!L$3,0))</f>
        <v>413.56499999999994</v>
      </c>
      <c r="M190" s="19">
        <f ca="1">IF($A190-M$3&lt;2,0,OFFSET('FPSO1 Base'!M187,-'FPSO1 Otim'!M$3,0))</f>
        <v>456.678</v>
      </c>
      <c r="N190" s="19">
        <f ca="1">IF($A190-N$3&lt;2,0,OFFSET('FPSO1 Base'!N187,-'FPSO1 Otim'!N$3,0))</f>
        <v>53.862590146223731</v>
      </c>
      <c r="O190" s="19">
        <f ca="1">IF($A190-O$3&lt;2,0,OFFSET('FPSO1 Base'!O187,-'FPSO1 Otim'!O$3,0))</f>
        <v>504.58050000000003</v>
      </c>
      <c r="P190" s="19">
        <f ca="1">IF($A190-P$3&lt;2,0,OFFSET('FPSO1 Base'!P187,-'FPSO1 Otim'!P$3,0))</f>
        <v>220.22550000000001</v>
      </c>
      <c r="Q190" s="19">
        <f ca="1">IF($A190-Q$3&lt;2,0,OFFSET('FPSO1 Base'!Q187,-'FPSO1 Otim'!Q$3,0))</f>
        <v>417.81299999999999</v>
      </c>
      <c r="R190" s="19">
        <f ca="1">IF($A190-R$3&lt;2,0,OFFSET('FPSO1 Base'!R187,-'FPSO1 Otim'!R$3,0))</f>
        <v>95.5974270666254</v>
      </c>
      <c r="S190" s="19">
        <f ca="1">IF($A190-S$3&lt;2,0,OFFSET('FPSO1 Base'!S187,-'FPSO1 Otim'!S$3,0))</f>
        <v>422.07449999999994</v>
      </c>
      <c r="T190" s="19">
        <f ca="1">IF($A190-T$3&lt;2,0,OFFSET('FPSO1 Base'!T187,-'FPSO1 Otim'!T$3,0))</f>
        <v>630.702</v>
      </c>
      <c r="U190" s="19">
        <f ca="1">IF($A190-U$3&lt;2,0,OFFSET('FPSO1 Base'!U187,-'FPSO1 Otim'!U$3,0))</f>
        <v>579.87450000000001</v>
      </c>
      <c r="V190" s="19">
        <f ca="1">IF($A190-V$3&lt;2,0,OFFSET('FPSO1 Base'!V187,-'FPSO1 Otim'!V$3,0))</f>
        <v>590.12850000000003</v>
      </c>
      <c r="W190" s="19">
        <f ca="1">IF($A190-W$3&lt;2,0,OFFSET('FPSO1 Base'!W187,-'FPSO1 Otim'!W$3,0))</f>
        <v>278.04449999999997</v>
      </c>
      <c r="X190" s="19">
        <f ca="1">IF($A190-X$3&lt;2,0,OFFSET('FPSO1 Base'!X187,-'FPSO1 Otim'!X$3,0))</f>
        <v>1019.2244999999999</v>
      </c>
      <c r="Y190" s="19">
        <f ca="1">IF($A190-Y$3&lt;2,0,OFFSET('FPSO1 Base'!Y187,-'FPSO1 Otim'!Y$3,0))</f>
        <v>498.29100000000005</v>
      </c>
      <c r="Z190" s="19">
        <f ca="1">IF($A190-Z$3&lt;2,0,OFFSET('FPSO1 Base'!Z187,-'FPSO1 Otim'!Z$3,0))</f>
        <v>581.94900000000007</v>
      </c>
      <c r="AA190" s="20">
        <v>15000</v>
      </c>
      <c r="AB190" s="19">
        <f t="shared" ca="1" si="10"/>
        <v>11254.444517212851</v>
      </c>
      <c r="AC190" s="20">
        <f t="shared" ca="1" si="11"/>
        <v>3745.5554827871492</v>
      </c>
      <c r="AD190" s="19">
        <f t="shared" ca="1" si="12"/>
        <v>2444.3601734359072</v>
      </c>
    </row>
    <row r="191" spans="1:30" x14ac:dyDescent="0.25">
      <c r="A191" s="19">
        <v>187</v>
      </c>
      <c r="B191" s="31">
        <v>51288</v>
      </c>
      <c r="C191" s="19">
        <f ca="1">IF($A191-C$3&lt;2,0,OFFSET('FPSO1 Base'!C188,-'FPSO1 Otim'!C$3,0))</f>
        <v>1265.259</v>
      </c>
      <c r="D191" s="19">
        <f ca="1">IF($A191-D$3&lt;2,0,OFFSET('FPSO1 Base'!D188,-'FPSO1 Otim'!D$3,0))</f>
        <v>186.3075</v>
      </c>
      <c r="E191" s="19">
        <f ca="1">IF($A191-E$3&lt;2,0,OFFSET('FPSO1 Base'!E188,-'FPSO1 Otim'!E$3,0))</f>
        <v>492.94949999999994</v>
      </c>
      <c r="F191" s="19">
        <f ca="1">IF($A191-F$3&lt;2,0,OFFSET('FPSO1 Base'!F188,-'FPSO1 Otim'!F$3,0))</f>
        <v>568.90049999999997</v>
      </c>
      <c r="G191" s="19">
        <f ca="1">IF($A191-G$3&lt;2,0,OFFSET('FPSO1 Base'!G188,-'FPSO1 Otim'!G$3,0))</f>
        <v>180.73050000000001</v>
      </c>
      <c r="H191" s="19">
        <f ca="1">IF($A191-H$3&lt;2,0,OFFSET('FPSO1 Base'!H188,-'FPSO1 Otim'!H$3,0))</f>
        <v>669.56850000000009</v>
      </c>
      <c r="I191" s="19">
        <f ca="1">IF($A191-I$3&lt;2,0,OFFSET('FPSO1 Base'!I188,-'FPSO1 Otim'!I$3,0))</f>
        <v>503.08050000000003</v>
      </c>
      <c r="J191" s="19">
        <f ca="1">IF($A191-J$3&lt;2,0,OFFSET('FPSO1 Base'!J188,-'FPSO1 Otim'!J$3,0))</f>
        <v>289.23450000000003</v>
      </c>
      <c r="K191" s="19">
        <f ca="1">IF($A191-K$3&lt;2,0,OFFSET('FPSO1 Base'!K188,-'FPSO1 Otim'!K$3,0))</f>
        <v>321.90749999999997</v>
      </c>
      <c r="L191" s="19">
        <f ca="1">IF($A191-L$3&lt;2,0,OFFSET('FPSO1 Base'!L188,-'FPSO1 Otim'!L$3,0))</f>
        <v>411.726</v>
      </c>
      <c r="M191" s="19">
        <f ca="1">IF($A191-M$3&lt;2,0,OFFSET('FPSO1 Base'!M188,-'FPSO1 Otim'!M$3,0))</f>
        <v>453.71250000000003</v>
      </c>
      <c r="N191" s="19">
        <f ca="1">IF($A191-N$3&lt;2,0,OFFSET('FPSO1 Base'!N188,-'FPSO1 Otim'!N$3,0))</f>
        <v>53.323964244761491</v>
      </c>
      <c r="O191" s="19">
        <f ca="1">IF($A191-O$3&lt;2,0,OFFSET('FPSO1 Base'!O188,-'FPSO1 Otim'!O$3,0))</f>
        <v>501.04950000000002</v>
      </c>
      <c r="P191" s="19">
        <f ca="1">IF($A191-P$3&lt;2,0,OFFSET('FPSO1 Base'!P188,-'FPSO1 Otim'!P$3,0))</f>
        <v>219.2415</v>
      </c>
      <c r="Q191" s="19">
        <f ca="1">IF($A191-Q$3&lt;2,0,OFFSET('FPSO1 Base'!Q188,-'FPSO1 Otim'!Q$3,0))</f>
        <v>417.12150000000003</v>
      </c>
      <c r="R191" s="19">
        <f ca="1">IF($A191-R$3&lt;2,0,OFFSET('FPSO1 Base'!R188,-'FPSO1 Otim'!R$3,0))</f>
        <v>94.64145279595914</v>
      </c>
      <c r="S191" s="19">
        <f ca="1">IF($A191-S$3&lt;2,0,OFFSET('FPSO1 Base'!S188,-'FPSO1 Otim'!S$3,0))</f>
        <v>421.875</v>
      </c>
      <c r="T191" s="19">
        <f ca="1">IF($A191-T$3&lt;2,0,OFFSET('FPSO1 Base'!T188,-'FPSO1 Otim'!T$3,0))</f>
        <v>629.56200000000001</v>
      </c>
      <c r="U191" s="19">
        <f ca="1">IF($A191-U$3&lt;2,0,OFFSET('FPSO1 Base'!U188,-'FPSO1 Otim'!U$3,0))</f>
        <v>578.00850000000003</v>
      </c>
      <c r="V191" s="19">
        <f ca="1">IF($A191-V$3&lt;2,0,OFFSET('FPSO1 Base'!V188,-'FPSO1 Otim'!V$3,0))</f>
        <v>586.04999999999995</v>
      </c>
      <c r="W191" s="19">
        <f ca="1">IF($A191-W$3&lt;2,0,OFFSET('FPSO1 Base'!W188,-'FPSO1 Otim'!W$3,0))</f>
        <v>277.28550000000001</v>
      </c>
      <c r="X191" s="19">
        <f ca="1">IF($A191-X$3&lt;2,0,OFFSET('FPSO1 Base'!X188,-'FPSO1 Otim'!X$3,0))</f>
        <v>1015.9349999999999</v>
      </c>
      <c r="Y191" s="19">
        <f ca="1">IF($A191-Y$3&lt;2,0,OFFSET('FPSO1 Base'!Y188,-'FPSO1 Otim'!Y$3,0))</f>
        <v>498.411</v>
      </c>
      <c r="Z191" s="19">
        <f ca="1">IF($A191-Z$3&lt;2,0,OFFSET('FPSO1 Base'!Z188,-'FPSO1 Otim'!Z$3,0))</f>
        <v>579.2595</v>
      </c>
      <c r="AA191" s="20">
        <v>15000</v>
      </c>
      <c r="AB191" s="19">
        <f t="shared" ca="1" si="10"/>
        <v>11215.140917040721</v>
      </c>
      <c r="AC191" s="20">
        <f t="shared" ca="1" si="11"/>
        <v>3784.8590829592795</v>
      </c>
      <c r="AD191" s="19">
        <f t="shared" ca="1" si="12"/>
        <v>2415.6930235843215</v>
      </c>
    </row>
    <row r="192" spans="1:30" x14ac:dyDescent="0.25">
      <c r="A192" s="19">
        <v>188</v>
      </c>
      <c r="B192" s="31">
        <v>51318</v>
      </c>
      <c r="C192" s="19">
        <f ca="1">IF($A192-C$3&lt;2,0,OFFSET('FPSO1 Base'!C189,-'FPSO1 Otim'!C$3,0))</f>
        <v>1263.6869999999999</v>
      </c>
      <c r="D192" s="19">
        <f ca="1">IF($A192-D$3&lt;2,0,OFFSET('FPSO1 Base'!D189,-'FPSO1 Otim'!D$3,0))</f>
        <v>185.523</v>
      </c>
      <c r="E192" s="19">
        <f ca="1">IF($A192-E$3&lt;2,0,OFFSET('FPSO1 Base'!E189,-'FPSO1 Otim'!E$3,0))</f>
        <v>491.226</v>
      </c>
      <c r="F192" s="19">
        <f ca="1">IF($A192-F$3&lt;2,0,OFFSET('FPSO1 Base'!F189,-'FPSO1 Otim'!F$3,0))</f>
        <v>563.928</v>
      </c>
      <c r="G192" s="19">
        <f ca="1">IF($A192-G$3&lt;2,0,OFFSET('FPSO1 Base'!G189,-'FPSO1 Otim'!G$3,0))</f>
        <v>180.27</v>
      </c>
      <c r="H192" s="19">
        <f ca="1">IF($A192-H$3&lt;2,0,OFFSET('FPSO1 Base'!H189,-'FPSO1 Otim'!H$3,0))</f>
        <v>668.34749999999997</v>
      </c>
      <c r="I192" s="19">
        <f ca="1">IF($A192-I$3&lt;2,0,OFFSET('FPSO1 Base'!I189,-'FPSO1 Otim'!I$3,0))</f>
        <v>502.20000000000005</v>
      </c>
      <c r="J192" s="19">
        <f ca="1">IF($A192-J$3&lt;2,0,OFFSET('FPSO1 Base'!J189,-'FPSO1 Otim'!J$3,0))</f>
        <v>288.64350000000002</v>
      </c>
      <c r="K192" s="19">
        <f ca="1">IF($A192-K$3&lt;2,0,OFFSET('FPSO1 Base'!K189,-'FPSO1 Otim'!K$3,0))</f>
        <v>320.0625</v>
      </c>
      <c r="L192" s="19">
        <f ca="1">IF($A192-L$3&lt;2,0,OFFSET('FPSO1 Base'!L189,-'FPSO1 Otim'!L$3,0))</f>
        <v>409.79999999999995</v>
      </c>
      <c r="M192" s="19">
        <f ca="1">IF($A192-M$3&lt;2,0,OFFSET('FPSO1 Base'!M189,-'FPSO1 Otim'!M$3,0))</f>
        <v>451.077</v>
      </c>
      <c r="N192" s="19">
        <f ca="1">IF($A192-N$3&lt;2,0,OFFSET('FPSO1 Base'!N189,-'FPSO1 Otim'!N$3,0))</f>
        <v>52.790724602313873</v>
      </c>
      <c r="O192" s="19">
        <f ca="1">IF($A192-O$3&lt;2,0,OFFSET('FPSO1 Base'!O189,-'FPSO1 Otim'!O$3,0))</f>
        <v>497.85450000000003</v>
      </c>
      <c r="P192" s="19">
        <f ca="1">IF($A192-P$3&lt;2,0,OFFSET('FPSO1 Base'!P189,-'FPSO1 Otim'!P$3,0))</f>
        <v>218.17499999999998</v>
      </c>
      <c r="Q192" s="19">
        <f ca="1">IF($A192-Q$3&lt;2,0,OFFSET('FPSO1 Base'!Q189,-'FPSO1 Otim'!Q$3,0))</f>
        <v>416.36249999999995</v>
      </c>
      <c r="R192" s="19">
        <f ca="1">IF($A192-R$3&lt;2,0,OFFSET('FPSO1 Base'!R189,-'FPSO1 Otim'!R$3,0))</f>
        <v>93.69503826799955</v>
      </c>
      <c r="S192" s="19">
        <f ca="1">IF($A192-S$3&lt;2,0,OFFSET('FPSO1 Base'!S189,-'FPSO1 Otim'!S$3,0))</f>
        <v>421.60050000000001</v>
      </c>
      <c r="T192" s="19">
        <f ca="1">IF($A192-T$3&lt;2,0,OFFSET('FPSO1 Base'!T189,-'FPSO1 Otim'!T$3,0))</f>
        <v>628.548</v>
      </c>
      <c r="U192" s="19">
        <f ca="1">IF($A192-U$3&lt;2,0,OFFSET('FPSO1 Base'!U189,-'FPSO1 Otim'!U$3,0))</f>
        <v>576</v>
      </c>
      <c r="V192" s="19">
        <f ca="1">IF($A192-V$3&lt;2,0,OFFSET('FPSO1 Base'!V189,-'FPSO1 Otim'!V$3,0))</f>
        <v>582.33899999999994</v>
      </c>
      <c r="W192" s="19">
        <f ca="1">IF($A192-W$3&lt;2,0,OFFSET('FPSO1 Base'!W189,-'FPSO1 Otim'!W$3,0))</f>
        <v>276.65250000000003</v>
      </c>
      <c r="X192" s="19">
        <f ca="1">IF($A192-X$3&lt;2,0,OFFSET('FPSO1 Base'!X189,-'FPSO1 Otim'!X$3,0))</f>
        <v>1012.3499999999999</v>
      </c>
      <c r="Y192" s="19">
        <f ca="1">IF($A192-Y$3&lt;2,0,OFFSET('FPSO1 Base'!Y189,-'FPSO1 Otim'!Y$3,0))</f>
        <v>498.45599999999996</v>
      </c>
      <c r="Z192" s="19">
        <f ca="1">IF($A192-Z$3&lt;2,0,OFFSET('FPSO1 Base'!Z189,-'FPSO1 Otim'!Z$3,0))</f>
        <v>576.21299999999997</v>
      </c>
      <c r="AA192" s="20">
        <v>15000</v>
      </c>
      <c r="AB192" s="19">
        <f t="shared" ca="1" si="10"/>
        <v>11175.801262870315</v>
      </c>
      <c r="AC192" s="20">
        <f t="shared" ca="1" si="11"/>
        <v>3824.1987371296855</v>
      </c>
      <c r="AD192" s="19">
        <f t="shared" ca="1" si="12"/>
        <v>2387.3250561364757</v>
      </c>
    </row>
    <row r="193" spans="1:30" x14ac:dyDescent="0.25">
      <c r="A193" s="19">
        <v>189</v>
      </c>
      <c r="B193" s="31">
        <v>51349</v>
      </c>
      <c r="C193" s="19">
        <f ca="1">IF($A193-C$3&lt;2,0,OFFSET('FPSO1 Base'!C190,-'FPSO1 Otim'!C$3,0))</f>
        <v>1262.1524999999999</v>
      </c>
      <c r="D193" s="19">
        <f ca="1">IF($A193-D$3&lt;2,0,OFFSET('FPSO1 Base'!D190,-'FPSO1 Otim'!D$3,0))</f>
        <v>184.416</v>
      </c>
      <c r="E193" s="19">
        <f ca="1">IF($A193-E$3&lt;2,0,OFFSET('FPSO1 Base'!E190,-'FPSO1 Otim'!E$3,0))</f>
        <v>489.31200000000001</v>
      </c>
      <c r="F193" s="19">
        <f ca="1">IF($A193-F$3&lt;2,0,OFFSET('FPSO1 Base'!F190,-'FPSO1 Otim'!F$3,0))</f>
        <v>558.75</v>
      </c>
      <c r="G193" s="19">
        <f ca="1">IF($A193-G$3&lt;2,0,OFFSET('FPSO1 Base'!G190,-'FPSO1 Otim'!G$3,0))</f>
        <v>180.03</v>
      </c>
      <c r="H193" s="19">
        <f ca="1">IF($A193-H$3&lt;2,0,OFFSET('FPSO1 Base'!H190,-'FPSO1 Otim'!H$3,0))</f>
        <v>667.17599999999993</v>
      </c>
      <c r="I193" s="19">
        <f ca="1">IF($A193-I$3&lt;2,0,OFFSET('FPSO1 Base'!I190,-'FPSO1 Otim'!I$3,0))</f>
        <v>501.45899999999995</v>
      </c>
      <c r="J193" s="19">
        <f ca="1">IF($A193-J$3&lt;2,0,OFFSET('FPSO1 Base'!J190,-'FPSO1 Otim'!J$3,0))</f>
        <v>288.21750000000003</v>
      </c>
      <c r="K193" s="19">
        <f ca="1">IF($A193-K$3&lt;2,0,OFFSET('FPSO1 Base'!K190,-'FPSO1 Otim'!K$3,0))</f>
        <v>318.447</v>
      </c>
      <c r="L193" s="19">
        <f ca="1">IF($A193-L$3&lt;2,0,OFFSET('FPSO1 Base'!L190,-'FPSO1 Otim'!L$3,0))</f>
        <v>408.036</v>
      </c>
      <c r="M193" s="19">
        <f ca="1">IF($A193-M$3&lt;2,0,OFFSET('FPSO1 Base'!M190,-'FPSO1 Otim'!M$3,0))</f>
        <v>448.21199999999999</v>
      </c>
      <c r="N193" s="19">
        <f ca="1">IF($A193-N$3&lt;2,0,OFFSET('FPSO1 Base'!N190,-'FPSO1 Otim'!N$3,0))</f>
        <v>52.262817356290732</v>
      </c>
      <c r="O193" s="19">
        <f ca="1">IF($A193-O$3&lt;2,0,OFFSET('FPSO1 Base'!O190,-'FPSO1 Otim'!O$3,0))</f>
        <v>494.44949999999994</v>
      </c>
      <c r="P193" s="19">
        <f ca="1">IF($A193-P$3&lt;2,0,OFFSET('FPSO1 Base'!P190,-'FPSO1 Otim'!P$3,0))</f>
        <v>217.161</v>
      </c>
      <c r="Q193" s="19">
        <f ca="1">IF($A193-Q$3&lt;2,0,OFFSET('FPSO1 Base'!Q190,-'FPSO1 Otim'!Q$3,0))</f>
        <v>415.68149999999997</v>
      </c>
      <c r="R193" s="19">
        <f ca="1">IF($A193-R$3&lt;2,0,OFFSET('FPSO1 Base'!R190,-'FPSO1 Otim'!R$3,0))</f>
        <v>92.758087885319554</v>
      </c>
      <c r="S193" s="19">
        <f ca="1">IF($A193-S$3&lt;2,0,OFFSET('FPSO1 Base'!S190,-'FPSO1 Otim'!S$3,0))</f>
        <v>421.28250000000003</v>
      </c>
      <c r="T193" s="19">
        <f ca="1">IF($A193-T$3&lt;2,0,OFFSET('FPSO1 Base'!T190,-'FPSO1 Otim'!T$3,0))</f>
        <v>627.43799999999999</v>
      </c>
      <c r="U193" s="19">
        <f ca="1">IF($A193-U$3&lt;2,0,OFFSET('FPSO1 Base'!U190,-'FPSO1 Otim'!U$3,0))</f>
        <v>574.11300000000006</v>
      </c>
      <c r="V193" s="19">
        <f ca="1">IF($A193-V$3&lt;2,0,OFFSET('FPSO1 Base'!V190,-'FPSO1 Otim'!V$3,0))</f>
        <v>578.35050000000001</v>
      </c>
      <c r="W193" s="19">
        <f ca="1">IF($A193-W$3&lt;2,0,OFFSET('FPSO1 Base'!W190,-'FPSO1 Otim'!W$3,0))</f>
        <v>275.93700000000001</v>
      </c>
      <c r="X193" s="19">
        <f ca="1">IF($A193-X$3&lt;2,0,OFFSET('FPSO1 Base'!X190,-'FPSO1 Otim'!X$3,0))</f>
        <v>1008.9435000000001</v>
      </c>
      <c r="Y193" s="19">
        <f ca="1">IF($A193-Y$3&lt;2,0,OFFSET('FPSO1 Base'!Y190,-'FPSO1 Otim'!Y$3,0))</f>
        <v>498.339</v>
      </c>
      <c r="Z193" s="19">
        <f ca="1">IF($A193-Z$3&lt;2,0,OFFSET('FPSO1 Base'!Z190,-'FPSO1 Otim'!Z$3,0))</f>
        <v>573.303</v>
      </c>
      <c r="AA193" s="20">
        <v>15000</v>
      </c>
      <c r="AB193" s="19">
        <f t="shared" ca="1" si="10"/>
        <v>11136.227405241611</v>
      </c>
      <c r="AC193" s="20">
        <f t="shared" ca="1" si="11"/>
        <v>3863.7725947583895</v>
      </c>
      <c r="AD193" s="19">
        <f t="shared" ca="1" si="12"/>
        <v>2359.2113695924891</v>
      </c>
    </row>
    <row r="194" spans="1:30" x14ac:dyDescent="0.25">
      <c r="A194" s="19">
        <v>190</v>
      </c>
      <c r="B194" s="31">
        <v>51380</v>
      </c>
      <c r="C194" s="19">
        <f ca="1">IF($A194-C$3&lt;2,0,OFFSET('FPSO1 Base'!C191,-'FPSO1 Otim'!C$3,0))</f>
        <v>1260.5955000000001</v>
      </c>
      <c r="D194" s="19">
        <f ca="1">IF($A194-D$3&lt;2,0,OFFSET('FPSO1 Base'!D191,-'FPSO1 Otim'!D$3,0))</f>
        <v>182.32650000000001</v>
      </c>
      <c r="E194" s="19">
        <f ca="1">IF($A194-E$3&lt;2,0,OFFSET('FPSO1 Base'!E191,-'FPSO1 Otim'!E$3,0))</f>
        <v>487.59749999999997</v>
      </c>
      <c r="F194" s="19">
        <f ca="1">IF($A194-F$3&lt;2,0,OFFSET('FPSO1 Base'!F191,-'FPSO1 Otim'!F$3,0))</f>
        <v>553.98450000000003</v>
      </c>
      <c r="G194" s="19">
        <f ca="1">IF($A194-G$3&lt;2,0,OFFSET('FPSO1 Base'!G191,-'FPSO1 Otim'!G$3,0))</f>
        <v>179.4495</v>
      </c>
      <c r="H194" s="19">
        <f ca="1">IF($A194-H$3&lt;2,0,OFFSET('FPSO1 Base'!H191,-'FPSO1 Otim'!H$3,0))</f>
        <v>665.97300000000007</v>
      </c>
      <c r="I194" s="19">
        <f ca="1">IF($A194-I$3&lt;2,0,OFFSET('FPSO1 Base'!I191,-'FPSO1 Otim'!I$3,0))</f>
        <v>500.57549999999998</v>
      </c>
      <c r="J194" s="19">
        <f ca="1">IF($A194-J$3&lt;2,0,OFFSET('FPSO1 Base'!J191,-'FPSO1 Otim'!J$3,0))</f>
        <v>287.67449999999997</v>
      </c>
      <c r="K194" s="19">
        <f ca="1">IF($A194-K$3&lt;2,0,OFFSET('FPSO1 Base'!K191,-'FPSO1 Otim'!K$3,0))</f>
        <v>316.61249999999995</v>
      </c>
      <c r="L194" s="19">
        <f ca="1">IF($A194-L$3&lt;2,0,OFFSET('FPSO1 Base'!L191,-'FPSO1 Otim'!L$3,0))</f>
        <v>406.15049999999997</v>
      </c>
      <c r="M194" s="19">
        <f ca="1">IF($A194-M$3&lt;2,0,OFFSET('FPSO1 Base'!M191,-'FPSO1 Otim'!M$3,0))</f>
        <v>445.536</v>
      </c>
      <c r="N194" s="19">
        <f ca="1">IF($A194-N$3&lt;2,0,OFFSET('FPSO1 Base'!N191,-'FPSO1 Otim'!N$3,0))</f>
        <v>51.740189182727825</v>
      </c>
      <c r="O194" s="19">
        <f ca="1">IF($A194-O$3&lt;2,0,OFFSET('FPSO1 Base'!O191,-'FPSO1 Otim'!O$3,0))</f>
        <v>491.202</v>
      </c>
      <c r="P194" s="19">
        <f ca="1">IF($A194-P$3&lt;2,0,OFFSET('FPSO1 Base'!P191,-'FPSO1 Otim'!P$3,0))</f>
        <v>216.1695</v>
      </c>
      <c r="Q194" s="19">
        <f ca="1">IF($A194-Q$3&lt;2,0,OFFSET('FPSO1 Base'!Q191,-'FPSO1 Otim'!Q$3,0))</f>
        <v>415.04100000000005</v>
      </c>
      <c r="R194" s="19">
        <f ca="1">IF($A194-R$3&lt;2,0,OFFSET('FPSO1 Base'!R191,-'FPSO1 Otim'!R$3,0))</f>
        <v>91.830507006466362</v>
      </c>
      <c r="S194" s="19">
        <f ca="1">IF($A194-S$3&lt;2,0,OFFSET('FPSO1 Base'!S191,-'FPSO1 Otim'!S$3,0))</f>
        <v>420.89549999999997</v>
      </c>
      <c r="T194" s="19">
        <f ca="1">IF($A194-T$3&lt;2,0,OFFSET('FPSO1 Base'!T191,-'FPSO1 Otim'!T$3,0))</f>
        <v>626.37149999999997</v>
      </c>
      <c r="U194" s="19">
        <f ca="1">IF($A194-U$3&lt;2,0,OFFSET('FPSO1 Base'!U191,-'FPSO1 Otim'!U$3,0))</f>
        <v>572.322</v>
      </c>
      <c r="V194" s="19">
        <f ca="1">IF($A194-V$3&lt;2,0,OFFSET('FPSO1 Base'!V191,-'FPSO1 Otim'!V$3,0))</f>
        <v>574.64549999999997</v>
      </c>
      <c r="W194" s="19">
        <f ca="1">IF($A194-W$3&lt;2,0,OFFSET('FPSO1 Base'!W191,-'FPSO1 Otim'!W$3,0))</f>
        <v>275.298</v>
      </c>
      <c r="X194" s="19">
        <f ca="1">IF($A194-X$3&lt;2,0,OFFSET('FPSO1 Base'!X191,-'FPSO1 Otim'!X$3,0))</f>
        <v>1005.5085000000001</v>
      </c>
      <c r="Y194" s="19">
        <f ca="1">IF($A194-Y$3&lt;2,0,OFFSET('FPSO1 Base'!Y191,-'FPSO1 Otim'!Y$3,0))</f>
        <v>498.10050000000001</v>
      </c>
      <c r="Z194" s="19">
        <f ca="1">IF($A194-Z$3&lt;2,0,OFFSET('FPSO1 Base'!Z191,-'FPSO1 Otim'!Z$3,0))</f>
        <v>570.11249999999995</v>
      </c>
      <c r="AA194" s="20">
        <v>15000</v>
      </c>
      <c r="AB194" s="19">
        <f t="shared" ca="1" si="10"/>
        <v>11095.712696189194</v>
      </c>
      <c r="AC194" s="20">
        <f t="shared" ca="1" si="11"/>
        <v>3904.2873038108064</v>
      </c>
      <c r="AD194" s="19">
        <f t="shared" ca="1" si="12"/>
        <v>2331.2016423286209</v>
      </c>
    </row>
    <row r="195" spans="1:30" x14ac:dyDescent="0.25">
      <c r="A195" s="19">
        <v>191</v>
      </c>
      <c r="B195" s="31">
        <v>51410</v>
      </c>
      <c r="C195" s="19">
        <f ca="1">IF($A195-C$3&lt;2,0,OFFSET('FPSO1 Base'!C192,-'FPSO1 Otim'!C$3,0))</f>
        <v>1259.0564999999999</v>
      </c>
      <c r="D195" s="19">
        <f ca="1">IF($A195-D$3&lt;2,0,OFFSET('FPSO1 Base'!D192,-'FPSO1 Otim'!D$3,0))</f>
        <v>181.476</v>
      </c>
      <c r="E195" s="19">
        <f ca="1">IF($A195-E$3&lt;2,0,OFFSET('FPSO1 Base'!E192,-'FPSO1 Otim'!E$3,0))</f>
        <v>485.93999999999994</v>
      </c>
      <c r="F195" s="19">
        <f ca="1">IF($A195-F$3&lt;2,0,OFFSET('FPSO1 Base'!F192,-'FPSO1 Otim'!F$3,0))</f>
        <v>549.33899999999994</v>
      </c>
      <c r="G195" s="19">
        <f ca="1">IF($A195-G$3&lt;2,0,OFFSET('FPSO1 Base'!G192,-'FPSO1 Otim'!G$3,0))</f>
        <v>175.38600000000002</v>
      </c>
      <c r="H195" s="19">
        <f ca="1">IF($A195-H$3&lt;2,0,OFFSET('FPSO1 Base'!H192,-'FPSO1 Otim'!H$3,0))</f>
        <v>662.60550000000001</v>
      </c>
      <c r="I195" s="19">
        <f ca="1">IF($A195-I$3&lt;2,0,OFFSET('FPSO1 Base'!I192,-'FPSO1 Otim'!I$3,0))</f>
        <v>499.76550000000003</v>
      </c>
      <c r="J195" s="19">
        <f ca="1">IF($A195-J$3&lt;2,0,OFFSET('FPSO1 Base'!J192,-'FPSO1 Otim'!J$3,0))</f>
        <v>287.274</v>
      </c>
      <c r="K195" s="19">
        <f ca="1">IF($A195-K$3&lt;2,0,OFFSET('FPSO1 Base'!K192,-'FPSO1 Otim'!K$3,0))</f>
        <v>314.87850000000003</v>
      </c>
      <c r="L195" s="19">
        <f ca="1">IF($A195-L$3&lt;2,0,OFFSET('FPSO1 Base'!L192,-'FPSO1 Otim'!L$3,0))</f>
        <v>404.37150000000003</v>
      </c>
      <c r="M195" s="19">
        <f ca="1">IF($A195-M$3&lt;2,0,OFFSET('FPSO1 Base'!M192,-'FPSO1 Otim'!M$3,0))</f>
        <v>442.88699999999994</v>
      </c>
      <c r="N195" s="19">
        <f ca="1">IF($A195-N$3&lt;2,0,OFFSET('FPSO1 Base'!N192,-'FPSO1 Otim'!N$3,0))</f>
        <v>51.222787290900548</v>
      </c>
      <c r="O195" s="19">
        <f ca="1">IF($A195-O$3&lt;2,0,OFFSET('FPSO1 Base'!O192,-'FPSO1 Otim'!O$3,0))</f>
        <v>488.226</v>
      </c>
      <c r="P195" s="19">
        <f ca="1">IF($A195-P$3&lt;2,0,OFFSET('FPSO1 Base'!P192,-'FPSO1 Otim'!P$3,0))</f>
        <v>215.12549999999999</v>
      </c>
      <c r="Q195" s="19">
        <f ca="1">IF($A195-Q$3&lt;2,0,OFFSET('FPSO1 Base'!Q192,-'FPSO1 Otim'!Q$3,0))</f>
        <v>414.255</v>
      </c>
      <c r="R195" s="19">
        <f ca="1">IF($A195-R$3&lt;2,0,OFFSET('FPSO1 Base'!R192,-'FPSO1 Otim'!R$3,0))</f>
        <v>90.912201936401701</v>
      </c>
      <c r="S195" s="19">
        <f ca="1">IF($A195-S$3&lt;2,0,OFFSET('FPSO1 Base'!S192,-'FPSO1 Otim'!S$3,0))</f>
        <v>420.38850000000002</v>
      </c>
      <c r="T195" s="19">
        <f ca="1">IF($A195-T$3&lt;2,0,OFFSET('FPSO1 Base'!T192,-'FPSO1 Otim'!T$3,0))</f>
        <v>625.36649999999997</v>
      </c>
      <c r="U195" s="19">
        <f ca="1">IF($A195-U$3&lt;2,0,OFFSET('FPSO1 Base'!U192,-'FPSO1 Otim'!U$3,0))</f>
        <v>570.33600000000001</v>
      </c>
      <c r="V195" s="19">
        <f ca="1">IF($A195-V$3&lt;2,0,OFFSET('FPSO1 Base'!V192,-'FPSO1 Otim'!V$3,0))</f>
        <v>571.01549999999997</v>
      </c>
      <c r="W195" s="19">
        <f ca="1">IF($A195-W$3&lt;2,0,OFFSET('FPSO1 Base'!W192,-'FPSO1 Otim'!W$3,0))</f>
        <v>274.60050000000001</v>
      </c>
      <c r="X195" s="19">
        <f ca="1">IF($A195-X$3&lt;2,0,OFFSET('FPSO1 Base'!X192,-'FPSO1 Otim'!X$3,0))</f>
        <v>1001.9250000000001</v>
      </c>
      <c r="Y195" s="19">
        <f ca="1">IF($A195-Y$3&lt;2,0,OFFSET('FPSO1 Base'!Y192,-'FPSO1 Otim'!Y$3,0))</f>
        <v>497.75850000000003</v>
      </c>
      <c r="Z195" s="19">
        <f ca="1">IF($A195-Z$3&lt;2,0,OFFSET('FPSO1 Base'!Z192,-'FPSO1 Otim'!Z$3,0))</f>
        <v>567</v>
      </c>
      <c r="AA195" s="20">
        <v>15000</v>
      </c>
      <c r="AB195" s="19">
        <f t="shared" ca="1" si="10"/>
        <v>11051.111489227302</v>
      </c>
      <c r="AC195" s="20">
        <f t="shared" ca="1" si="11"/>
        <v>3948.8885107726983</v>
      </c>
      <c r="AD195" s="19">
        <f t="shared" ca="1" si="12"/>
        <v>2302.6422736621071</v>
      </c>
    </row>
    <row r="196" spans="1:30" x14ac:dyDescent="0.25">
      <c r="A196" s="19">
        <v>192</v>
      </c>
      <c r="B196" s="31">
        <v>51441</v>
      </c>
      <c r="C196" s="19">
        <f ca="1">IF($A196-C$3&lt;2,0,OFFSET('FPSO1 Base'!C193,-'FPSO1 Otim'!C$3,0))</f>
        <v>1257.519</v>
      </c>
      <c r="D196" s="19">
        <f ca="1">IF($A196-D$3&lt;2,0,OFFSET('FPSO1 Base'!D193,-'FPSO1 Otim'!D$3,0))</f>
        <v>180.696</v>
      </c>
      <c r="E196" s="19">
        <f ca="1">IF($A196-E$3&lt;2,0,OFFSET('FPSO1 Base'!E193,-'FPSO1 Otim'!E$3,0))</f>
        <v>483.92399999999998</v>
      </c>
      <c r="F196" s="19">
        <f ca="1">IF($A196-F$3&lt;2,0,OFFSET('FPSO1 Base'!F193,-'FPSO1 Otim'!F$3,0))</f>
        <v>544.41300000000001</v>
      </c>
      <c r="G196" s="19">
        <f ca="1">IF($A196-G$3&lt;2,0,OFFSET('FPSO1 Base'!G193,-'FPSO1 Otim'!G$3,0))</f>
        <v>173.7285</v>
      </c>
      <c r="H196" s="19">
        <f ca="1">IF($A196-H$3&lt;2,0,OFFSET('FPSO1 Base'!H193,-'FPSO1 Otim'!H$3,0))</f>
        <v>661.57349999999997</v>
      </c>
      <c r="I196" s="19">
        <f ca="1">IF($A196-I$3&lt;2,0,OFFSET('FPSO1 Base'!I193,-'FPSO1 Otim'!I$3,0))</f>
        <v>498.96749999999997</v>
      </c>
      <c r="J196" s="19">
        <f ca="1">IF($A196-J$3&lt;2,0,OFFSET('FPSO1 Base'!J193,-'FPSO1 Otim'!J$3,0))</f>
        <v>286.77449999999999</v>
      </c>
      <c r="K196" s="19">
        <f ca="1">IF($A196-K$3&lt;2,0,OFFSET('FPSO1 Base'!K193,-'FPSO1 Otim'!K$3,0))</f>
        <v>313.149</v>
      </c>
      <c r="L196" s="19">
        <f ca="1">IF($A196-L$3&lt;2,0,OFFSET('FPSO1 Base'!L193,-'FPSO1 Otim'!L$3,0))</f>
        <v>402.714</v>
      </c>
      <c r="M196" s="19">
        <f ca="1">IF($A196-M$3&lt;2,0,OFFSET('FPSO1 Base'!M193,-'FPSO1 Otim'!M$3,0))</f>
        <v>440.16300000000001</v>
      </c>
      <c r="N196" s="19">
        <f ca="1">IF($A196-N$3&lt;2,0,OFFSET('FPSO1 Base'!N193,-'FPSO1 Otim'!N$3,0))</f>
        <v>50.71055941799154</v>
      </c>
      <c r="O196" s="19">
        <f ca="1">IF($A196-O$3&lt;2,0,OFFSET('FPSO1 Base'!O193,-'FPSO1 Otim'!O$3,0))</f>
        <v>484.63350000000003</v>
      </c>
      <c r="P196" s="19">
        <f ca="1">IF($A196-P$3&lt;2,0,OFFSET('FPSO1 Base'!P193,-'FPSO1 Otim'!P$3,0))</f>
        <v>214.137</v>
      </c>
      <c r="Q196" s="19">
        <f ca="1">IF($A196-Q$3&lt;2,0,OFFSET('FPSO1 Base'!Q193,-'FPSO1 Otim'!Q$3,0))</f>
        <v>413.649</v>
      </c>
      <c r="R196" s="19">
        <f ca="1">IF($A196-R$3&lt;2,0,OFFSET('FPSO1 Base'!R193,-'FPSO1 Otim'!R$3,0))</f>
        <v>90.003079917037681</v>
      </c>
      <c r="S196" s="19">
        <f ca="1">IF($A196-S$3&lt;2,0,OFFSET('FPSO1 Base'!S193,-'FPSO1 Otim'!S$3,0))</f>
        <v>421.63350000000003</v>
      </c>
      <c r="T196" s="19">
        <f ca="1">IF($A196-T$3&lt;2,0,OFFSET('FPSO1 Base'!T193,-'FPSO1 Otim'!T$3,0))</f>
        <v>624.20699999999999</v>
      </c>
      <c r="U196" s="19">
        <f ca="1">IF($A196-U$3&lt;2,0,OFFSET('FPSO1 Base'!U193,-'FPSO1 Otim'!U$3,0))</f>
        <v>568.74149999999997</v>
      </c>
      <c r="V196" s="19">
        <f ca="1">IF($A196-V$3&lt;2,0,OFFSET('FPSO1 Base'!V193,-'FPSO1 Otim'!V$3,0))</f>
        <v>567.04950000000008</v>
      </c>
      <c r="W196" s="19">
        <f ca="1">IF($A196-W$3&lt;2,0,OFFSET('FPSO1 Base'!W193,-'FPSO1 Otim'!W$3,0))</f>
        <v>273.94349999999997</v>
      </c>
      <c r="X196" s="19">
        <f ca="1">IF($A196-X$3&lt;2,0,OFFSET('FPSO1 Base'!X193,-'FPSO1 Otim'!X$3,0))</f>
        <v>998.61299999999994</v>
      </c>
      <c r="Y196" s="19">
        <f ca="1">IF($A196-Y$3&lt;2,0,OFFSET('FPSO1 Base'!Y193,-'FPSO1 Otim'!Y$3,0))</f>
        <v>497.27549999999997</v>
      </c>
      <c r="Z196" s="19">
        <f ca="1">IF($A196-Z$3&lt;2,0,OFFSET('FPSO1 Base'!Z193,-'FPSO1 Otim'!Z$3,0))</f>
        <v>563.85450000000003</v>
      </c>
      <c r="AA196" s="20">
        <v>15000</v>
      </c>
      <c r="AB196" s="19">
        <f t="shared" ca="1" si="10"/>
        <v>11012.073139335027</v>
      </c>
      <c r="AC196" s="20">
        <f t="shared" ca="1" si="11"/>
        <v>3987.926860664973</v>
      </c>
      <c r="AD196" s="19">
        <f t="shared" ca="1" si="12"/>
        <v>2275.5452505344765</v>
      </c>
    </row>
    <row r="197" spans="1:30" x14ac:dyDescent="0.25">
      <c r="A197" s="19">
        <v>193</v>
      </c>
      <c r="B197" s="31">
        <v>51471</v>
      </c>
      <c r="C197" s="19">
        <f ca="1">IF($A197-C$3&lt;2,0,OFFSET('FPSO1 Base'!C194,-'FPSO1 Otim'!C$3,0))</f>
        <v>1255.914</v>
      </c>
      <c r="D197" s="19">
        <f ca="1">IF($A197-D$3&lt;2,0,OFFSET('FPSO1 Base'!D194,-'FPSO1 Otim'!D$3,0))</f>
        <v>179.553</v>
      </c>
      <c r="E197" s="19">
        <f ca="1">IF($A197-E$3&lt;2,0,OFFSET('FPSO1 Base'!E194,-'FPSO1 Otim'!E$3,0))</f>
        <v>482.298</v>
      </c>
      <c r="F197" s="19">
        <f ca="1">IF($A197-F$3&lt;2,0,OFFSET('FPSO1 Base'!F194,-'FPSO1 Otim'!F$3,0))</f>
        <v>540.03600000000006</v>
      </c>
      <c r="G197" s="19">
        <f ca="1">IF($A197-G$3&lt;2,0,OFFSET('FPSO1 Base'!G194,-'FPSO1 Otim'!G$3,0))</f>
        <v>171.6465</v>
      </c>
      <c r="H197" s="19">
        <f ca="1">IF($A197-H$3&lt;2,0,OFFSET('FPSO1 Base'!H194,-'FPSO1 Otim'!H$3,0))</f>
        <v>660.44399999999996</v>
      </c>
      <c r="I197" s="19">
        <f ca="1">IF($A197-I$3&lt;2,0,OFFSET('FPSO1 Base'!I194,-'FPSO1 Otim'!I$3,0))</f>
        <v>498.07500000000005</v>
      </c>
      <c r="J197" s="19">
        <f ca="1">IF($A197-J$3&lt;2,0,OFFSET('FPSO1 Base'!J194,-'FPSO1 Otim'!J$3,0))</f>
        <v>286.33050000000003</v>
      </c>
      <c r="K197" s="19">
        <f ca="1">IF($A197-K$3&lt;2,0,OFFSET('FPSO1 Base'!K194,-'FPSO1 Otim'!K$3,0))</f>
        <v>311.39999999999998</v>
      </c>
      <c r="L197" s="19">
        <f ca="1">IF($A197-L$3&lt;2,0,OFFSET('FPSO1 Base'!L194,-'FPSO1 Otim'!L$3,0))</f>
        <v>400.78199999999998</v>
      </c>
      <c r="M197" s="19">
        <f ca="1">IF($A197-M$3&lt;2,0,OFFSET('FPSO1 Base'!M194,-'FPSO1 Otim'!M$3,0))</f>
        <v>437.673</v>
      </c>
      <c r="N197" s="19">
        <f ca="1">IF($A197-N$3&lt;2,0,OFFSET('FPSO1 Base'!N194,-'FPSO1 Otim'!N$3,0))</f>
        <v>50.203453823811621</v>
      </c>
      <c r="O197" s="19">
        <f ca="1">IF($A197-O$3&lt;2,0,OFFSET('FPSO1 Base'!O194,-'FPSO1 Otim'!O$3,0))</f>
        <v>481.71749999999997</v>
      </c>
      <c r="P197" s="19">
        <f ca="1">IF($A197-P$3&lt;2,0,OFFSET('FPSO1 Base'!P194,-'FPSO1 Otim'!P$3,0))</f>
        <v>213.10050000000001</v>
      </c>
      <c r="Q197" s="19">
        <f ca="1">IF($A197-Q$3&lt;2,0,OFFSET('FPSO1 Base'!Q194,-'FPSO1 Otim'!Q$3,0))</f>
        <v>412.91249999999997</v>
      </c>
      <c r="R197" s="19">
        <f ca="1">IF($A197-R$3&lt;2,0,OFFSET('FPSO1 Base'!R194,-'FPSO1 Otim'!R$3,0))</f>
        <v>89.1030491178673</v>
      </c>
      <c r="S197" s="19">
        <f ca="1">IF($A197-S$3&lt;2,0,OFFSET('FPSO1 Base'!S194,-'FPSO1 Otim'!S$3,0))</f>
        <v>422.72550000000001</v>
      </c>
      <c r="T197" s="19">
        <f ca="1">IF($A197-T$3&lt;2,0,OFFSET('FPSO1 Base'!T194,-'FPSO1 Otim'!T$3,0))</f>
        <v>623.23800000000006</v>
      </c>
      <c r="U197" s="19">
        <f ca="1">IF($A197-U$3&lt;2,0,OFFSET('FPSO1 Base'!U194,-'FPSO1 Otim'!U$3,0))</f>
        <v>567.12450000000001</v>
      </c>
      <c r="V197" s="19">
        <f ca="1">IF($A197-V$3&lt;2,0,OFFSET('FPSO1 Base'!V194,-'FPSO1 Otim'!V$3,0))</f>
        <v>563.61300000000006</v>
      </c>
      <c r="W197" s="19">
        <f ca="1">IF($A197-W$3&lt;2,0,OFFSET('FPSO1 Base'!W194,-'FPSO1 Otim'!W$3,0))</f>
        <v>273.303</v>
      </c>
      <c r="X197" s="19">
        <f ca="1">IF($A197-X$3&lt;2,0,OFFSET('FPSO1 Base'!X194,-'FPSO1 Otim'!X$3,0))</f>
        <v>994.9994999999999</v>
      </c>
      <c r="Y197" s="19">
        <f ca="1">IF($A197-Y$3&lt;2,0,OFFSET('FPSO1 Base'!Y194,-'FPSO1 Otim'!Y$3,0))</f>
        <v>496.58399999999995</v>
      </c>
      <c r="Z197" s="19">
        <f ca="1">IF($A197-Z$3&lt;2,0,OFFSET('FPSO1 Base'!Z194,-'FPSO1 Otim'!Z$3,0))</f>
        <v>560.51250000000005</v>
      </c>
      <c r="AA197" s="20">
        <v>15000</v>
      </c>
      <c r="AB197" s="19">
        <f t="shared" ca="1" si="10"/>
        <v>10973.289002941679</v>
      </c>
      <c r="AC197" s="20">
        <f t="shared" ca="1" si="11"/>
        <v>4026.7109970583206</v>
      </c>
      <c r="AD197" s="19">
        <f t="shared" ca="1" si="12"/>
        <v>2248.7909353000546</v>
      </c>
    </row>
    <row r="198" spans="1:30" x14ac:dyDescent="0.25">
      <c r="A198" s="19">
        <v>194</v>
      </c>
      <c r="B198" s="31">
        <v>51502</v>
      </c>
      <c r="C198" s="19">
        <f ca="1">IF($A198-C$3&lt;2,0,OFFSET('FPSO1 Base'!C195,-'FPSO1 Otim'!C$3,0))</f>
        <v>1254.3075000000001</v>
      </c>
      <c r="D198" s="19">
        <f ca="1">IF($A198-D$3&lt;2,0,OFFSET('FPSO1 Base'!D195,-'FPSO1 Otim'!D$3,0))</f>
        <v>178.6515</v>
      </c>
      <c r="E198" s="19">
        <f ca="1">IF($A198-E$3&lt;2,0,OFFSET('FPSO1 Base'!E195,-'FPSO1 Otim'!E$3,0))</f>
        <v>480.40049999999997</v>
      </c>
      <c r="F198" s="19">
        <f ca="1">IF($A198-F$3&lt;2,0,OFFSET('FPSO1 Base'!F195,-'FPSO1 Otim'!F$3,0))</f>
        <v>535.42499999999995</v>
      </c>
      <c r="G198" s="19">
        <f ca="1">IF($A198-G$3&lt;2,0,OFFSET('FPSO1 Base'!G195,-'FPSO1 Otim'!G$3,0))</f>
        <v>170.83199999999999</v>
      </c>
      <c r="H198" s="19">
        <f ca="1">IF($A198-H$3&lt;2,0,OFFSET('FPSO1 Base'!H195,-'FPSO1 Otim'!H$3,0))</f>
        <v>659.31449999999995</v>
      </c>
      <c r="I198" s="19">
        <f ca="1">IF($A198-I$3&lt;2,0,OFFSET('FPSO1 Base'!I195,-'FPSO1 Otim'!I$3,0))</f>
        <v>497.274</v>
      </c>
      <c r="J198" s="19">
        <f ca="1">IF($A198-J$3&lt;2,0,OFFSET('FPSO1 Base'!J195,-'FPSO1 Otim'!J$3,0))</f>
        <v>285.774</v>
      </c>
      <c r="K198" s="19">
        <f ca="1">IF($A198-K$3&lt;2,0,OFFSET('FPSO1 Base'!K195,-'FPSO1 Otim'!K$3,0))</f>
        <v>309.762</v>
      </c>
      <c r="L198" s="19">
        <f ca="1">IF($A198-L$3&lt;2,0,OFFSET('FPSO1 Base'!L195,-'FPSO1 Otim'!L$3,0))</f>
        <v>399.22950000000003</v>
      </c>
      <c r="M198" s="19">
        <f ca="1">IF($A198-M$3&lt;2,0,OFFSET('FPSO1 Base'!M195,-'FPSO1 Otim'!M$3,0))</f>
        <v>434.98800000000006</v>
      </c>
      <c r="N198" s="19">
        <f ca="1">IF($A198-N$3&lt;2,0,OFFSET('FPSO1 Base'!N195,-'FPSO1 Otim'!N$3,0))</f>
        <v>49.701419285573508</v>
      </c>
      <c r="O198" s="19">
        <f ca="1">IF($A198-O$3&lt;2,0,OFFSET('FPSO1 Base'!O195,-'FPSO1 Otim'!O$3,0))</f>
        <v>478.42499999999995</v>
      </c>
      <c r="P198" s="19">
        <f ca="1">IF($A198-P$3&lt;2,0,OFFSET('FPSO1 Base'!P195,-'FPSO1 Otim'!P$3,0))</f>
        <v>212.12850000000003</v>
      </c>
      <c r="Q198" s="19">
        <f ca="1">IF($A198-Q$3&lt;2,0,OFFSET('FPSO1 Base'!Q195,-'FPSO1 Otim'!Q$3,0))</f>
        <v>412.27049999999997</v>
      </c>
      <c r="R198" s="19">
        <f ca="1">IF($A198-R$3&lt;2,0,OFFSET('FPSO1 Base'!R195,-'FPSO1 Otim'!R$3,0))</f>
        <v>88.212018626688632</v>
      </c>
      <c r="S198" s="19">
        <f ca="1">IF($A198-S$3&lt;2,0,OFFSET('FPSO1 Base'!S195,-'FPSO1 Otim'!S$3,0))</f>
        <v>423.22950000000003</v>
      </c>
      <c r="T198" s="19">
        <f ca="1">IF($A198-T$3&lt;2,0,OFFSET('FPSO1 Base'!T195,-'FPSO1 Otim'!T$3,0))</f>
        <v>622.13699999999994</v>
      </c>
      <c r="U198" s="19">
        <f ca="1">IF($A198-U$3&lt;2,0,OFFSET('FPSO1 Base'!U195,-'FPSO1 Otim'!U$3,0))</f>
        <v>565.69350000000009</v>
      </c>
      <c r="V198" s="19">
        <f ca="1">IF($A198-V$3&lt;2,0,OFFSET('FPSO1 Base'!V195,-'FPSO1 Otim'!V$3,0))</f>
        <v>559.84950000000003</v>
      </c>
      <c r="W198" s="19">
        <f ca="1">IF($A198-W$3&lt;2,0,OFFSET('FPSO1 Base'!W195,-'FPSO1 Otim'!W$3,0))</f>
        <v>272.625</v>
      </c>
      <c r="X198" s="19">
        <f ca="1">IF($A198-X$3&lt;2,0,OFFSET('FPSO1 Base'!X195,-'FPSO1 Otim'!X$3,0))</f>
        <v>991.572</v>
      </c>
      <c r="Y198" s="19">
        <f ca="1">IF($A198-Y$3&lt;2,0,OFFSET('FPSO1 Base'!Y195,-'FPSO1 Otim'!Y$3,0))</f>
        <v>495.81000000000006</v>
      </c>
      <c r="Z198" s="19">
        <f ca="1">IF($A198-Z$3&lt;2,0,OFFSET('FPSO1 Base'!Z195,-'FPSO1 Otim'!Z$3,0))</f>
        <v>557.37149999999997</v>
      </c>
      <c r="AA198" s="20">
        <v>15000</v>
      </c>
      <c r="AB198" s="19">
        <f t="shared" ca="1" si="10"/>
        <v>10934.98393791226</v>
      </c>
      <c r="AC198" s="20">
        <f t="shared" ca="1" si="11"/>
        <v>4065.0160620877396</v>
      </c>
      <c r="AD198" s="19">
        <f t="shared" ca="1" si="12"/>
        <v>2222.4207835792427</v>
      </c>
    </row>
    <row r="199" spans="1:30" x14ac:dyDescent="0.25">
      <c r="A199" s="19">
        <v>195</v>
      </c>
      <c r="B199" s="31">
        <v>51533</v>
      </c>
      <c r="C199" s="19">
        <f ca="1">IF($A199-C$3&lt;2,0,OFFSET('FPSO1 Base'!C196,-'FPSO1 Otim'!C$3,0))</f>
        <v>1252.8344999999999</v>
      </c>
      <c r="D199" s="19">
        <f ca="1">IF($A199-D$3&lt;2,0,OFFSET('FPSO1 Base'!D196,-'FPSO1 Otim'!D$3,0))</f>
        <v>177.79500000000002</v>
      </c>
      <c r="E199" s="19">
        <f ca="1">IF($A199-E$3&lt;2,0,OFFSET('FPSO1 Base'!E196,-'FPSO1 Otim'!E$3,0))</f>
        <v>478.66949999999997</v>
      </c>
      <c r="F199" s="19">
        <f ca="1">IF($A199-F$3&lt;2,0,OFFSET('FPSO1 Base'!F196,-'FPSO1 Otim'!F$3,0))</f>
        <v>531.12149999999997</v>
      </c>
      <c r="G199" s="19">
        <f ca="1">IF($A199-G$3&lt;2,0,OFFSET('FPSO1 Base'!G196,-'FPSO1 Otim'!G$3,0))</f>
        <v>170.8905</v>
      </c>
      <c r="H199" s="19">
        <f ca="1">IF($A199-H$3&lt;2,0,OFFSET('FPSO1 Base'!H196,-'FPSO1 Otim'!H$3,0))</f>
        <v>658.16399999999999</v>
      </c>
      <c r="I199" s="19">
        <f ca="1">IF($A199-I$3&lt;2,0,OFFSET('FPSO1 Base'!I196,-'FPSO1 Otim'!I$3,0))</f>
        <v>496.42499999999995</v>
      </c>
      <c r="J199" s="19">
        <f ca="1">IF($A199-J$3&lt;2,0,OFFSET('FPSO1 Base'!J196,-'FPSO1 Otim'!J$3,0))</f>
        <v>285.1755</v>
      </c>
      <c r="K199" s="19">
        <f ca="1">IF($A199-K$3&lt;2,0,OFFSET('FPSO1 Base'!K196,-'FPSO1 Otim'!K$3,0))</f>
        <v>307.96199999999999</v>
      </c>
      <c r="L199" s="19">
        <f ca="1">IF($A199-L$3&lt;2,0,OFFSET('FPSO1 Base'!L196,-'FPSO1 Otim'!L$3,0))</f>
        <v>397.42499999999995</v>
      </c>
      <c r="M199" s="19">
        <f ca="1">IF($A199-M$3&lt;2,0,OFFSET('FPSO1 Base'!M196,-'FPSO1 Otim'!M$3,0))</f>
        <v>432.45899999999995</v>
      </c>
      <c r="N199" s="19">
        <f ca="1">IF($A199-N$3&lt;2,0,OFFSET('FPSO1 Base'!N196,-'FPSO1 Otim'!N$3,0))</f>
        <v>49.204405092717771</v>
      </c>
      <c r="O199" s="19">
        <f ca="1">IF($A199-O$3&lt;2,0,OFFSET('FPSO1 Base'!O196,-'FPSO1 Otim'!O$3,0))</f>
        <v>475.428</v>
      </c>
      <c r="P199" s="19">
        <f ca="1">IF($A199-P$3&lt;2,0,OFFSET('FPSO1 Base'!P196,-'FPSO1 Otim'!P$3,0))</f>
        <v>211.185</v>
      </c>
      <c r="Q199" s="19">
        <f ca="1">IF($A199-Q$3&lt;2,0,OFFSET('FPSO1 Base'!Q196,-'FPSO1 Otim'!Q$3,0))</f>
        <v>411.53700000000003</v>
      </c>
      <c r="R199" s="19">
        <f ca="1">IF($A199-R$3&lt;2,0,OFFSET('FPSO1 Base'!R196,-'FPSO1 Otim'!R$3,0))</f>
        <v>87.329898440421744</v>
      </c>
      <c r="S199" s="19">
        <f ca="1">IF($A199-S$3&lt;2,0,OFFSET('FPSO1 Base'!S196,-'FPSO1 Otim'!S$3,0))</f>
        <v>423.47550000000001</v>
      </c>
      <c r="T199" s="19">
        <f ca="1">IF($A199-T$3&lt;2,0,OFFSET('FPSO1 Base'!T196,-'FPSO1 Otim'!T$3,0))</f>
        <v>621.15750000000003</v>
      </c>
      <c r="U199" s="19">
        <f ca="1">IF($A199-U$3&lt;2,0,OFFSET('FPSO1 Base'!U196,-'FPSO1 Otim'!U$3,0))</f>
        <v>564.12450000000001</v>
      </c>
      <c r="V199" s="19">
        <f ca="1">IF($A199-V$3&lt;2,0,OFFSET('FPSO1 Base'!V196,-'FPSO1 Otim'!V$3,0))</f>
        <v>556.30649999999991</v>
      </c>
      <c r="W199" s="19">
        <f ca="1">IF($A199-W$3&lt;2,0,OFFSET('FPSO1 Base'!W196,-'FPSO1 Otim'!W$3,0))</f>
        <v>272.03249999999997</v>
      </c>
      <c r="X199" s="19">
        <f ca="1">IF($A199-X$3&lt;2,0,OFFSET('FPSO1 Base'!X196,-'FPSO1 Otim'!X$3,0))</f>
        <v>988.35450000000003</v>
      </c>
      <c r="Y199" s="19">
        <f ca="1">IF($A199-Y$3&lt;2,0,OFFSET('FPSO1 Base'!Y196,-'FPSO1 Otim'!Y$3,0))</f>
        <v>494.96250000000003</v>
      </c>
      <c r="Z199" s="19">
        <f ca="1">IF($A199-Z$3&lt;2,0,OFFSET('FPSO1 Base'!Z196,-'FPSO1 Otim'!Z$3,0))</f>
        <v>553.98749999999995</v>
      </c>
      <c r="AA199" s="20">
        <v>15000</v>
      </c>
      <c r="AB199" s="19">
        <f t="shared" ref="AB199:AB262" ca="1" si="13">SUM(C199:Z199)</f>
        <v>10898.006803533139</v>
      </c>
      <c r="AC199" s="20">
        <f t="shared" ref="AC199:AC262" ca="1" si="14">AA199-AB199</f>
        <v>4101.9931964668613</v>
      </c>
      <c r="AD199" s="19">
        <f t="shared" ref="AD199:AD262" ca="1" si="15">AB199/(1+$AD$2)^(A199-2)</f>
        <v>2196.6005641843908</v>
      </c>
    </row>
    <row r="200" spans="1:30" x14ac:dyDescent="0.25">
      <c r="A200" s="19">
        <v>196</v>
      </c>
      <c r="B200" s="31">
        <v>51561</v>
      </c>
      <c r="C200" s="19">
        <f ca="1">IF($A200-C$3&lt;2,0,OFFSET('FPSO1 Base'!C197,-'FPSO1 Otim'!C$3,0))</f>
        <v>1251.2130000000002</v>
      </c>
      <c r="D200" s="19">
        <f ca="1">IF($A200-D$3&lt;2,0,OFFSET('FPSO1 Base'!D197,-'FPSO1 Otim'!D$3,0))</f>
        <v>176.86799999999999</v>
      </c>
      <c r="E200" s="19">
        <f ca="1">IF($A200-E$3&lt;2,0,OFFSET('FPSO1 Base'!E197,-'FPSO1 Otim'!E$3,0))</f>
        <v>476.76299999999998</v>
      </c>
      <c r="F200" s="19">
        <f ca="1">IF($A200-F$3&lt;2,0,OFFSET('FPSO1 Base'!F197,-'FPSO1 Otim'!F$3,0))</f>
        <v>527.11649999999997</v>
      </c>
      <c r="G200" s="19">
        <f ca="1">IF($A200-G$3&lt;2,0,OFFSET('FPSO1 Base'!G197,-'FPSO1 Otim'!G$3,0))</f>
        <v>170.52</v>
      </c>
      <c r="H200" s="19">
        <f ca="1">IF($A200-H$3&lt;2,0,OFFSET('FPSO1 Base'!H197,-'FPSO1 Otim'!H$3,0))</f>
        <v>657.07950000000005</v>
      </c>
      <c r="I200" s="19">
        <f ca="1">IF($A200-I$3&lt;2,0,OFFSET('FPSO1 Base'!I197,-'FPSO1 Otim'!I$3,0))</f>
        <v>495.53250000000003</v>
      </c>
      <c r="J200" s="19">
        <f ca="1">IF($A200-J$3&lt;2,0,OFFSET('FPSO1 Base'!J197,-'FPSO1 Otim'!J$3,0))</f>
        <v>284.613</v>
      </c>
      <c r="K200" s="19">
        <f ca="1">IF($A200-K$3&lt;2,0,OFFSET('FPSO1 Base'!K197,-'FPSO1 Otim'!K$3,0))</f>
        <v>306.291</v>
      </c>
      <c r="L200" s="19">
        <f ca="1">IF($A200-L$3&lt;2,0,OFFSET('FPSO1 Base'!L197,-'FPSO1 Otim'!L$3,0))</f>
        <v>395.80649999999997</v>
      </c>
      <c r="M200" s="19">
        <f ca="1">IF($A200-M$3&lt;2,0,OFFSET('FPSO1 Base'!M197,-'FPSO1 Otim'!M$3,0))</f>
        <v>430.101</v>
      </c>
      <c r="N200" s="19">
        <f ca="1">IF($A200-N$3&lt;2,0,OFFSET('FPSO1 Base'!N197,-'FPSO1 Otim'!N$3,0))</f>
        <v>48.712361041790594</v>
      </c>
      <c r="O200" s="19">
        <f ca="1">IF($A200-O$3&lt;2,0,OFFSET('FPSO1 Base'!O197,-'FPSO1 Otim'!O$3,0))</f>
        <v>472.17450000000002</v>
      </c>
      <c r="P200" s="19">
        <f ca="1">IF($A200-P$3&lt;2,0,OFFSET('FPSO1 Base'!P197,-'FPSO1 Otim'!P$3,0))</f>
        <v>210.1035</v>
      </c>
      <c r="Q200" s="19">
        <f ca="1">IF($A200-Q$3&lt;2,0,OFFSET('FPSO1 Base'!Q197,-'FPSO1 Otim'!Q$3,0))</f>
        <v>410.85450000000003</v>
      </c>
      <c r="R200" s="19">
        <f ca="1">IF($A200-R$3&lt;2,0,OFFSET('FPSO1 Base'!R197,-'FPSO1 Otim'!R$3,0))</f>
        <v>86.456599456017528</v>
      </c>
      <c r="S200" s="19">
        <f ca="1">IF($A200-S$3&lt;2,0,OFFSET('FPSO1 Base'!S197,-'FPSO1 Otim'!S$3,0))</f>
        <v>423.411</v>
      </c>
      <c r="T200" s="19">
        <f ca="1">IF($A200-T$3&lt;2,0,OFFSET('FPSO1 Base'!T197,-'FPSO1 Otim'!T$3,0))</f>
        <v>620.07449999999994</v>
      </c>
      <c r="U200" s="19">
        <f ca="1">IF($A200-U$3&lt;2,0,OFFSET('FPSO1 Base'!U197,-'FPSO1 Otim'!U$3,0))</f>
        <v>562.62149999999997</v>
      </c>
      <c r="V200" s="19">
        <f ca="1">IF($A200-V$3&lt;2,0,OFFSET('FPSO1 Base'!V197,-'FPSO1 Otim'!V$3,0))</f>
        <v>552.96749999999997</v>
      </c>
      <c r="W200" s="19">
        <f ca="1">IF($A200-W$3&lt;2,0,OFFSET('FPSO1 Base'!W197,-'FPSO1 Otim'!W$3,0))</f>
        <v>271.37549999999999</v>
      </c>
      <c r="X200" s="19">
        <f ca="1">IF($A200-X$3&lt;2,0,OFFSET('FPSO1 Base'!X197,-'FPSO1 Otim'!X$3,0))</f>
        <v>984.5625</v>
      </c>
      <c r="Y200" s="19">
        <f ca="1">IF($A200-Y$3&lt;2,0,OFFSET('FPSO1 Base'!Y197,-'FPSO1 Otim'!Y$3,0))</f>
        <v>494.11649999999997</v>
      </c>
      <c r="Z200" s="19">
        <f ca="1">IF($A200-Z$3&lt;2,0,OFFSET('FPSO1 Base'!Z197,-'FPSO1 Otim'!Z$3,0))</f>
        <v>550.75350000000003</v>
      </c>
      <c r="AA200" s="20">
        <v>15000</v>
      </c>
      <c r="AB200" s="19">
        <f t="shared" ca="1" si="13"/>
        <v>10860.087960497809</v>
      </c>
      <c r="AC200" s="20">
        <f t="shared" ca="1" si="14"/>
        <v>4139.912039502191</v>
      </c>
      <c r="AD200" s="19">
        <f t="shared" ca="1" si="15"/>
        <v>2170.8670889776454</v>
      </c>
    </row>
    <row r="201" spans="1:30" x14ac:dyDescent="0.25">
      <c r="A201" s="19">
        <v>197</v>
      </c>
      <c r="B201" s="31">
        <v>51592</v>
      </c>
      <c r="C201" s="19">
        <f ca="1">IF($A201-C$3&lt;2,0,OFFSET('FPSO1 Base'!C198,-'FPSO1 Otim'!C$3,0))</f>
        <v>1249.56</v>
      </c>
      <c r="D201" s="19">
        <f ca="1">IF($A201-D$3&lt;2,0,OFFSET('FPSO1 Base'!D198,-'FPSO1 Otim'!D$3,0))</f>
        <v>175.935</v>
      </c>
      <c r="E201" s="19">
        <f ca="1">IF($A201-E$3&lt;2,0,OFFSET('FPSO1 Base'!E198,-'FPSO1 Otim'!E$3,0))</f>
        <v>474.97950000000003</v>
      </c>
      <c r="F201" s="19">
        <f ca="1">IF($A201-F$3&lt;2,0,OFFSET('FPSO1 Base'!F198,-'FPSO1 Otim'!F$3,0))</f>
        <v>522.4815000000001</v>
      </c>
      <c r="G201" s="19">
        <f ca="1">IF($A201-G$3&lt;2,0,OFFSET('FPSO1 Base'!G198,-'FPSO1 Otim'!G$3,0))</f>
        <v>169.98149999999998</v>
      </c>
      <c r="H201" s="19">
        <f ca="1">IF($A201-H$3&lt;2,0,OFFSET('FPSO1 Base'!H198,-'FPSO1 Otim'!H$3,0))</f>
        <v>655.93049999999994</v>
      </c>
      <c r="I201" s="19">
        <f ca="1">IF($A201-I$3&lt;2,0,OFFSET('FPSO1 Base'!I198,-'FPSO1 Otim'!I$3,0))</f>
        <v>494.78250000000003</v>
      </c>
      <c r="J201" s="19">
        <f ca="1">IF($A201-J$3&lt;2,0,OFFSET('FPSO1 Base'!J198,-'FPSO1 Otim'!J$3,0))</f>
        <v>284.12549999999999</v>
      </c>
      <c r="K201" s="19">
        <f ca="1">IF($A201-K$3&lt;2,0,OFFSET('FPSO1 Base'!K198,-'FPSO1 Otim'!K$3,0))</f>
        <v>304.74149999999997</v>
      </c>
      <c r="L201" s="19">
        <f ca="1">IF($A201-L$3&lt;2,0,OFFSET('FPSO1 Base'!L198,-'FPSO1 Otim'!L$3,0))</f>
        <v>394.04999999999995</v>
      </c>
      <c r="M201" s="19">
        <f ca="1">IF($A201-M$3&lt;2,0,OFFSET('FPSO1 Base'!M198,-'FPSO1 Otim'!M$3,0))</f>
        <v>427.44900000000001</v>
      </c>
      <c r="N201" s="19">
        <f ca="1">IF($A201-N$3&lt;2,0,OFFSET('FPSO1 Base'!N198,-'FPSO1 Otim'!N$3,0))</f>
        <v>48.22523743137269</v>
      </c>
      <c r="O201" s="19">
        <f ca="1">IF($A201-O$3&lt;2,0,OFFSET('FPSO1 Base'!O198,-'FPSO1 Otim'!O$3,0))</f>
        <v>469.11300000000006</v>
      </c>
      <c r="P201" s="19">
        <f ca="1">IF($A201-P$3&lt;2,0,OFFSET('FPSO1 Base'!P198,-'FPSO1 Otim'!P$3,0))</f>
        <v>209.178</v>
      </c>
      <c r="Q201" s="19">
        <f ca="1">IF($A201-Q$3&lt;2,0,OFFSET('FPSO1 Base'!Q198,-'FPSO1 Otim'!Q$3,0))</f>
        <v>410.18999999999994</v>
      </c>
      <c r="R201" s="19">
        <f ca="1">IF($A201-R$3&lt;2,0,OFFSET('FPSO1 Base'!R198,-'FPSO1 Otim'!R$3,0))</f>
        <v>85.592033461457348</v>
      </c>
      <c r="S201" s="19">
        <f ca="1">IF($A201-S$3&lt;2,0,OFFSET('FPSO1 Base'!S198,-'FPSO1 Otim'!S$3,0))</f>
        <v>423.09749999999997</v>
      </c>
      <c r="T201" s="19">
        <f ca="1">IF($A201-T$3&lt;2,0,OFFSET('FPSO1 Base'!T198,-'FPSO1 Otim'!T$3,0))</f>
        <v>619.06499999999994</v>
      </c>
      <c r="U201" s="19">
        <f ca="1">IF($A201-U$3&lt;2,0,OFFSET('FPSO1 Base'!U198,-'FPSO1 Otim'!U$3,0))</f>
        <v>561.19350000000009</v>
      </c>
      <c r="V201" s="19">
        <f ca="1">IF($A201-V$3&lt;2,0,OFFSET('FPSO1 Base'!V198,-'FPSO1 Otim'!V$3,0))</f>
        <v>549.1065000000001</v>
      </c>
      <c r="W201" s="19">
        <f ca="1">IF($A201-W$3&lt;2,0,OFFSET('FPSO1 Base'!W198,-'FPSO1 Otim'!W$3,0))</f>
        <v>270.762</v>
      </c>
      <c r="X201" s="19">
        <f ca="1">IF($A201-X$3&lt;2,0,OFFSET('FPSO1 Base'!X198,-'FPSO1 Otim'!X$3,0))</f>
        <v>981.48450000000003</v>
      </c>
      <c r="Y201" s="19">
        <f ca="1">IF($A201-Y$3&lt;2,0,OFFSET('FPSO1 Base'!Y198,-'FPSO1 Otim'!Y$3,0))</f>
        <v>493.18799999999999</v>
      </c>
      <c r="Z201" s="19">
        <f ca="1">IF($A201-Z$3&lt;2,0,OFFSET('FPSO1 Base'!Z198,-'FPSO1 Otim'!Z$3,0))</f>
        <v>547.71749999999997</v>
      </c>
      <c r="AA201" s="20">
        <v>15000</v>
      </c>
      <c r="AB201" s="19">
        <f t="shared" ca="1" si="13"/>
        <v>10821.929270892831</v>
      </c>
      <c r="AC201" s="20">
        <f t="shared" ca="1" si="14"/>
        <v>4178.0707291071685</v>
      </c>
      <c r="AD201" s="19">
        <f t="shared" ca="1" si="15"/>
        <v>2145.3613820201049</v>
      </c>
    </row>
    <row r="202" spans="1:30" x14ac:dyDescent="0.25">
      <c r="A202" s="19">
        <v>198</v>
      </c>
      <c r="B202" s="31">
        <v>51622</v>
      </c>
      <c r="C202" s="19">
        <f ca="1">IF($A202-C$3&lt;2,0,OFFSET('FPSO1 Base'!C199,-'FPSO1 Otim'!C$3,0))</f>
        <v>1247.9279999999999</v>
      </c>
      <c r="D202" s="19">
        <f ca="1">IF($A202-D$3&lt;2,0,OFFSET('FPSO1 Base'!D199,-'FPSO1 Otim'!D$3,0))</f>
        <v>175.03649999999999</v>
      </c>
      <c r="E202" s="19">
        <f ca="1">IF($A202-E$3&lt;2,0,OFFSET('FPSO1 Base'!E199,-'FPSO1 Otim'!E$3,0))</f>
        <v>473.16600000000005</v>
      </c>
      <c r="F202" s="19">
        <f ca="1">IF($A202-F$3&lt;2,0,OFFSET('FPSO1 Base'!F199,-'FPSO1 Otim'!F$3,0))</f>
        <v>518.83050000000003</v>
      </c>
      <c r="G202" s="19">
        <f ca="1">IF($A202-G$3&lt;2,0,OFFSET('FPSO1 Base'!G199,-'FPSO1 Otim'!G$3,0))</f>
        <v>169.3605</v>
      </c>
      <c r="H202" s="19">
        <f ca="1">IF($A202-H$3&lt;2,0,OFFSET('FPSO1 Base'!H199,-'FPSO1 Otim'!H$3,0))</f>
        <v>654.83249999999998</v>
      </c>
      <c r="I202" s="19">
        <f ca="1">IF($A202-I$3&lt;2,0,OFFSET('FPSO1 Base'!I199,-'FPSO1 Otim'!I$3,0))</f>
        <v>493.79400000000004</v>
      </c>
      <c r="J202" s="19">
        <f ca="1">IF($A202-J$3&lt;2,0,OFFSET('FPSO1 Base'!J199,-'FPSO1 Otim'!J$3,0))</f>
        <v>283.5</v>
      </c>
      <c r="K202" s="19">
        <f ca="1">IF($A202-K$3&lt;2,0,OFFSET('FPSO1 Base'!K199,-'FPSO1 Otim'!K$3,0))</f>
        <v>302.94900000000001</v>
      </c>
      <c r="L202" s="19">
        <f ca="1">IF($A202-L$3&lt;2,0,OFFSET('FPSO1 Base'!L199,-'FPSO1 Otim'!L$3,0))</f>
        <v>392.40750000000003</v>
      </c>
      <c r="M202" s="19">
        <f ca="1">IF($A202-M$3&lt;2,0,OFFSET('FPSO1 Base'!M199,-'FPSO1 Otim'!M$3,0))</f>
        <v>425.26199999999994</v>
      </c>
      <c r="N202" s="19">
        <f ca="1">IF($A202-N$3&lt;2,0,OFFSET('FPSO1 Base'!N199,-'FPSO1 Otim'!N$3,0))</f>
        <v>47.742985057058966</v>
      </c>
      <c r="O202" s="19">
        <f ca="1">IF($A202-O$3&lt;2,0,OFFSET('FPSO1 Base'!O199,-'FPSO1 Otim'!O$3,0))</f>
        <v>466.01550000000003</v>
      </c>
      <c r="P202" s="19">
        <f ca="1">IF($A202-P$3&lt;2,0,OFFSET('FPSO1 Base'!P199,-'FPSO1 Otim'!P$3,0))</f>
        <v>208.20000000000002</v>
      </c>
      <c r="Q202" s="19">
        <f ca="1">IF($A202-Q$3&lt;2,0,OFFSET('FPSO1 Base'!Q199,-'FPSO1 Otim'!Q$3,0))</f>
        <v>409.46250000000003</v>
      </c>
      <c r="R202" s="19">
        <f ca="1">IF($A202-R$3&lt;2,0,OFFSET('FPSO1 Base'!R199,-'FPSO1 Otim'!R$3,0))</f>
        <v>84.736113126842767</v>
      </c>
      <c r="S202" s="19">
        <f ca="1">IF($A202-S$3&lt;2,0,OFFSET('FPSO1 Base'!S199,-'FPSO1 Otim'!S$3,0))</f>
        <v>422.625</v>
      </c>
      <c r="T202" s="19">
        <f ca="1">IF($A202-T$3&lt;2,0,OFFSET('FPSO1 Base'!T199,-'FPSO1 Otim'!T$3,0))</f>
        <v>618.09749999999997</v>
      </c>
      <c r="U202" s="19">
        <f ca="1">IF($A202-U$3&lt;2,0,OFFSET('FPSO1 Base'!U199,-'FPSO1 Otim'!U$3,0))</f>
        <v>559.65000000000009</v>
      </c>
      <c r="V202" s="19">
        <f ca="1">IF($A202-V$3&lt;2,0,OFFSET('FPSO1 Base'!V199,-'FPSO1 Otim'!V$3,0))</f>
        <v>546.048</v>
      </c>
      <c r="W202" s="19">
        <f ca="1">IF($A202-W$3&lt;2,0,OFFSET('FPSO1 Base'!W199,-'FPSO1 Otim'!W$3,0))</f>
        <v>270.21750000000003</v>
      </c>
      <c r="X202" s="19">
        <f ca="1">IF($A202-X$3&lt;2,0,OFFSET('FPSO1 Base'!X199,-'FPSO1 Otim'!X$3,0))</f>
        <v>977.8755000000001</v>
      </c>
      <c r="Y202" s="19">
        <f ca="1">IF($A202-Y$3&lt;2,0,OFFSET('FPSO1 Base'!Y199,-'FPSO1 Otim'!Y$3,0))</f>
        <v>492.303</v>
      </c>
      <c r="Z202" s="19">
        <f ca="1">IF($A202-Z$3&lt;2,0,OFFSET('FPSO1 Base'!Z199,-'FPSO1 Otim'!Z$3,0))</f>
        <v>544.11149999999998</v>
      </c>
      <c r="AA202" s="20">
        <v>15000</v>
      </c>
      <c r="AB202" s="19">
        <f t="shared" ca="1" si="13"/>
        <v>10784.151598183904</v>
      </c>
      <c r="AC202" s="20">
        <f t="shared" ca="1" si="14"/>
        <v>4215.8484018160962</v>
      </c>
      <c r="AD202" s="19">
        <f t="shared" ca="1" si="15"/>
        <v>2120.203893176611</v>
      </c>
    </row>
    <row r="203" spans="1:30" x14ac:dyDescent="0.25">
      <c r="A203" s="19">
        <v>199</v>
      </c>
      <c r="B203" s="31">
        <v>51653</v>
      </c>
      <c r="C203" s="19">
        <f ca="1">IF($A203-C$3&lt;2,0,OFFSET('FPSO1 Base'!C200,-'FPSO1 Otim'!C$3,0))</f>
        <v>1246.2885000000001</v>
      </c>
      <c r="D203" s="19">
        <f ca="1">IF($A203-D$3&lt;2,0,OFFSET('FPSO1 Base'!D200,-'FPSO1 Otim'!D$3,0))</f>
        <v>174.1155</v>
      </c>
      <c r="E203" s="19">
        <f ca="1">IF($A203-E$3&lt;2,0,OFFSET('FPSO1 Base'!E200,-'FPSO1 Otim'!E$3,0))</f>
        <v>471.26250000000005</v>
      </c>
      <c r="F203" s="19">
        <f ca="1">IF($A203-F$3&lt;2,0,OFFSET('FPSO1 Base'!F200,-'FPSO1 Otim'!F$3,0))</f>
        <v>514.60050000000001</v>
      </c>
      <c r="G203" s="19">
        <f ca="1">IF($A203-G$3&lt;2,0,OFFSET('FPSO1 Base'!G200,-'FPSO1 Otim'!G$3,0))</f>
        <v>168.6885</v>
      </c>
      <c r="H203" s="19">
        <f ca="1">IF($A203-H$3&lt;2,0,OFFSET('FPSO1 Base'!H200,-'FPSO1 Otim'!H$3,0))</f>
        <v>653.72249999999997</v>
      </c>
      <c r="I203" s="19">
        <f ca="1">IF($A203-I$3&lt;2,0,OFFSET('FPSO1 Base'!I200,-'FPSO1 Otim'!I$3,0))</f>
        <v>493.01550000000003</v>
      </c>
      <c r="J203" s="19">
        <f ca="1">IF($A203-J$3&lt;2,0,OFFSET('FPSO1 Base'!J200,-'FPSO1 Otim'!J$3,0))</f>
        <v>282.94349999999997</v>
      </c>
      <c r="K203" s="19">
        <f ca="1">IF($A203-K$3&lt;2,0,OFFSET('FPSO1 Base'!K200,-'FPSO1 Otim'!K$3,0))</f>
        <v>301.44</v>
      </c>
      <c r="L203" s="19">
        <f ca="1">IF($A203-L$3&lt;2,0,OFFSET('FPSO1 Base'!L200,-'FPSO1 Otim'!L$3,0))</f>
        <v>390.786</v>
      </c>
      <c r="M203" s="19">
        <f ca="1">IF($A203-M$3&lt;2,0,OFFSET('FPSO1 Base'!M200,-'FPSO1 Otim'!M$3,0))</f>
        <v>423</v>
      </c>
      <c r="N203" s="19">
        <f ca="1">IF($A203-N$3&lt;2,0,OFFSET('FPSO1 Base'!N200,-'FPSO1 Otim'!N$3,0))</f>
        <v>47.265555206488379</v>
      </c>
      <c r="O203" s="19">
        <f ca="1">IF($A203-O$3&lt;2,0,OFFSET('FPSO1 Base'!O200,-'FPSO1 Otim'!O$3,0))</f>
        <v>462.77549999999997</v>
      </c>
      <c r="P203" s="19">
        <f ca="1">IF($A203-P$3&lt;2,0,OFFSET('FPSO1 Base'!P200,-'FPSO1 Otim'!P$3,0))</f>
        <v>207.26549999999997</v>
      </c>
      <c r="Q203" s="19">
        <f ca="1">IF($A203-Q$3&lt;2,0,OFFSET('FPSO1 Base'!Q200,-'FPSO1 Otim'!Q$3,0))</f>
        <v>408.81000000000006</v>
      </c>
      <c r="R203" s="19">
        <f ca="1">IF($A203-R$3&lt;2,0,OFFSET('FPSO1 Base'!R200,-'FPSO1 Otim'!R$3,0))</f>
        <v>83.888751995574339</v>
      </c>
      <c r="S203" s="19">
        <f ca="1">IF($A203-S$3&lt;2,0,OFFSET('FPSO1 Base'!S200,-'FPSO1 Otim'!S$3,0))</f>
        <v>422.02049999999997</v>
      </c>
      <c r="T203" s="19">
        <f ca="1">IF($A203-T$3&lt;2,0,OFFSET('FPSO1 Base'!T200,-'FPSO1 Otim'!T$3,0))</f>
        <v>617.02500000000009</v>
      </c>
      <c r="U203" s="19">
        <f ca="1">IF($A203-U$3&lt;2,0,OFFSET('FPSO1 Base'!U200,-'FPSO1 Otim'!U$3,0))</f>
        <v>558.19350000000009</v>
      </c>
      <c r="V203" s="19">
        <f ca="1">IF($A203-V$3&lt;2,0,OFFSET('FPSO1 Base'!V200,-'FPSO1 Otim'!V$3,0))</f>
        <v>542.50049999999999</v>
      </c>
      <c r="W203" s="19">
        <f ca="1">IF($A203-W$3&lt;2,0,OFFSET('FPSO1 Base'!W200,-'FPSO1 Otim'!W$3,0))</f>
        <v>269.54399999999998</v>
      </c>
      <c r="X203" s="19">
        <f ca="1">IF($A203-X$3&lt;2,0,OFFSET('FPSO1 Base'!X200,-'FPSO1 Otim'!X$3,0))</f>
        <v>974.61299999999994</v>
      </c>
      <c r="Y203" s="19">
        <f ca="1">IF($A203-Y$3&lt;2,0,OFFSET('FPSO1 Base'!Y200,-'FPSO1 Otim'!Y$3,0))</f>
        <v>491.44350000000003</v>
      </c>
      <c r="Z203" s="19">
        <f ca="1">IF($A203-Z$3&lt;2,0,OFFSET('FPSO1 Base'!Z200,-'FPSO1 Otim'!Z$3,0))</f>
        <v>541.20899999999995</v>
      </c>
      <c r="AA203" s="20">
        <v>15000</v>
      </c>
      <c r="AB203" s="19">
        <f t="shared" ca="1" si="13"/>
        <v>10746.41730720206</v>
      </c>
      <c r="AC203" s="20">
        <f t="shared" ca="1" si="14"/>
        <v>4253.5826927979397</v>
      </c>
      <c r="AD203" s="19">
        <f t="shared" ca="1" si="15"/>
        <v>2095.3241580454792</v>
      </c>
    </row>
    <row r="204" spans="1:30" x14ac:dyDescent="0.25">
      <c r="A204" s="19">
        <v>200</v>
      </c>
      <c r="B204" s="31">
        <v>51683</v>
      </c>
      <c r="C204" s="19">
        <f ca="1">IF($A204-C$3&lt;2,0,OFFSET('FPSO1 Base'!C201,-'FPSO1 Otim'!C$3,0))</f>
        <v>1244.5259999999998</v>
      </c>
      <c r="D204" s="19">
        <f ca="1">IF($A204-D$3&lt;2,0,OFFSET('FPSO1 Base'!D201,-'FPSO1 Otim'!D$3,0))</f>
        <v>173.20499999999998</v>
      </c>
      <c r="E204" s="19">
        <f ca="1">IF($A204-E$3&lt;2,0,OFFSET('FPSO1 Base'!E201,-'FPSO1 Otim'!E$3,0))</f>
        <v>469.524</v>
      </c>
      <c r="F204" s="19">
        <f ca="1">IF($A204-F$3&lt;2,0,OFFSET('FPSO1 Base'!F201,-'FPSO1 Otim'!F$3,0))</f>
        <v>510.75</v>
      </c>
      <c r="G204" s="19">
        <f ca="1">IF($A204-G$3&lt;2,0,OFFSET('FPSO1 Base'!G201,-'FPSO1 Otim'!G$3,0))</f>
        <v>168.20849999999999</v>
      </c>
      <c r="H204" s="19">
        <f ca="1">IF($A204-H$3&lt;2,0,OFFSET('FPSO1 Base'!H201,-'FPSO1 Otim'!H$3,0))</f>
        <v>652.61099999999999</v>
      </c>
      <c r="I204" s="19">
        <f ca="1">IF($A204-I$3&lt;2,0,OFFSET('FPSO1 Base'!I201,-'FPSO1 Otim'!I$3,0))</f>
        <v>492.07500000000005</v>
      </c>
      <c r="J204" s="19">
        <f ca="1">IF($A204-J$3&lt;2,0,OFFSET('FPSO1 Base'!J201,-'FPSO1 Otim'!J$3,0))</f>
        <v>282.375</v>
      </c>
      <c r="K204" s="19">
        <f ca="1">IF($A204-K$3&lt;2,0,OFFSET('FPSO1 Base'!K201,-'FPSO1 Otim'!K$3,0))</f>
        <v>299.88750000000005</v>
      </c>
      <c r="L204" s="19">
        <f ca="1">IF($A204-L$3&lt;2,0,OFFSET('FPSO1 Base'!L201,-'FPSO1 Otim'!L$3,0))</f>
        <v>389.08799999999997</v>
      </c>
      <c r="M204" s="19">
        <f ca="1">IF($A204-M$3&lt;2,0,OFFSET('FPSO1 Base'!M201,-'FPSO1 Otim'!M$3,0))</f>
        <v>420.99149999999997</v>
      </c>
      <c r="N204" s="19">
        <f ca="1">IF($A204-N$3&lt;2,0,OFFSET('FPSO1 Base'!N201,-'FPSO1 Otim'!N$3,0))</f>
        <v>46.792899654423493</v>
      </c>
      <c r="O204" s="19">
        <f ca="1">IF($A204-O$3&lt;2,0,OFFSET('FPSO1 Base'!O201,-'FPSO1 Otim'!O$3,0))</f>
        <v>459.822</v>
      </c>
      <c r="P204" s="19">
        <f ca="1">IF($A204-P$3&lt;2,0,OFFSET('FPSO1 Base'!P201,-'FPSO1 Otim'!P$3,0))</f>
        <v>206.27549999999999</v>
      </c>
      <c r="Q204" s="19">
        <f ca="1">IF($A204-Q$3&lt;2,0,OFFSET('FPSO1 Base'!Q201,-'FPSO1 Otim'!Q$3,0))</f>
        <v>408.07500000000005</v>
      </c>
      <c r="R204" s="19">
        <f ca="1">IF($A204-R$3&lt;2,0,OFFSET('FPSO1 Base'!R201,-'FPSO1 Otim'!R$3,0))</f>
        <v>83.049864475618591</v>
      </c>
      <c r="S204" s="19">
        <f ca="1">IF($A204-S$3&lt;2,0,OFFSET('FPSO1 Base'!S201,-'FPSO1 Otim'!S$3,0))</f>
        <v>421.20000000000005</v>
      </c>
      <c r="T204" s="19">
        <f ca="1">IF($A204-T$3&lt;2,0,OFFSET('FPSO1 Base'!T201,-'FPSO1 Otim'!T$3,0))</f>
        <v>616.08899999999994</v>
      </c>
      <c r="U204" s="19">
        <f ca="1">IF($A204-U$3&lt;2,0,OFFSET('FPSO1 Base'!U201,-'FPSO1 Otim'!U$3,0))</f>
        <v>556.65000000000009</v>
      </c>
      <c r="V204" s="19">
        <f ca="1">IF($A204-V$3&lt;2,0,OFFSET('FPSO1 Base'!V201,-'FPSO1 Otim'!V$3,0))</f>
        <v>539.226</v>
      </c>
      <c r="W204" s="19">
        <f ca="1">IF($A204-W$3&lt;2,0,OFFSET('FPSO1 Base'!W201,-'FPSO1 Otim'!W$3,0))</f>
        <v>269.02050000000003</v>
      </c>
      <c r="X204" s="19">
        <f ca="1">IF($A204-X$3&lt;2,0,OFFSET('FPSO1 Base'!X201,-'FPSO1 Otim'!X$3,0))</f>
        <v>970.97550000000001</v>
      </c>
      <c r="Y204" s="19">
        <f ca="1">IF($A204-Y$3&lt;2,0,OFFSET('FPSO1 Base'!Y201,-'FPSO1 Otim'!Y$3,0))</f>
        <v>490.4325</v>
      </c>
      <c r="Z204" s="19">
        <f ca="1">IF($A204-Z$3&lt;2,0,OFFSET('FPSO1 Base'!Z201,-'FPSO1 Otim'!Z$3,0))</f>
        <v>537.86249999999995</v>
      </c>
      <c r="AA204" s="20">
        <v>15000</v>
      </c>
      <c r="AB204" s="19">
        <f t="shared" ca="1" si="13"/>
        <v>10708.712764130043</v>
      </c>
      <c r="AC204" s="20">
        <f t="shared" ca="1" si="14"/>
        <v>4291.2872358699569</v>
      </c>
      <c r="AD204" s="19">
        <f t="shared" ca="1" si="15"/>
        <v>2070.7165977048476</v>
      </c>
    </row>
    <row r="205" spans="1:30" x14ac:dyDescent="0.25">
      <c r="A205" s="19">
        <v>201</v>
      </c>
      <c r="B205" s="31">
        <v>51714</v>
      </c>
      <c r="C205" s="19">
        <f ca="1">IF($A205-C$3&lt;2,0,OFFSET('FPSO1 Base'!C202,-'FPSO1 Otim'!C$3,0))</f>
        <v>1242.8249999999998</v>
      </c>
      <c r="D205" s="19">
        <f ca="1">IF($A205-D$3&lt;2,0,OFFSET('FPSO1 Base'!D202,-'FPSO1 Otim'!D$3,0))</f>
        <v>172.26149999999998</v>
      </c>
      <c r="E205" s="19">
        <f ca="1">IF($A205-E$3&lt;2,0,OFFSET('FPSO1 Base'!E202,-'FPSO1 Otim'!E$3,0))</f>
        <v>467.625</v>
      </c>
      <c r="F205" s="19">
        <f ca="1">IF($A205-F$3&lt;2,0,OFFSET('FPSO1 Base'!F202,-'FPSO1 Otim'!F$3,0))</f>
        <v>506.71199999999999</v>
      </c>
      <c r="G205" s="19">
        <f ca="1">IF($A205-G$3&lt;2,0,OFFSET('FPSO1 Base'!G202,-'FPSO1 Otim'!G$3,0))</f>
        <v>167.553</v>
      </c>
      <c r="H205" s="19">
        <f ca="1">IF($A205-H$3&lt;2,0,OFFSET('FPSO1 Base'!H202,-'FPSO1 Otim'!H$3,0))</f>
        <v>651.52649999999994</v>
      </c>
      <c r="I205" s="19">
        <f ca="1">IF($A205-I$3&lt;2,0,OFFSET('FPSO1 Base'!I202,-'FPSO1 Otim'!I$3,0))</f>
        <v>491.202</v>
      </c>
      <c r="J205" s="19">
        <f ca="1">IF($A205-J$3&lt;2,0,OFFSET('FPSO1 Base'!J202,-'FPSO1 Otim'!J$3,0))</f>
        <v>281.87850000000003</v>
      </c>
      <c r="K205" s="19">
        <f ca="1">IF($A205-K$3&lt;2,0,OFFSET('FPSO1 Base'!K202,-'FPSO1 Otim'!K$3,0))</f>
        <v>298.548</v>
      </c>
      <c r="L205" s="19">
        <f ca="1">IF($A205-L$3&lt;2,0,OFFSET('FPSO1 Base'!L202,-'FPSO1 Otim'!L$3,0))</f>
        <v>387.54449999999997</v>
      </c>
      <c r="M205" s="19">
        <f ca="1">IF($A205-M$3&lt;2,0,OFFSET('FPSO1 Base'!M202,-'FPSO1 Otim'!M$3,0))</f>
        <v>418.78800000000001</v>
      </c>
      <c r="N205" s="19">
        <f ca="1">IF($A205-N$3&lt;2,0,OFFSET('FPSO1 Base'!N202,-'FPSO1 Otim'!N$3,0))</f>
        <v>46.324970657879255</v>
      </c>
      <c r="O205" s="19">
        <f ca="1">IF($A205-O$3&lt;2,0,OFFSET('FPSO1 Base'!O202,-'FPSO1 Otim'!O$3,0))</f>
        <v>456.57449999999994</v>
      </c>
      <c r="P205" s="19">
        <f ca="1">IF($A205-P$3&lt;2,0,OFFSET('FPSO1 Base'!P202,-'FPSO1 Otim'!P$3,0))</f>
        <v>205.37850000000003</v>
      </c>
      <c r="Q205" s="19">
        <f ca="1">IF($A205-Q$3&lt;2,0,OFFSET('FPSO1 Base'!Q202,-'FPSO1 Otim'!Q$3,0))</f>
        <v>407.39549999999997</v>
      </c>
      <c r="R205" s="19">
        <f ca="1">IF($A205-R$3&lt;2,0,OFFSET('FPSO1 Base'!R202,-'FPSO1 Otim'!R$3,0))</f>
        <v>82.219365830862401</v>
      </c>
      <c r="S205" s="19">
        <f ca="1">IF($A205-S$3&lt;2,0,OFFSET('FPSO1 Base'!S202,-'FPSO1 Otim'!S$3,0))</f>
        <v>417.16949999999997</v>
      </c>
      <c r="T205" s="19">
        <f ca="1">IF($A205-T$3&lt;2,0,OFFSET('FPSO1 Base'!T202,-'FPSO1 Otim'!T$3,0))</f>
        <v>615.01199999999994</v>
      </c>
      <c r="U205" s="19">
        <f ca="1">IF($A205-U$3&lt;2,0,OFFSET('FPSO1 Base'!U202,-'FPSO1 Otim'!U$3,0))</f>
        <v>555.21749999999997</v>
      </c>
      <c r="V205" s="19">
        <f ca="1">IF($A205-V$3&lt;2,0,OFFSET('FPSO1 Base'!V202,-'FPSO1 Otim'!V$3,0))</f>
        <v>535.75049999999999</v>
      </c>
      <c r="W205" s="19">
        <f ca="1">IF($A205-W$3&lt;2,0,OFFSET('FPSO1 Base'!W202,-'FPSO1 Otim'!W$3,0))</f>
        <v>268.43700000000001</v>
      </c>
      <c r="X205" s="19">
        <f ca="1">IF($A205-X$3&lt;2,0,OFFSET('FPSO1 Base'!X202,-'FPSO1 Otim'!X$3,0))</f>
        <v>967.62149999999997</v>
      </c>
      <c r="Y205" s="19">
        <f ca="1">IF($A205-Y$3&lt;2,0,OFFSET('FPSO1 Base'!Y202,-'FPSO1 Otim'!Y$3,0))</f>
        <v>489.65250000000003</v>
      </c>
      <c r="Z205" s="19">
        <f ca="1">IF($A205-Z$3&lt;2,0,OFFSET('FPSO1 Base'!Z202,-'FPSO1 Otim'!Z$3,0))</f>
        <v>534.774</v>
      </c>
      <c r="AA205" s="20">
        <v>15000</v>
      </c>
      <c r="AB205" s="19">
        <f t="shared" ca="1" si="13"/>
        <v>10667.991336488738</v>
      </c>
      <c r="AC205" s="20">
        <f t="shared" ca="1" si="14"/>
        <v>4332.0086635112621</v>
      </c>
      <c r="AD205" s="19">
        <f t="shared" ca="1" si="15"/>
        <v>2045.7941143476019</v>
      </c>
    </row>
    <row r="206" spans="1:30" x14ac:dyDescent="0.25">
      <c r="A206" s="19">
        <v>202</v>
      </c>
      <c r="B206" s="31">
        <v>51745</v>
      </c>
      <c r="C206" s="19">
        <f ca="1">IF($A206-C$3&lt;2,0,OFFSET('FPSO1 Base'!C203,-'FPSO1 Otim'!C$3,0))</f>
        <v>1241.1374999999998</v>
      </c>
      <c r="D206" s="19">
        <f ca="1">IF($A206-D$3&lt;2,0,OFFSET('FPSO1 Base'!D203,-'FPSO1 Otim'!D$3,0))</f>
        <v>169.54349999999999</v>
      </c>
      <c r="E206" s="19">
        <f ca="1">IF($A206-E$3&lt;2,0,OFFSET('FPSO1 Base'!E203,-'FPSO1 Otim'!E$3,0))</f>
        <v>465.84749999999997</v>
      </c>
      <c r="F206" s="19">
        <f ca="1">IF($A206-F$3&lt;2,0,OFFSET('FPSO1 Base'!F203,-'FPSO1 Otim'!F$3,0))</f>
        <v>502.947</v>
      </c>
      <c r="G206" s="19">
        <f ca="1">IF($A206-G$3&lt;2,0,OFFSET('FPSO1 Base'!G203,-'FPSO1 Otim'!G$3,0))</f>
        <v>166.94549999999998</v>
      </c>
      <c r="H206" s="19">
        <f ca="1">IF($A206-H$3&lt;2,0,OFFSET('FPSO1 Base'!H203,-'FPSO1 Otim'!H$3,0))</f>
        <v>650.44949999999994</v>
      </c>
      <c r="I206" s="19">
        <f ca="1">IF($A206-I$3&lt;2,0,OFFSET('FPSO1 Base'!I203,-'FPSO1 Otim'!I$3,0))</f>
        <v>490.30050000000006</v>
      </c>
      <c r="J206" s="19">
        <f ca="1">IF($A206-J$3&lt;2,0,OFFSET('FPSO1 Base'!J203,-'FPSO1 Otim'!J$3,0))</f>
        <v>281.32500000000005</v>
      </c>
      <c r="K206" s="19">
        <f ca="1">IF($A206-K$3&lt;2,0,OFFSET('FPSO1 Base'!K203,-'FPSO1 Otim'!K$3,0))</f>
        <v>297.03750000000002</v>
      </c>
      <c r="L206" s="19">
        <f ca="1">IF($A206-L$3&lt;2,0,OFFSET('FPSO1 Base'!L203,-'FPSO1 Otim'!L$3,0))</f>
        <v>385.875</v>
      </c>
      <c r="M206" s="19">
        <f ca="1">IF($A206-M$3&lt;2,0,OFFSET('FPSO1 Base'!M203,-'FPSO1 Otim'!M$3,0))</f>
        <v>416.70899999999995</v>
      </c>
      <c r="N206" s="19">
        <f ca="1">IF($A206-N$3&lt;2,0,OFFSET('FPSO1 Base'!N203,-'FPSO1 Otim'!N$3,0))</f>
        <v>45.861720951300462</v>
      </c>
      <c r="O206" s="19">
        <f ca="1">IF($A206-O$3&lt;2,0,OFFSET('FPSO1 Base'!O203,-'FPSO1 Otim'!O$3,0))</f>
        <v>453.55649999999997</v>
      </c>
      <c r="P206" s="19">
        <f ca="1">IF($A206-P$3&lt;2,0,OFFSET('FPSO1 Base'!P203,-'FPSO1 Otim'!P$3,0))</f>
        <v>204.459</v>
      </c>
      <c r="Q206" s="19">
        <f ca="1">IF($A206-Q$3&lt;2,0,OFFSET('FPSO1 Base'!Q203,-'FPSO1 Otim'!Q$3,0))</f>
        <v>406.75349999999997</v>
      </c>
      <c r="R206" s="19">
        <f ca="1">IF($A206-R$3&lt;2,0,OFFSET('FPSO1 Base'!R203,-'FPSO1 Otim'!R$3,0))</f>
        <v>81.39717217255378</v>
      </c>
      <c r="S206" s="19">
        <f ca="1">IF($A206-S$3&lt;2,0,OFFSET('FPSO1 Base'!S203,-'FPSO1 Otim'!S$3,0))</f>
        <v>415.98449999999997</v>
      </c>
      <c r="T206" s="19">
        <f ca="1">IF($A206-T$3&lt;2,0,OFFSET('FPSO1 Base'!T203,-'FPSO1 Otim'!T$3,0))</f>
        <v>614.04449999999997</v>
      </c>
      <c r="U206" s="19">
        <f ca="1">IF($A206-U$3&lt;2,0,OFFSET('FPSO1 Base'!U203,-'FPSO1 Otim'!U$3,0))</f>
        <v>553.81499999999994</v>
      </c>
      <c r="V206" s="19">
        <f ca="1">IF($A206-V$3&lt;2,0,OFFSET('FPSO1 Base'!V203,-'FPSO1 Otim'!V$3,0))</f>
        <v>532.452</v>
      </c>
      <c r="W206" s="19">
        <f ca="1">IF($A206-W$3&lt;2,0,OFFSET('FPSO1 Base'!W203,-'FPSO1 Otim'!W$3,0))</f>
        <v>267.89550000000003</v>
      </c>
      <c r="X206" s="19">
        <f ca="1">IF($A206-X$3&lt;2,0,OFFSET('FPSO1 Base'!X203,-'FPSO1 Otim'!X$3,0))</f>
        <v>964.25850000000014</v>
      </c>
      <c r="Y206" s="19">
        <f ca="1">IF($A206-Y$3&lt;2,0,OFFSET('FPSO1 Base'!Y203,-'FPSO1 Otim'!Y$3,0))</f>
        <v>488.74950000000001</v>
      </c>
      <c r="Z206" s="19">
        <f ca="1">IF($A206-Z$3&lt;2,0,OFFSET('FPSO1 Base'!Z203,-'FPSO1 Otim'!Z$3,0))</f>
        <v>531.43799999999999</v>
      </c>
      <c r="AA206" s="20">
        <v>15000</v>
      </c>
      <c r="AB206" s="19">
        <f t="shared" ca="1" si="13"/>
        <v>10628.782893123853</v>
      </c>
      <c r="AC206" s="20">
        <f t="shared" ca="1" si="14"/>
        <v>4371.2171068761472</v>
      </c>
      <c r="AD206" s="19">
        <f t="shared" ca="1" si="15"/>
        <v>2021.4298863102608</v>
      </c>
    </row>
    <row r="207" spans="1:30" x14ac:dyDescent="0.25">
      <c r="A207" s="19">
        <v>203</v>
      </c>
      <c r="B207" s="31">
        <v>51775</v>
      </c>
      <c r="C207" s="19">
        <f ca="1">IF($A207-C$3&lt;2,0,OFFSET('FPSO1 Base'!C204,-'FPSO1 Otim'!C$3,0))</f>
        <v>1239.3285000000001</v>
      </c>
      <c r="D207" s="19">
        <f ca="1">IF($A207-D$3&lt;2,0,OFFSET('FPSO1 Base'!D204,-'FPSO1 Otim'!D$3,0))</f>
        <v>168.732</v>
      </c>
      <c r="E207" s="19">
        <f ca="1">IF($A207-E$3&lt;2,0,OFFSET('FPSO1 Base'!E204,-'FPSO1 Otim'!E$3,0))</f>
        <v>464.11649999999997</v>
      </c>
      <c r="F207" s="19">
        <f ca="1">IF($A207-F$3&lt;2,0,OFFSET('FPSO1 Base'!F204,-'FPSO1 Otim'!F$3,0))</f>
        <v>499.25850000000003</v>
      </c>
      <c r="G207" s="19">
        <f ca="1">IF($A207-G$3&lt;2,0,OFFSET('FPSO1 Base'!G204,-'FPSO1 Otim'!G$3,0))</f>
        <v>166.3545</v>
      </c>
      <c r="H207" s="19">
        <f ca="1">IF($A207-H$3&lt;2,0,OFFSET('FPSO1 Base'!H204,-'FPSO1 Otim'!H$3,0))</f>
        <v>646.65750000000003</v>
      </c>
      <c r="I207" s="19">
        <f ca="1">IF($A207-I$3&lt;2,0,OFFSET('FPSO1 Base'!I204,-'FPSO1 Otim'!I$3,0))</f>
        <v>489.38699999999994</v>
      </c>
      <c r="J207" s="19">
        <f ca="1">IF($A207-J$3&lt;2,0,OFFSET('FPSO1 Base'!J204,-'FPSO1 Otim'!J$3,0))</f>
        <v>280.839</v>
      </c>
      <c r="K207" s="19">
        <f ca="1">IF($A207-K$3&lt;2,0,OFFSET('FPSO1 Base'!K204,-'FPSO1 Otim'!K$3,0))</f>
        <v>295.584</v>
      </c>
      <c r="L207" s="19">
        <f ca="1">IF($A207-L$3&lt;2,0,OFFSET('FPSO1 Base'!L204,-'FPSO1 Otim'!L$3,0))</f>
        <v>384.327</v>
      </c>
      <c r="M207" s="19">
        <f ca="1">IF($A207-M$3&lt;2,0,OFFSET('FPSO1 Base'!M204,-'FPSO1 Otim'!M$3,0))</f>
        <v>414.66600000000005</v>
      </c>
      <c r="N207" s="19">
        <f ca="1">IF($A207-N$3&lt;2,0,OFFSET('FPSO1 Base'!N204,-'FPSO1 Otim'!N$3,0))</f>
        <v>45.403103741787454</v>
      </c>
      <c r="O207" s="19">
        <f ca="1">IF($A207-O$3&lt;2,0,OFFSET('FPSO1 Base'!O204,-'FPSO1 Otim'!O$3,0))</f>
        <v>450.62849999999997</v>
      </c>
      <c r="P207" s="19">
        <f ca="1">IF($A207-P$3&lt;2,0,OFFSET('FPSO1 Base'!P204,-'FPSO1 Otim'!P$3,0))</f>
        <v>203.50049999999999</v>
      </c>
      <c r="Q207" s="19">
        <f ca="1">IF($A207-Q$3&lt;2,0,OFFSET('FPSO1 Base'!Q204,-'FPSO1 Otim'!Q$3,0))</f>
        <v>406.04699999999997</v>
      </c>
      <c r="R207" s="19">
        <f ca="1">IF($A207-R$3&lt;2,0,OFFSET('FPSO1 Base'!R204,-'FPSO1 Otim'!R$3,0))</f>
        <v>80.583200450828244</v>
      </c>
      <c r="S207" s="19">
        <f ca="1">IF($A207-S$3&lt;2,0,OFFSET('FPSO1 Base'!S204,-'FPSO1 Otim'!S$3,0))</f>
        <v>415.03199999999998</v>
      </c>
      <c r="T207" s="19">
        <f ca="1">IF($A207-T$3&lt;2,0,OFFSET('FPSO1 Base'!T204,-'FPSO1 Otim'!T$3,0))</f>
        <v>613.11300000000006</v>
      </c>
      <c r="U207" s="19">
        <f ca="1">IF($A207-U$3&lt;2,0,OFFSET('FPSO1 Base'!U204,-'FPSO1 Otim'!U$3,0))</f>
        <v>552.1875</v>
      </c>
      <c r="V207" s="19">
        <f ca="1">IF($A207-V$3&lt;2,0,OFFSET('FPSO1 Base'!V204,-'FPSO1 Otim'!V$3,0))</f>
        <v>529.25850000000003</v>
      </c>
      <c r="W207" s="19">
        <f ca="1">IF($A207-W$3&lt;2,0,OFFSET('FPSO1 Base'!W204,-'FPSO1 Otim'!W$3,0))</f>
        <v>267.27449999999999</v>
      </c>
      <c r="X207" s="19">
        <f ca="1">IF($A207-X$3&lt;2,0,OFFSET('FPSO1 Base'!X204,-'FPSO1 Otim'!X$3,0))</f>
        <v>960.67500000000007</v>
      </c>
      <c r="Y207" s="19">
        <f ca="1">IF($A207-Y$3&lt;2,0,OFFSET('FPSO1 Base'!Y204,-'FPSO1 Otim'!Y$3,0))</f>
        <v>487.899</v>
      </c>
      <c r="Z207" s="19">
        <f ca="1">IF($A207-Z$3&lt;2,0,OFFSET('FPSO1 Base'!Z204,-'FPSO1 Otim'!Z$3,0))</f>
        <v>528.26549999999997</v>
      </c>
      <c r="AA207" s="20">
        <v>15000</v>
      </c>
      <c r="AB207" s="19">
        <f t="shared" ca="1" si="13"/>
        <v>10589.117804192614</v>
      </c>
      <c r="AC207" s="20">
        <f t="shared" ca="1" si="14"/>
        <v>4410.8821958073859</v>
      </c>
      <c r="AD207" s="19">
        <f t="shared" ca="1" si="15"/>
        <v>1997.2425131241903</v>
      </c>
    </row>
    <row r="208" spans="1:30" x14ac:dyDescent="0.25">
      <c r="A208" s="19">
        <v>204</v>
      </c>
      <c r="B208" s="31">
        <v>51806</v>
      </c>
      <c r="C208" s="19">
        <f ca="1">IF($A208-C$3&lt;2,0,OFFSET('FPSO1 Base'!C205,-'FPSO1 Otim'!C$3,0))</f>
        <v>1237.5975000000001</v>
      </c>
      <c r="D208" s="19">
        <f ca="1">IF($A208-D$3&lt;2,0,OFFSET('FPSO1 Base'!D205,-'FPSO1 Otim'!D$3,0))</f>
        <v>167.8425</v>
      </c>
      <c r="E208" s="19">
        <f ca="1">IF($A208-E$3&lt;2,0,OFFSET('FPSO1 Base'!E205,-'FPSO1 Otim'!E$3,0))</f>
        <v>462.19350000000003</v>
      </c>
      <c r="F208" s="19">
        <f ca="1">IF($A208-F$3&lt;2,0,OFFSET('FPSO1 Base'!F205,-'FPSO1 Otim'!F$3,0))</f>
        <v>495.32549999999998</v>
      </c>
      <c r="G208" s="19">
        <f ca="1">IF($A208-G$3&lt;2,0,OFFSET('FPSO1 Base'!G205,-'FPSO1 Otim'!G$3,0))</f>
        <v>165.71699999999998</v>
      </c>
      <c r="H208" s="19">
        <f ca="1">IF($A208-H$3&lt;2,0,OFFSET('FPSO1 Base'!H205,-'FPSO1 Otim'!H$3,0))</f>
        <v>645.70500000000004</v>
      </c>
      <c r="I208" s="19">
        <f ca="1">IF($A208-I$3&lt;2,0,OFFSET('FPSO1 Base'!I205,-'FPSO1 Otim'!I$3,0))</f>
        <v>488.49149999999997</v>
      </c>
      <c r="J208" s="19">
        <f ca="1">IF($A208-J$3&lt;2,0,OFFSET('FPSO1 Base'!J205,-'FPSO1 Otim'!J$3,0))</f>
        <v>280.3005</v>
      </c>
      <c r="K208" s="19">
        <f ca="1">IF($A208-K$3&lt;2,0,OFFSET('FPSO1 Base'!K205,-'FPSO1 Otim'!K$3,0))</f>
        <v>294.16949999999997</v>
      </c>
      <c r="L208" s="19">
        <f ca="1">IF($A208-L$3&lt;2,0,OFFSET('FPSO1 Base'!L205,-'FPSO1 Otim'!L$3,0))</f>
        <v>382.875</v>
      </c>
      <c r="M208" s="19">
        <f ca="1">IF($A208-M$3&lt;2,0,OFFSET('FPSO1 Base'!M205,-'FPSO1 Otim'!M$3,0))</f>
        <v>412.53749999999997</v>
      </c>
      <c r="N208" s="19">
        <f ca="1">IF($A208-N$3&lt;2,0,OFFSET('FPSO1 Base'!N205,-'FPSO1 Otim'!N$3,0))</f>
        <v>44.949072704369577</v>
      </c>
      <c r="O208" s="19">
        <f ca="1">IF($A208-O$3&lt;2,0,OFFSET('FPSO1 Base'!O205,-'FPSO1 Otim'!O$3,0))</f>
        <v>447.33600000000001</v>
      </c>
      <c r="P208" s="19">
        <f ca="1">IF($A208-P$3&lt;2,0,OFFSET('FPSO1 Base'!P205,-'FPSO1 Otim'!P$3,0))</f>
        <v>202.62149999999997</v>
      </c>
      <c r="Q208" s="19">
        <f ca="1">IF($A208-Q$3&lt;2,0,OFFSET('FPSO1 Base'!Q205,-'FPSO1 Otim'!Q$3,0))</f>
        <v>405.43500000000006</v>
      </c>
      <c r="R208" s="19">
        <f ca="1">IF($A208-R$3&lt;2,0,OFFSET('FPSO1 Base'!R205,-'FPSO1 Otim'!R$3,0))</f>
        <v>79.777368446319954</v>
      </c>
      <c r="S208" s="19">
        <f ca="1">IF($A208-S$3&lt;2,0,OFFSET('FPSO1 Base'!S205,-'FPSO1 Otim'!S$3,0))</f>
        <v>414.06000000000006</v>
      </c>
      <c r="T208" s="19">
        <f ca="1">IF($A208-T$3&lt;2,0,OFFSET('FPSO1 Base'!T205,-'FPSO1 Otim'!T$3,0))</f>
        <v>611.98649999999998</v>
      </c>
      <c r="U208" s="19">
        <f ca="1">IF($A208-U$3&lt;2,0,OFFSET('FPSO1 Base'!U205,-'FPSO1 Otim'!U$3,0))</f>
        <v>550.83899999999994</v>
      </c>
      <c r="V208" s="19">
        <f ca="1">IF($A208-V$3&lt;2,0,OFFSET('FPSO1 Base'!V205,-'FPSO1 Otim'!V$3,0))</f>
        <v>525.85050000000001</v>
      </c>
      <c r="W208" s="19">
        <f ca="1">IF($A208-W$3&lt;2,0,OFFSET('FPSO1 Base'!W205,-'FPSO1 Otim'!W$3,0))</f>
        <v>266.73450000000003</v>
      </c>
      <c r="X208" s="19">
        <f ca="1">IF($A208-X$3&lt;2,0,OFFSET('FPSO1 Base'!X205,-'FPSO1 Otim'!X$3,0))</f>
        <v>957.43499999999995</v>
      </c>
      <c r="Y208" s="19">
        <f ca="1">IF($A208-Y$3&lt;2,0,OFFSET('FPSO1 Base'!Y205,-'FPSO1 Otim'!Y$3,0))</f>
        <v>487.04999999999995</v>
      </c>
      <c r="Z208" s="19">
        <f ca="1">IF($A208-Z$3&lt;2,0,OFFSET('FPSO1 Base'!Z205,-'FPSO1 Otim'!Z$3,0))</f>
        <v>525.12149999999997</v>
      </c>
      <c r="AA208" s="20">
        <v>15000</v>
      </c>
      <c r="AB208" s="19">
        <f t="shared" ca="1" si="13"/>
        <v>10551.95094115069</v>
      </c>
      <c r="AC208" s="20">
        <f t="shared" ca="1" si="14"/>
        <v>4448.0490588493103</v>
      </c>
      <c r="AD208" s="19">
        <f t="shared" ca="1" si="15"/>
        <v>1973.7841678850816</v>
      </c>
    </row>
    <row r="209" spans="1:30" x14ac:dyDescent="0.25">
      <c r="A209" s="19">
        <v>205</v>
      </c>
      <c r="B209" s="31">
        <v>51836</v>
      </c>
      <c r="C209" s="19">
        <f ca="1">IF($A209-C$3&lt;2,0,OFFSET('FPSO1 Base'!C206,-'FPSO1 Otim'!C$3,0))</f>
        <v>1235.7375000000002</v>
      </c>
      <c r="D209" s="19">
        <f ca="1">IF($A209-D$3&lt;2,0,OFFSET('FPSO1 Base'!D206,-'FPSO1 Otim'!D$3,0))</f>
        <v>166.96799999999999</v>
      </c>
      <c r="E209" s="19">
        <f ca="1">IF($A209-E$3&lt;2,0,OFFSET('FPSO1 Base'!E206,-'FPSO1 Otim'!E$3,0))</f>
        <v>460.23449999999997</v>
      </c>
      <c r="F209" s="19">
        <f ca="1">IF($A209-F$3&lt;2,0,OFFSET('FPSO1 Base'!F206,-'FPSO1 Otim'!F$3,0))</f>
        <v>491.85450000000003</v>
      </c>
      <c r="G209" s="19">
        <f ca="1">IF($A209-G$3&lt;2,0,OFFSET('FPSO1 Base'!G206,-'FPSO1 Otim'!G$3,0))</f>
        <v>165.126</v>
      </c>
      <c r="H209" s="19">
        <f ca="1">IF($A209-H$3&lt;2,0,OFFSET('FPSO1 Base'!H206,-'FPSO1 Otim'!H$3,0))</f>
        <v>644.673</v>
      </c>
      <c r="I209" s="19">
        <f ca="1">IF($A209-I$3&lt;2,0,OFFSET('FPSO1 Base'!I206,-'FPSO1 Otim'!I$3,0))</f>
        <v>487.52549999999997</v>
      </c>
      <c r="J209" s="19">
        <f ca="1">IF($A209-J$3&lt;2,0,OFFSET('FPSO1 Base'!J206,-'FPSO1 Otim'!J$3,0))</f>
        <v>279.798</v>
      </c>
      <c r="K209" s="19">
        <f ca="1">IF($A209-K$3&lt;2,0,OFFSET('FPSO1 Base'!K206,-'FPSO1 Otim'!K$3,0))</f>
        <v>292.72500000000002</v>
      </c>
      <c r="L209" s="19">
        <f ca="1">IF($A209-L$3&lt;2,0,OFFSET('FPSO1 Base'!L206,-'FPSO1 Otim'!L$3,0))</f>
        <v>381.17400000000004</v>
      </c>
      <c r="M209" s="19">
        <f ca="1">IF($A209-M$3&lt;2,0,OFFSET('FPSO1 Base'!M206,-'FPSO1 Otim'!M$3,0))</f>
        <v>410.577</v>
      </c>
      <c r="N209" s="19">
        <f ca="1">IF($A209-N$3&lt;2,0,OFFSET('FPSO1 Base'!N206,-'FPSO1 Otim'!N$3,0))</f>
        <v>44.499581977325882</v>
      </c>
      <c r="O209" s="19">
        <f ca="1">IF($A209-O$3&lt;2,0,OFFSET('FPSO1 Base'!O206,-'FPSO1 Otim'!O$3,0))</f>
        <v>443.41949999999997</v>
      </c>
      <c r="P209" s="19">
        <f ca="1">IF($A209-P$3&lt;2,0,OFFSET('FPSO1 Base'!P206,-'FPSO1 Otim'!P$3,0))</f>
        <v>201.67499999999998</v>
      </c>
      <c r="Q209" s="19">
        <f ca="1">IF($A209-Q$3&lt;2,0,OFFSET('FPSO1 Base'!Q206,-'FPSO1 Otim'!Q$3,0))</f>
        <v>404.76299999999998</v>
      </c>
      <c r="R209" s="19">
        <f ca="1">IF($A209-R$3&lt;2,0,OFFSET('FPSO1 Base'!R206,-'FPSO1 Otim'!R$3,0))</f>
        <v>78.97959476185676</v>
      </c>
      <c r="S209" s="19">
        <f ca="1">IF($A209-S$3&lt;2,0,OFFSET('FPSO1 Base'!S206,-'FPSO1 Otim'!S$3,0))</f>
        <v>412.83750000000003</v>
      </c>
      <c r="T209" s="19">
        <f ca="1">IF($A209-T$3&lt;2,0,OFFSET('FPSO1 Base'!T206,-'FPSO1 Otim'!T$3,0))</f>
        <v>611.11649999999997</v>
      </c>
      <c r="U209" s="19">
        <f ca="1">IF($A209-U$3&lt;2,0,OFFSET('FPSO1 Base'!U206,-'FPSO1 Otim'!U$3,0))</f>
        <v>549.29999999999995</v>
      </c>
      <c r="V209" s="19">
        <f ca="1">IF($A209-V$3&lt;2,0,OFFSET('FPSO1 Base'!V206,-'FPSO1 Otim'!V$3,0))</f>
        <v>522.726</v>
      </c>
      <c r="W209" s="19">
        <f ca="1">IF($A209-W$3&lt;2,0,OFFSET('FPSO1 Base'!W206,-'FPSO1 Otim'!W$3,0))</f>
        <v>266.166</v>
      </c>
      <c r="X209" s="19">
        <f ca="1">IF($A209-X$3&lt;2,0,OFFSET('FPSO1 Base'!X206,-'FPSO1 Otim'!X$3,0))</f>
        <v>955.2494999999999</v>
      </c>
      <c r="Y209" s="19">
        <f ca="1">IF($A209-Y$3&lt;2,0,OFFSET('FPSO1 Base'!Y206,-'FPSO1 Otim'!Y$3,0))</f>
        <v>486.25349999999997</v>
      </c>
      <c r="Z209" s="19">
        <f ca="1">IF($A209-Z$3&lt;2,0,OFFSET('FPSO1 Base'!Z206,-'FPSO1 Otim'!Z$3,0))</f>
        <v>521.78700000000003</v>
      </c>
      <c r="AA209" s="20">
        <v>15000</v>
      </c>
      <c r="AB209" s="19">
        <f t="shared" ca="1" si="13"/>
        <v>10515.165676739183</v>
      </c>
      <c r="AC209" s="20">
        <f t="shared" ca="1" si="14"/>
        <v>4484.8343232608167</v>
      </c>
      <c r="AD209" s="19">
        <f t="shared" ca="1" si="15"/>
        <v>1950.6479391585399</v>
      </c>
    </row>
    <row r="210" spans="1:30" x14ac:dyDescent="0.25">
      <c r="A210" s="19">
        <v>206</v>
      </c>
      <c r="B210" s="31">
        <v>51867</v>
      </c>
      <c r="C210" s="19">
        <f ca="1">IF($A210-C$3&lt;2,0,OFFSET('FPSO1 Base'!C207,-'FPSO1 Otim'!C$3,0))</f>
        <v>1233.8715</v>
      </c>
      <c r="D210" s="19">
        <f ca="1">IF($A210-D$3&lt;2,0,OFFSET('FPSO1 Base'!D207,-'FPSO1 Otim'!D$3,0))</f>
        <v>166.047</v>
      </c>
      <c r="E210" s="19">
        <f ca="1">IF($A210-E$3&lt;2,0,OFFSET('FPSO1 Base'!E207,-'FPSO1 Otim'!E$3,0))</f>
        <v>457.24950000000001</v>
      </c>
      <c r="F210" s="19">
        <f ca="1">IF($A210-F$3&lt;2,0,OFFSET('FPSO1 Base'!F207,-'FPSO1 Otim'!F$3,0))</f>
        <v>488.11200000000002</v>
      </c>
      <c r="G210" s="19">
        <f ca="1">IF($A210-G$3&lt;2,0,OFFSET('FPSO1 Base'!G207,-'FPSO1 Otim'!G$3,0))</f>
        <v>164.62950000000001</v>
      </c>
      <c r="H210" s="19">
        <f ca="1">IF($A210-H$3&lt;2,0,OFFSET('FPSO1 Base'!H207,-'FPSO1 Otim'!H$3,0))</f>
        <v>643.67700000000002</v>
      </c>
      <c r="I210" s="19">
        <f ca="1">IF($A210-I$3&lt;2,0,OFFSET('FPSO1 Base'!I207,-'FPSO1 Otim'!I$3,0))</f>
        <v>486.65250000000003</v>
      </c>
      <c r="J210" s="19">
        <f ca="1">IF($A210-J$3&lt;2,0,OFFSET('FPSO1 Base'!J207,-'FPSO1 Otim'!J$3,0))</f>
        <v>279.339</v>
      </c>
      <c r="K210" s="19">
        <f ca="1">IF($A210-K$3&lt;2,0,OFFSET('FPSO1 Base'!K207,-'FPSO1 Otim'!K$3,0))</f>
        <v>291.363</v>
      </c>
      <c r="L210" s="19">
        <f ca="1">IF($A210-L$3&lt;2,0,OFFSET('FPSO1 Base'!L207,-'FPSO1 Otim'!L$3,0))</f>
        <v>379.803</v>
      </c>
      <c r="M210" s="19">
        <f ca="1">IF($A210-M$3&lt;2,0,OFFSET('FPSO1 Base'!M207,-'FPSO1 Otim'!M$3,0))</f>
        <v>408.46199999999999</v>
      </c>
      <c r="N210" s="19">
        <f ca="1">IF($A210-N$3&lt;2,0,OFFSET('FPSO1 Base'!N207,-'FPSO1 Otim'!N$3,0))</f>
        <v>44.05458615755262</v>
      </c>
      <c r="O210" s="19">
        <f ca="1">IF($A210-O$3&lt;2,0,OFFSET('FPSO1 Base'!O207,-'FPSO1 Otim'!O$3,0))</f>
        <v>439.37549999999999</v>
      </c>
      <c r="P210" s="19">
        <f ca="1">IF($A210-P$3&lt;2,0,OFFSET('FPSO1 Base'!P207,-'FPSO1 Otim'!P$3,0))</f>
        <v>200.8305</v>
      </c>
      <c r="Q210" s="19">
        <f ca="1">IF($A210-Q$3&lt;2,0,OFFSET('FPSO1 Base'!Q207,-'FPSO1 Otim'!Q$3,0))</f>
        <v>404.15250000000003</v>
      </c>
      <c r="R210" s="19">
        <f ca="1">IF($A210-R$3&lt;2,0,OFFSET('FPSO1 Base'!R207,-'FPSO1 Otim'!R$3,0))</f>
        <v>78.189798814238188</v>
      </c>
      <c r="S210" s="19">
        <f ca="1">IF($A210-S$3&lt;2,0,OFFSET('FPSO1 Base'!S207,-'FPSO1 Otim'!S$3,0))</f>
        <v>411.59249999999997</v>
      </c>
      <c r="T210" s="19">
        <f ca="1">IF($A210-T$3&lt;2,0,OFFSET('FPSO1 Base'!T207,-'FPSO1 Otim'!T$3,0))</f>
        <v>610.07549999999992</v>
      </c>
      <c r="U210" s="19">
        <f ca="1">IF($A210-U$3&lt;2,0,OFFSET('FPSO1 Base'!U207,-'FPSO1 Otim'!U$3,0))</f>
        <v>547.88699999999994</v>
      </c>
      <c r="V210" s="19">
        <f ca="1">IF($A210-V$3&lt;2,0,OFFSET('FPSO1 Base'!V207,-'FPSO1 Otim'!V$3,0))</f>
        <v>519.49950000000001</v>
      </c>
      <c r="W210" s="19">
        <f ca="1">IF($A210-W$3&lt;2,0,OFFSET('FPSO1 Base'!W207,-'FPSO1 Otim'!W$3,0))</f>
        <v>265.56299999999999</v>
      </c>
      <c r="X210" s="19">
        <f ca="1">IF($A210-X$3&lt;2,0,OFFSET('FPSO1 Base'!X207,-'FPSO1 Otim'!X$3,0))</f>
        <v>953.25</v>
      </c>
      <c r="Y210" s="19">
        <f ca="1">IF($A210-Y$3&lt;2,0,OFFSET('FPSO1 Base'!Y207,-'FPSO1 Otim'!Y$3,0))</f>
        <v>485.45550000000003</v>
      </c>
      <c r="Z210" s="19">
        <f ca="1">IF($A210-Z$3&lt;2,0,OFFSET('FPSO1 Base'!Z207,-'FPSO1 Otim'!Z$3,0))</f>
        <v>518.73450000000003</v>
      </c>
      <c r="AA210" s="20">
        <v>15000</v>
      </c>
      <c r="AB210" s="19">
        <f t="shared" ca="1" si="13"/>
        <v>10477.866384971792</v>
      </c>
      <c r="AC210" s="20">
        <f t="shared" ca="1" si="14"/>
        <v>4522.1336150282077</v>
      </c>
      <c r="AD210" s="19">
        <f t="shared" ca="1" si="15"/>
        <v>1927.6647471738495</v>
      </c>
    </row>
    <row r="211" spans="1:30" x14ac:dyDescent="0.25">
      <c r="A211" s="19">
        <v>207</v>
      </c>
      <c r="B211" s="31">
        <v>51898</v>
      </c>
      <c r="C211" s="19">
        <f ca="1">IF($A211-C$3&lt;2,0,OFFSET('FPSO1 Base'!C208,-'FPSO1 Otim'!C$3,0))</f>
        <v>1232.0595000000001</v>
      </c>
      <c r="D211" s="19">
        <f ca="1">IF($A211-D$3&lt;2,0,OFFSET('FPSO1 Base'!D208,-'FPSO1 Otim'!D$3,0))</f>
        <v>165.17400000000001</v>
      </c>
      <c r="E211" s="19">
        <f ca="1">IF($A211-E$3&lt;2,0,OFFSET('FPSO1 Base'!E208,-'FPSO1 Otim'!E$3,0))</f>
        <v>454.5</v>
      </c>
      <c r="F211" s="19">
        <f ca="1">IF($A211-F$3&lt;2,0,OFFSET('FPSO1 Base'!F208,-'FPSO1 Otim'!F$3,0))</f>
        <v>484.66949999999997</v>
      </c>
      <c r="G211" s="19">
        <f ca="1">IF($A211-G$3&lt;2,0,OFFSET('FPSO1 Base'!G208,-'FPSO1 Otim'!G$3,0))</f>
        <v>163.98599999999999</v>
      </c>
      <c r="H211" s="19">
        <f ca="1">IF($A211-H$3&lt;2,0,OFFSET('FPSO1 Base'!H208,-'FPSO1 Otim'!H$3,0))</f>
        <v>642.63</v>
      </c>
      <c r="I211" s="19">
        <f ca="1">IF($A211-I$3&lt;2,0,OFFSET('FPSO1 Base'!I208,-'FPSO1 Otim'!I$3,0))</f>
        <v>485.67450000000002</v>
      </c>
      <c r="J211" s="19">
        <f ca="1">IF($A211-J$3&lt;2,0,OFFSET('FPSO1 Base'!J208,-'FPSO1 Otim'!J$3,0))</f>
        <v>278.8245</v>
      </c>
      <c r="K211" s="19">
        <f ca="1">IF($A211-K$3&lt;2,0,OFFSET('FPSO1 Base'!K208,-'FPSO1 Otim'!K$3,0))</f>
        <v>289.863</v>
      </c>
      <c r="L211" s="19">
        <f ca="1">IF($A211-L$3&lt;2,0,OFFSET('FPSO1 Base'!L208,-'FPSO1 Otim'!L$3,0))</f>
        <v>378.22500000000002</v>
      </c>
      <c r="M211" s="19">
        <f ca="1">IF($A211-M$3&lt;2,0,OFFSET('FPSO1 Base'!M208,-'FPSO1 Otim'!M$3,0))</f>
        <v>406.51199999999994</v>
      </c>
      <c r="N211" s="19">
        <f ca="1">IF($A211-N$3&lt;2,0,OFFSET('FPSO1 Base'!N208,-'FPSO1 Otim'!N$3,0))</f>
        <v>43.614040295977091</v>
      </c>
      <c r="O211" s="19">
        <f ca="1">IF($A211-O$3&lt;2,0,OFFSET('FPSO1 Base'!O208,-'FPSO1 Otim'!O$3,0))</f>
        <v>436.13699999999994</v>
      </c>
      <c r="P211" s="19">
        <f ca="1">IF($A211-P$3&lt;2,0,OFFSET('FPSO1 Base'!P208,-'FPSO1 Otim'!P$3,0))</f>
        <v>199.935</v>
      </c>
      <c r="Q211" s="19">
        <f ca="1">IF($A211-Q$3&lt;2,0,OFFSET('FPSO1 Base'!Q208,-'FPSO1 Otim'!Q$3,0))</f>
        <v>403.48800000000006</v>
      </c>
      <c r="R211" s="19">
        <f ca="1">IF($A211-R$3&lt;2,0,OFFSET('FPSO1 Base'!R208,-'FPSO1 Otim'!R$3,0))</f>
        <v>77.407900826095812</v>
      </c>
      <c r="S211" s="19">
        <f ca="1">IF($A211-S$3&lt;2,0,OFFSET('FPSO1 Base'!S208,-'FPSO1 Otim'!S$3,0))</f>
        <v>410.17499999999995</v>
      </c>
      <c r="T211" s="19">
        <f ca="1">IF($A211-T$3&lt;2,0,OFFSET('FPSO1 Base'!T208,-'FPSO1 Otim'!T$3,0))</f>
        <v>609.12149999999997</v>
      </c>
      <c r="U211" s="19">
        <f ca="1">IF($A211-U$3&lt;2,0,OFFSET('FPSO1 Base'!U208,-'FPSO1 Otim'!U$3,0))</f>
        <v>546.34950000000003</v>
      </c>
      <c r="V211" s="19">
        <f ca="1">IF($A211-V$3&lt;2,0,OFFSET('FPSO1 Base'!V208,-'FPSO1 Otim'!V$3,0))</f>
        <v>516.33899999999994</v>
      </c>
      <c r="W211" s="19">
        <f ca="1">IF($A211-W$3&lt;2,0,OFFSET('FPSO1 Base'!W208,-'FPSO1 Otim'!W$3,0))</f>
        <v>265.053</v>
      </c>
      <c r="X211" s="19">
        <f ca="1">IF($A211-X$3&lt;2,0,OFFSET('FPSO1 Base'!X208,-'FPSO1 Otim'!X$3,0))</f>
        <v>951.12149999999997</v>
      </c>
      <c r="Y211" s="19">
        <f ca="1">IF($A211-Y$3&lt;2,0,OFFSET('FPSO1 Base'!Y208,-'FPSO1 Otim'!Y$3,0))</f>
        <v>484.73700000000002</v>
      </c>
      <c r="Z211" s="19">
        <f ca="1">IF($A211-Z$3&lt;2,0,OFFSET('FPSO1 Base'!Z208,-'FPSO1 Otim'!Z$3,0))</f>
        <v>515.37450000000001</v>
      </c>
      <c r="AA211" s="20">
        <v>15000</v>
      </c>
      <c r="AB211" s="19">
        <f t="shared" ca="1" si="13"/>
        <v>10440.970941122074</v>
      </c>
      <c r="AC211" s="20">
        <f t="shared" ca="1" si="14"/>
        <v>4559.0290588779262</v>
      </c>
      <c r="AD211" s="19">
        <f t="shared" ca="1" si="15"/>
        <v>1905.0018946417601</v>
      </c>
    </row>
    <row r="212" spans="1:30" x14ac:dyDescent="0.25">
      <c r="A212" s="19">
        <v>208</v>
      </c>
      <c r="B212" s="31">
        <v>51926</v>
      </c>
      <c r="C212" s="19">
        <f ca="1">IF($A212-C$3&lt;2,0,OFFSET('FPSO1 Base'!C209,-'FPSO1 Otim'!C$3,0))</f>
        <v>1230.0674999999999</v>
      </c>
      <c r="D212" s="19">
        <f ca="1">IF($A212-D$3&lt;2,0,OFFSET('FPSO1 Base'!D209,-'FPSO1 Otim'!D$3,0))</f>
        <v>164.29949999999999</v>
      </c>
      <c r="E212" s="19">
        <f ca="1">IF($A212-E$3&lt;2,0,OFFSET('FPSO1 Base'!E209,-'FPSO1 Otim'!E$3,0))</f>
        <v>451.57500000000005</v>
      </c>
      <c r="F212" s="19">
        <f ca="1">IF($A212-F$3&lt;2,0,OFFSET('FPSO1 Base'!F209,-'FPSO1 Otim'!F$3,0))</f>
        <v>481.33050000000003</v>
      </c>
      <c r="G212" s="19">
        <f ca="1">IF($A212-G$3&lt;2,0,OFFSET('FPSO1 Base'!G209,-'FPSO1 Otim'!G$3,0))</f>
        <v>163.404</v>
      </c>
      <c r="H212" s="19">
        <f ca="1">IF($A212-H$3&lt;2,0,OFFSET('FPSO1 Base'!H209,-'FPSO1 Otim'!H$3,0))</f>
        <v>641.62649999999996</v>
      </c>
      <c r="I212" s="19">
        <f ca="1">IF($A212-I$3&lt;2,0,OFFSET('FPSO1 Base'!I209,-'FPSO1 Otim'!I$3,0))</f>
        <v>484.839</v>
      </c>
      <c r="J212" s="19">
        <f ca="1">IF($A212-J$3&lt;2,0,OFFSET('FPSO1 Base'!J209,-'FPSO1 Otim'!J$3,0))</f>
        <v>278.34749999999997</v>
      </c>
      <c r="K212" s="19">
        <f ca="1">IF($A212-K$3&lt;2,0,OFFSET('FPSO1 Base'!K209,-'FPSO1 Otim'!K$3,0))</f>
        <v>288.459</v>
      </c>
      <c r="L212" s="19">
        <f ca="1">IF($A212-L$3&lt;2,0,OFFSET('FPSO1 Base'!L209,-'FPSO1 Otim'!L$3,0))</f>
        <v>376.791</v>
      </c>
      <c r="M212" s="19">
        <f ca="1">IF($A212-M$3&lt;2,0,OFFSET('FPSO1 Base'!M209,-'FPSO1 Otim'!M$3,0))</f>
        <v>404.697</v>
      </c>
      <c r="N212" s="19">
        <f ca="1">IF($A212-N$3&lt;2,0,OFFSET('FPSO1 Base'!N209,-'FPSO1 Otim'!N$3,0))</f>
        <v>43.177899893017319</v>
      </c>
      <c r="O212" s="19">
        <f ca="1">IF($A212-O$3&lt;2,0,OFFSET('FPSO1 Base'!O209,-'FPSO1 Otim'!O$3,0))</f>
        <v>432.85050000000001</v>
      </c>
      <c r="P212" s="19">
        <f ca="1">IF($A212-P$3&lt;2,0,OFFSET('FPSO1 Base'!P209,-'FPSO1 Otim'!P$3,0))</f>
        <v>198.96449999999999</v>
      </c>
      <c r="Q212" s="19">
        <f ca="1">IF($A212-Q$3&lt;2,0,OFFSET('FPSO1 Base'!Q209,-'FPSO1 Otim'!Q$3,0))</f>
        <v>402.88350000000003</v>
      </c>
      <c r="R212" s="19">
        <f ca="1">IF($A212-R$3&lt;2,0,OFFSET('FPSO1 Base'!R209,-'FPSO1 Otim'!R$3,0))</f>
        <v>76.633821817834857</v>
      </c>
      <c r="S212" s="19">
        <f ca="1">IF($A212-S$3&lt;2,0,OFFSET('FPSO1 Base'!S209,-'FPSO1 Otim'!S$3,0))</f>
        <v>408.726</v>
      </c>
      <c r="T212" s="19">
        <f ca="1">IF($A212-T$3&lt;2,0,OFFSET('FPSO1 Base'!T209,-'FPSO1 Otim'!T$3,0))</f>
        <v>608.05050000000006</v>
      </c>
      <c r="U212" s="19">
        <f ca="1">IF($A212-U$3&lt;2,0,OFFSET('FPSO1 Base'!U209,-'FPSO1 Otim'!U$3,0))</f>
        <v>544.98450000000003</v>
      </c>
      <c r="V212" s="19">
        <f ca="1">IF($A212-V$3&lt;2,0,OFFSET('FPSO1 Base'!V209,-'FPSO1 Otim'!V$3,0))</f>
        <v>513.29100000000005</v>
      </c>
      <c r="W212" s="19">
        <f ca="1">IF($A212-W$3&lt;2,0,OFFSET('FPSO1 Base'!W209,-'FPSO1 Otim'!W$3,0))</f>
        <v>264.47550000000001</v>
      </c>
      <c r="X212" s="19">
        <f ca="1">IF($A212-X$3&lt;2,0,OFFSET('FPSO1 Base'!X209,-'FPSO1 Otim'!X$3,0))</f>
        <v>948.5625</v>
      </c>
      <c r="Y212" s="19">
        <f ca="1">IF($A212-Y$3&lt;2,0,OFFSET('FPSO1 Base'!Y209,-'FPSO1 Otim'!Y$3,0))</f>
        <v>484.20899999999995</v>
      </c>
      <c r="Z212" s="19">
        <f ca="1">IF($A212-Z$3&lt;2,0,OFFSET('FPSO1 Base'!Z209,-'FPSO1 Otim'!Z$3,0))</f>
        <v>512.202</v>
      </c>
      <c r="AA212" s="20">
        <v>15000</v>
      </c>
      <c r="AB212" s="19">
        <f t="shared" ca="1" si="13"/>
        <v>10404.447721710852</v>
      </c>
      <c r="AC212" s="20">
        <f t="shared" ca="1" si="14"/>
        <v>4595.5522782891476</v>
      </c>
      <c r="AD212" s="19">
        <f t="shared" ca="1" si="15"/>
        <v>1882.6493253600086</v>
      </c>
    </row>
    <row r="213" spans="1:30" x14ac:dyDescent="0.25">
      <c r="A213" s="19">
        <v>209</v>
      </c>
      <c r="B213" s="31">
        <v>51957</v>
      </c>
      <c r="C213" s="19">
        <f ca="1">IF($A213-C$3&lt;2,0,OFFSET('FPSO1 Base'!C210,-'FPSO1 Otim'!C$3,0))</f>
        <v>1228.1010000000001</v>
      </c>
      <c r="D213" s="19">
        <f ca="1">IF($A213-D$3&lt;2,0,OFFSET('FPSO1 Base'!D210,-'FPSO1 Otim'!D$3,0))</f>
        <v>163.43700000000001</v>
      </c>
      <c r="E213" s="19">
        <f ca="1">IF($A213-E$3&lt;2,0,OFFSET('FPSO1 Base'!E210,-'FPSO1 Otim'!E$3,0))</f>
        <v>448.86300000000006</v>
      </c>
      <c r="F213" s="19">
        <f ca="1">IF($A213-F$3&lt;2,0,OFFSET('FPSO1 Base'!F210,-'FPSO1 Otim'!F$3,0))</f>
        <v>477.67199999999997</v>
      </c>
      <c r="G213" s="19">
        <f ca="1">IF($A213-G$3&lt;2,0,OFFSET('FPSO1 Base'!G210,-'FPSO1 Otim'!G$3,0))</f>
        <v>162.95250000000001</v>
      </c>
      <c r="H213" s="19">
        <f ca="1">IF($A213-H$3&lt;2,0,OFFSET('FPSO1 Base'!H210,-'FPSO1 Otim'!H$3,0))</f>
        <v>640.60950000000003</v>
      </c>
      <c r="I213" s="19">
        <f ca="1">IF($A213-I$3&lt;2,0,OFFSET('FPSO1 Base'!I210,-'FPSO1 Otim'!I$3,0))</f>
        <v>484.089</v>
      </c>
      <c r="J213" s="19">
        <f ca="1">IF($A213-J$3&lt;2,0,OFFSET('FPSO1 Base'!J210,-'FPSO1 Otim'!J$3,0))</f>
        <v>277.84950000000003</v>
      </c>
      <c r="K213" s="19">
        <f ca="1">IF($A213-K$3&lt;2,0,OFFSET('FPSO1 Base'!K210,-'FPSO1 Otim'!K$3,0))</f>
        <v>287.202</v>
      </c>
      <c r="L213" s="19">
        <f ca="1">IF($A213-L$3&lt;2,0,OFFSET('FPSO1 Base'!L210,-'FPSO1 Otim'!L$3,0))</f>
        <v>375.22500000000002</v>
      </c>
      <c r="M213" s="19">
        <f ca="1">IF($A213-M$3&lt;2,0,OFFSET('FPSO1 Base'!M210,-'FPSO1 Otim'!M$3,0))</f>
        <v>402.54899999999998</v>
      </c>
      <c r="N213" s="19">
        <f ca="1">IF($A213-N$3&lt;2,0,OFFSET('FPSO1 Base'!N210,-'FPSO1 Otim'!N$3,0))</f>
        <v>42.746120894087149</v>
      </c>
      <c r="O213" s="19">
        <f ca="1">IF($A213-O$3&lt;2,0,OFFSET('FPSO1 Base'!O210,-'FPSO1 Otim'!O$3,0))</f>
        <v>429.84749999999997</v>
      </c>
      <c r="P213" s="19">
        <f ca="1">IF($A213-P$3&lt;2,0,OFFSET('FPSO1 Base'!P210,-'FPSO1 Otim'!P$3,0))</f>
        <v>198.1695</v>
      </c>
      <c r="Q213" s="19">
        <f ca="1">IF($A213-Q$3&lt;2,0,OFFSET('FPSO1 Base'!Q210,-'FPSO1 Otim'!Q$3,0))</f>
        <v>402.303</v>
      </c>
      <c r="R213" s="19">
        <f ca="1">IF($A213-R$3&lt;2,0,OFFSET('FPSO1 Base'!R210,-'FPSO1 Otim'!R$3,0))</f>
        <v>75.867483599656509</v>
      </c>
      <c r="S213" s="19">
        <f ca="1">IF($A213-S$3&lt;2,0,OFFSET('FPSO1 Base'!S210,-'FPSO1 Otim'!S$3,0))</f>
        <v>407.202</v>
      </c>
      <c r="T213" s="19">
        <f ca="1">IF($A213-T$3&lt;2,0,OFFSET('FPSO1 Base'!T210,-'FPSO1 Otim'!T$3,0))</f>
        <v>607.077</v>
      </c>
      <c r="U213" s="19">
        <f ca="1">IF($A213-U$3&lt;2,0,OFFSET('FPSO1 Base'!U210,-'FPSO1 Otim'!U$3,0))</f>
        <v>543.58050000000003</v>
      </c>
      <c r="V213" s="19">
        <f ca="1">IF($A213-V$3&lt;2,0,OFFSET('FPSO1 Base'!V210,-'FPSO1 Otim'!V$3,0))</f>
        <v>510</v>
      </c>
      <c r="W213" s="19">
        <f ca="1">IF($A213-W$3&lt;2,0,OFFSET('FPSO1 Base'!W210,-'FPSO1 Otim'!W$3,0))</f>
        <v>263.988</v>
      </c>
      <c r="X213" s="19">
        <f ca="1">IF($A213-X$3&lt;2,0,OFFSET('FPSO1 Base'!X210,-'FPSO1 Otim'!X$3,0))</f>
        <v>946.13700000000006</v>
      </c>
      <c r="Y213" s="19">
        <f ca="1">IF($A213-Y$3&lt;2,0,OFFSET('FPSO1 Base'!Y210,-'FPSO1 Otim'!Y$3,0))</f>
        <v>483.66300000000001</v>
      </c>
      <c r="Z213" s="19">
        <f ca="1">IF($A213-Z$3&lt;2,0,OFFSET('FPSO1 Base'!Z210,-'FPSO1 Otim'!Z$3,0))</f>
        <v>509.226</v>
      </c>
      <c r="AA213" s="20">
        <v>15000</v>
      </c>
      <c r="AB213" s="19">
        <f t="shared" ca="1" si="13"/>
        <v>10368.356604493745</v>
      </c>
      <c r="AC213" s="20">
        <f t="shared" ca="1" si="14"/>
        <v>4631.6433955062548</v>
      </c>
      <c r="AD213" s="19">
        <f t="shared" ca="1" si="15"/>
        <v>1860.6136470817762</v>
      </c>
    </row>
    <row r="214" spans="1:30" x14ac:dyDescent="0.25">
      <c r="A214" s="19">
        <v>210</v>
      </c>
      <c r="B214" s="31">
        <v>51987</v>
      </c>
      <c r="C214" s="19">
        <f ca="1">IF($A214-C$3&lt;2,0,OFFSET('FPSO1 Base'!C211,-'FPSO1 Otim'!C$3,0))</f>
        <v>1225.98</v>
      </c>
      <c r="D214" s="19">
        <f ca="1">IF($A214-D$3&lt;2,0,OFFSET('FPSO1 Base'!D211,-'FPSO1 Otim'!D$3,0))</f>
        <v>162.6105</v>
      </c>
      <c r="E214" s="19">
        <f ca="1">IF($A214-E$3&lt;2,0,OFFSET('FPSO1 Base'!E211,-'FPSO1 Otim'!E$3,0))</f>
        <v>446.226</v>
      </c>
      <c r="F214" s="19">
        <f ca="1">IF($A214-F$3&lt;2,0,OFFSET('FPSO1 Base'!F211,-'FPSO1 Otim'!F$3,0))</f>
        <v>474.68999999999994</v>
      </c>
      <c r="G214" s="19">
        <f ca="1">IF($A214-G$3&lt;2,0,OFFSET('FPSO1 Base'!G211,-'FPSO1 Otim'!G$3,0))</f>
        <v>162.44999999999999</v>
      </c>
      <c r="H214" s="19">
        <f ca="1">IF($A214-H$3&lt;2,0,OFFSET('FPSO1 Base'!H211,-'FPSO1 Otim'!H$3,0))</f>
        <v>639.58199999999999</v>
      </c>
      <c r="I214" s="19">
        <f ca="1">IF($A214-I$3&lt;2,0,OFFSET('FPSO1 Base'!I211,-'FPSO1 Otim'!I$3,0))</f>
        <v>483.13350000000003</v>
      </c>
      <c r="J214" s="19">
        <f ca="1">IF($A214-J$3&lt;2,0,OFFSET('FPSO1 Base'!J211,-'FPSO1 Otim'!J$3,0))</f>
        <v>277.25850000000003</v>
      </c>
      <c r="K214" s="19">
        <f ca="1">IF($A214-K$3&lt;2,0,OFFSET('FPSO1 Base'!K211,-'FPSO1 Otim'!K$3,0))</f>
        <v>285.66899999999998</v>
      </c>
      <c r="L214" s="19">
        <f ca="1">IF($A214-L$3&lt;2,0,OFFSET('FPSO1 Base'!L211,-'FPSO1 Otim'!L$3,0))</f>
        <v>373.77750000000003</v>
      </c>
      <c r="M214" s="19">
        <f ca="1">IF($A214-M$3&lt;2,0,OFFSET('FPSO1 Base'!M211,-'FPSO1 Otim'!M$3,0))</f>
        <v>400.827</v>
      </c>
      <c r="N214" s="19">
        <f ca="1">IF($A214-N$3&lt;2,0,OFFSET('FPSO1 Base'!N211,-'FPSO1 Otim'!N$3,0))</f>
        <v>42.31865968514628</v>
      </c>
      <c r="O214" s="19">
        <f ca="1">IF($A214-O$3&lt;2,0,OFFSET('FPSO1 Base'!O211,-'FPSO1 Otim'!O$3,0))</f>
        <v>426.87150000000003</v>
      </c>
      <c r="P214" s="19">
        <f ca="1">IF($A214-P$3&lt;2,0,OFFSET('FPSO1 Base'!P211,-'FPSO1 Otim'!P$3,0))</f>
        <v>197.20050000000003</v>
      </c>
      <c r="Q214" s="19">
        <f ca="1">IF($A214-Q$3&lt;2,0,OFFSET('FPSO1 Base'!Q211,-'FPSO1 Otim'!Q$3,0))</f>
        <v>401.65049999999997</v>
      </c>
      <c r="R214" s="19">
        <f ca="1">IF($A214-R$3&lt;2,0,OFFSET('FPSO1 Base'!R211,-'FPSO1 Otim'!R$3,0))</f>
        <v>75.108808763659937</v>
      </c>
      <c r="S214" s="19">
        <f ca="1">IF($A214-S$3&lt;2,0,OFFSET('FPSO1 Base'!S211,-'FPSO1 Otim'!S$3,0))</f>
        <v>405.51299999999998</v>
      </c>
      <c r="T214" s="19">
        <f ca="1">IF($A214-T$3&lt;2,0,OFFSET('FPSO1 Base'!T211,-'FPSO1 Otim'!T$3,0))</f>
        <v>606.06000000000006</v>
      </c>
      <c r="U214" s="19">
        <f ca="1">IF($A214-U$3&lt;2,0,OFFSET('FPSO1 Base'!U211,-'FPSO1 Otim'!U$3,0))</f>
        <v>542.07449999999994</v>
      </c>
      <c r="V214" s="19">
        <f ca="1">IF($A214-V$3&lt;2,0,OFFSET('FPSO1 Base'!V211,-'FPSO1 Otim'!V$3,0))</f>
        <v>507.29100000000005</v>
      </c>
      <c r="W214" s="19">
        <f ca="1">IF($A214-W$3&lt;2,0,OFFSET('FPSO1 Base'!W211,-'FPSO1 Otim'!W$3,0))</f>
        <v>263.47949999999997</v>
      </c>
      <c r="X214" s="19">
        <f ca="1">IF($A214-X$3&lt;2,0,OFFSET('FPSO1 Base'!X211,-'FPSO1 Otim'!X$3,0))</f>
        <v>943.19999999999993</v>
      </c>
      <c r="Y214" s="19">
        <f ca="1">IF($A214-Y$3&lt;2,0,OFFSET('FPSO1 Base'!Y211,-'FPSO1 Otim'!Y$3,0))</f>
        <v>483.29100000000005</v>
      </c>
      <c r="Z214" s="19">
        <f ca="1">IF($A214-Z$3&lt;2,0,OFFSET('FPSO1 Base'!Z211,-'FPSO1 Otim'!Z$3,0))</f>
        <v>505.70100000000002</v>
      </c>
      <c r="AA214" s="20">
        <v>15000</v>
      </c>
      <c r="AB214" s="19">
        <f t="shared" ca="1" si="13"/>
        <v>10331.963968448807</v>
      </c>
      <c r="AC214" s="20">
        <f t="shared" ca="1" si="14"/>
        <v>4668.0360315511934</v>
      </c>
      <c r="AD214" s="19">
        <f t="shared" ca="1" si="15"/>
        <v>1838.7599466772492</v>
      </c>
    </row>
    <row r="215" spans="1:30" x14ac:dyDescent="0.25">
      <c r="A215" s="19">
        <v>211</v>
      </c>
      <c r="B215" s="31">
        <v>52018</v>
      </c>
      <c r="C215" s="19">
        <f ca="1">IF($A215-C$3&lt;2,0,OFFSET('FPSO1 Base'!C212,-'FPSO1 Otim'!C$3,0))</f>
        <v>1223.8530000000001</v>
      </c>
      <c r="D215" s="19">
        <f ca="1">IF($A215-D$3&lt;2,0,OFFSET('FPSO1 Base'!D212,-'FPSO1 Otim'!D$3,0))</f>
        <v>161.7825</v>
      </c>
      <c r="E215" s="19">
        <f ca="1">IF($A215-E$3&lt;2,0,OFFSET('FPSO1 Base'!E212,-'FPSO1 Otim'!E$3,0))</f>
        <v>443.41200000000003</v>
      </c>
      <c r="F215" s="19">
        <f ca="1">IF($A215-F$3&lt;2,0,OFFSET('FPSO1 Base'!F212,-'FPSO1 Otim'!F$3,0))</f>
        <v>471.52500000000003</v>
      </c>
      <c r="G215" s="19">
        <f ca="1">IF($A215-G$3&lt;2,0,OFFSET('FPSO1 Base'!G212,-'FPSO1 Otim'!G$3,0))</f>
        <v>161.9025</v>
      </c>
      <c r="H215" s="19">
        <f ca="1">IF($A215-H$3&lt;2,0,OFFSET('FPSO1 Base'!H212,-'FPSO1 Otim'!H$3,0))</f>
        <v>638.59800000000007</v>
      </c>
      <c r="I215" s="19">
        <f ca="1">IF($A215-I$3&lt;2,0,OFFSET('FPSO1 Base'!I212,-'FPSO1 Otim'!I$3,0))</f>
        <v>482.34749999999997</v>
      </c>
      <c r="J215" s="19">
        <f ca="1">IF($A215-J$3&lt;2,0,OFFSET('FPSO1 Base'!J212,-'FPSO1 Otim'!J$3,0))</f>
        <v>276.678</v>
      </c>
      <c r="K215" s="19">
        <f ca="1">IF($A215-K$3&lt;2,0,OFFSET('FPSO1 Base'!K212,-'FPSO1 Otim'!K$3,0))</f>
        <v>284.40749999999997</v>
      </c>
      <c r="L215" s="19">
        <f ca="1">IF($A215-L$3&lt;2,0,OFFSET('FPSO1 Base'!L212,-'FPSO1 Otim'!L$3,0))</f>
        <v>372.315</v>
      </c>
      <c r="M215" s="19">
        <f ca="1">IF($A215-M$3&lt;2,0,OFFSET('FPSO1 Base'!M212,-'FPSO1 Otim'!M$3,0))</f>
        <v>398.83799999999997</v>
      </c>
      <c r="N215" s="19">
        <f ca="1">IF($A215-N$3&lt;2,0,OFFSET('FPSO1 Base'!N212,-'FPSO1 Otim'!N$3,0))</f>
        <v>41.895473088294814</v>
      </c>
      <c r="O215" s="19">
        <f ca="1">IF($A215-O$3&lt;2,0,OFFSET('FPSO1 Base'!O212,-'FPSO1 Otim'!O$3,0))</f>
        <v>423.85050000000001</v>
      </c>
      <c r="P215" s="19">
        <f ca="1">IF($A215-P$3&lt;2,0,OFFSET('FPSO1 Base'!P212,-'FPSO1 Otim'!P$3,0))</f>
        <v>196.35449999999997</v>
      </c>
      <c r="Q215" s="19">
        <f ca="1">IF($A215-Q$3&lt;2,0,OFFSET('FPSO1 Base'!Q212,-'FPSO1 Otim'!Q$3,0))</f>
        <v>401.09249999999997</v>
      </c>
      <c r="R215" s="19">
        <f ca="1">IF($A215-R$3&lt;2,0,OFFSET('FPSO1 Base'!R212,-'FPSO1 Otim'!R$3,0))</f>
        <v>74.357720676023334</v>
      </c>
      <c r="S215" s="19">
        <f ca="1">IF($A215-S$3&lt;2,0,OFFSET('FPSO1 Base'!S212,-'FPSO1 Otim'!S$3,0))</f>
        <v>443.976</v>
      </c>
      <c r="T215" s="19">
        <f ca="1">IF($A215-T$3&lt;2,0,OFFSET('FPSO1 Base'!T212,-'FPSO1 Otim'!T$3,0))</f>
        <v>605.01299999999992</v>
      </c>
      <c r="U215" s="19">
        <f ca="1">IF($A215-U$3&lt;2,0,OFFSET('FPSO1 Base'!U212,-'FPSO1 Otim'!U$3,0))</f>
        <v>540.702</v>
      </c>
      <c r="V215" s="19">
        <f ca="1">IF($A215-V$3&lt;2,0,OFFSET('FPSO1 Base'!V212,-'FPSO1 Otim'!V$3,0))</f>
        <v>504.45000000000005</v>
      </c>
      <c r="W215" s="19">
        <f ca="1">IF($A215-W$3&lt;2,0,OFFSET('FPSO1 Base'!W212,-'FPSO1 Otim'!W$3,0))</f>
        <v>262.93950000000001</v>
      </c>
      <c r="X215" s="19">
        <f ca="1">IF($A215-X$3&lt;2,0,OFFSET('FPSO1 Base'!X212,-'FPSO1 Otim'!X$3,0))</f>
        <v>940.23450000000003</v>
      </c>
      <c r="Y215" s="19">
        <f ca="1">IF($A215-Y$3&lt;2,0,OFFSET('FPSO1 Base'!Y212,-'FPSO1 Otim'!Y$3,0))</f>
        <v>482.952</v>
      </c>
      <c r="Z215" s="19">
        <f ca="1">IF($A215-Z$3&lt;2,0,OFFSET('FPSO1 Base'!Z212,-'FPSO1 Otim'!Z$3,0))</f>
        <v>502.911</v>
      </c>
      <c r="AA215" s="20">
        <v>15000</v>
      </c>
      <c r="AB215" s="19">
        <f t="shared" ca="1" si="13"/>
        <v>10336.387693764318</v>
      </c>
      <c r="AC215" s="20">
        <f t="shared" ca="1" si="14"/>
        <v>4663.6123062356819</v>
      </c>
      <c r="AD215" s="19">
        <f t="shared" ca="1" si="15"/>
        <v>1824.3443589869164</v>
      </c>
    </row>
    <row r="216" spans="1:30" x14ac:dyDescent="0.25">
      <c r="A216" s="19">
        <v>212</v>
      </c>
      <c r="B216" s="31">
        <v>52048</v>
      </c>
      <c r="C216" s="19">
        <f ca="1">IF($A216-C$3&lt;2,0,OFFSET('FPSO1 Base'!C213,-'FPSO1 Otim'!C$3,0))</f>
        <v>1221.5610000000001</v>
      </c>
      <c r="D216" s="19">
        <f ca="1">IF($A216-D$3&lt;2,0,OFFSET('FPSO1 Base'!D213,-'FPSO1 Otim'!D$3,0))</f>
        <v>161.01</v>
      </c>
      <c r="E216" s="19">
        <f ca="1">IF($A216-E$3&lt;2,0,OFFSET('FPSO1 Base'!E213,-'FPSO1 Otim'!E$3,0))</f>
        <v>440.93999999999994</v>
      </c>
      <c r="F216" s="19">
        <f ca="1">IF($A216-F$3&lt;2,0,OFFSET('FPSO1 Base'!F213,-'FPSO1 Otim'!F$3,0))</f>
        <v>468.678</v>
      </c>
      <c r="G216" s="19">
        <f ca="1">IF($A216-G$3&lt;2,0,OFFSET('FPSO1 Base'!G213,-'FPSO1 Otim'!G$3,0))</f>
        <v>161.358</v>
      </c>
      <c r="H216" s="19">
        <f ca="1">IF($A216-H$3&lt;2,0,OFFSET('FPSO1 Base'!H213,-'FPSO1 Otim'!H$3,0))</f>
        <v>637.58550000000002</v>
      </c>
      <c r="I216" s="19">
        <f ca="1">IF($A216-I$3&lt;2,0,OFFSET('FPSO1 Base'!I213,-'FPSO1 Otim'!I$3,0))</f>
        <v>481.42499999999995</v>
      </c>
      <c r="J216" s="19">
        <f ca="1">IF($A216-J$3&lt;2,0,OFFSET('FPSO1 Base'!J213,-'FPSO1 Otim'!J$3,0))</f>
        <v>275.97300000000001</v>
      </c>
      <c r="K216" s="19">
        <f ca="1">IF($A216-K$3&lt;2,0,OFFSET('FPSO1 Base'!K213,-'FPSO1 Otim'!K$3,0))</f>
        <v>282.97500000000002</v>
      </c>
      <c r="L216" s="19">
        <f ca="1">IF($A216-L$3&lt;2,0,OFFSET('FPSO1 Base'!L213,-'FPSO1 Otim'!L$3,0))</f>
        <v>370.78800000000001</v>
      </c>
      <c r="M216" s="19">
        <f ca="1">IF($A216-M$3&lt;2,0,OFFSET('FPSO1 Base'!M213,-'FPSO1 Otim'!M$3,0))</f>
        <v>397.06499999999994</v>
      </c>
      <c r="N216" s="19">
        <f ca="1">IF($A216-N$3&lt;2,0,OFFSET('FPSO1 Base'!N213,-'FPSO1 Otim'!N$3,0))</f>
        <v>41.476518357411862</v>
      </c>
      <c r="O216" s="19">
        <f ca="1">IF($A216-O$3&lt;2,0,OFFSET('FPSO1 Base'!O213,-'FPSO1 Otim'!O$3,0))</f>
        <v>421.089</v>
      </c>
      <c r="P216" s="19">
        <f ca="1">IF($A216-P$3&lt;2,0,OFFSET('FPSO1 Base'!P213,-'FPSO1 Otim'!P$3,0))</f>
        <v>195.42449999999997</v>
      </c>
      <c r="Q216" s="19">
        <f ca="1">IF($A216-Q$3&lt;2,0,OFFSET('FPSO1 Base'!Q213,-'FPSO1 Otim'!Q$3,0))</f>
        <v>400.45049999999998</v>
      </c>
      <c r="R216" s="19">
        <f ca="1">IF($A216-R$3&lt;2,0,OFFSET('FPSO1 Base'!R213,-'FPSO1 Otim'!R$3,0))</f>
        <v>73.614143469263098</v>
      </c>
      <c r="S216" s="19">
        <f ca="1">IF($A216-S$3&lt;2,0,OFFSET('FPSO1 Base'!S213,-'FPSO1 Otim'!S$3,0))</f>
        <v>437.59950000000003</v>
      </c>
      <c r="T216" s="19">
        <f ca="1">IF($A216-T$3&lt;2,0,OFFSET('FPSO1 Base'!T213,-'FPSO1 Otim'!T$3,0))</f>
        <v>604.01549999999997</v>
      </c>
      <c r="U216" s="19">
        <f ca="1">IF($A216-U$3&lt;2,0,OFFSET('FPSO1 Base'!U213,-'FPSO1 Otim'!U$3,0))</f>
        <v>539.05050000000006</v>
      </c>
      <c r="V216" s="19">
        <f ca="1">IF($A216-V$3&lt;2,0,OFFSET('FPSO1 Base'!V213,-'FPSO1 Otim'!V$3,0))</f>
        <v>501.822</v>
      </c>
      <c r="W216" s="19">
        <f ca="1">IF($A216-W$3&lt;2,0,OFFSET('FPSO1 Base'!W213,-'FPSO1 Otim'!W$3,0))</f>
        <v>262.476</v>
      </c>
      <c r="X216" s="19">
        <f ca="1">IF($A216-X$3&lt;2,0,OFFSET('FPSO1 Base'!X213,-'FPSO1 Otim'!X$3,0))</f>
        <v>936.90000000000009</v>
      </c>
      <c r="Y216" s="19">
        <f ca="1">IF($A216-Y$3&lt;2,0,OFFSET('FPSO1 Base'!Y213,-'FPSO1 Otim'!Y$3,0))</f>
        <v>482.61149999999998</v>
      </c>
      <c r="Z216" s="19">
        <f ca="1">IF($A216-Z$3&lt;2,0,OFFSET('FPSO1 Base'!Z213,-'FPSO1 Otim'!Z$3,0))</f>
        <v>499.65000000000003</v>
      </c>
      <c r="AA216" s="20">
        <v>15000</v>
      </c>
      <c r="AB216" s="19">
        <f t="shared" ca="1" si="13"/>
        <v>10295.538161826675</v>
      </c>
      <c r="AC216" s="20">
        <f t="shared" ca="1" si="14"/>
        <v>4704.4618381733253</v>
      </c>
      <c r="AD216" s="19">
        <f t="shared" ca="1" si="15"/>
        <v>1802.1168868054303</v>
      </c>
    </row>
    <row r="217" spans="1:30" x14ac:dyDescent="0.25">
      <c r="A217" s="19">
        <v>213</v>
      </c>
      <c r="B217" s="31">
        <v>52079</v>
      </c>
      <c r="C217" s="19">
        <f ca="1">IF($A217-C$3&lt;2,0,OFFSET('FPSO1 Base'!C214,-'FPSO1 Otim'!C$3,0))</f>
        <v>1218.8924999999999</v>
      </c>
      <c r="D217" s="19">
        <f ca="1">IF($A217-D$3&lt;2,0,OFFSET('FPSO1 Base'!D214,-'FPSO1 Otim'!D$3,0))</f>
        <v>160.2225</v>
      </c>
      <c r="E217" s="19">
        <f ca="1">IF($A217-E$3&lt;2,0,OFFSET('FPSO1 Base'!E214,-'FPSO1 Otim'!E$3,0))</f>
        <v>438.22499999999997</v>
      </c>
      <c r="F217" s="19">
        <f ca="1">IF($A217-F$3&lt;2,0,OFFSET('FPSO1 Base'!F214,-'FPSO1 Otim'!F$3,0))</f>
        <v>465.61200000000002</v>
      </c>
      <c r="G217" s="19">
        <f ca="1">IF($A217-G$3&lt;2,0,OFFSET('FPSO1 Base'!G214,-'FPSO1 Otim'!G$3,0))</f>
        <v>160.827</v>
      </c>
      <c r="H217" s="19">
        <f ca="1">IF($A217-H$3&lt;2,0,OFFSET('FPSO1 Base'!H214,-'FPSO1 Otim'!H$3,0))</f>
        <v>636.60900000000004</v>
      </c>
      <c r="I217" s="19">
        <f ca="1">IF($A217-I$3&lt;2,0,OFFSET('FPSO1 Base'!I214,-'FPSO1 Otim'!I$3,0))</f>
        <v>480.60450000000003</v>
      </c>
      <c r="J217" s="19">
        <f ca="1">IF($A217-J$3&lt;2,0,OFFSET('FPSO1 Base'!J214,-'FPSO1 Otim'!J$3,0))</f>
        <v>275.41949999999997</v>
      </c>
      <c r="K217" s="19">
        <f ca="1">IF($A217-K$3&lt;2,0,OFFSET('FPSO1 Base'!K214,-'FPSO1 Otim'!K$3,0))</f>
        <v>281.697</v>
      </c>
      <c r="L217" s="19">
        <f ca="1">IF($A217-L$3&lt;2,0,OFFSET('FPSO1 Base'!L214,-'FPSO1 Otim'!L$3,0))</f>
        <v>369.399</v>
      </c>
      <c r="M217" s="19">
        <f ca="1">IF($A217-M$3&lt;2,0,OFFSET('FPSO1 Base'!M214,-'FPSO1 Otim'!M$3,0))</f>
        <v>395.12549999999999</v>
      </c>
      <c r="N217" s="19">
        <f ca="1">IF($A217-N$3&lt;2,0,OFFSET('FPSO1 Base'!N214,-'FPSO1 Otim'!N$3,0))</f>
        <v>41.061753173837744</v>
      </c>
      <c r="O217" s="19">
        <f ca="1">IF($A217-O$3&lt;2,0,OFFSET('FPSO1 Base'!O214,-'FPSO1 Otim'!O$3,0))</f>
        <v>418.125</v>
      </c>
      <c r="P217" s="19">
        <f ca="1">IF($A217-P$3&lt;2,0,OFFSET('FPSO1 Base'!P214,-'FPSO1 Otim'!P$3,0))</f>
        <v>194.541</v>
      </c>
      <c r="Q217" s="19">
        <f ca="1">IF($A217-Q$3&lt;2,0,OFFSET('FPSO1 Base'!Q214,-'FPSO1 Otim'!Q$3,0))</f>
        <v>399.87150000000003</v>
      </c>
      <c r="R217" s="19">
        <f ca="1">IF($A217-R$3&lt;2,0,OFFSET('FPSO1 Base'!R214,-'FPSO1 Otim'!R$3,0))</f>
        <v>72.878002034570471</v>
      </c>
      <c r="S217" s="19">
        <f ca="1">IF($A217-S$3&lt;2,0,OFFSET('FPSO1 Base'!S214,-'FPSO1 Otim'!S$3,0))</f>
        <v>430.41600000000005</v>
      </c>
      <c r="T217" s="19">
        <f ca="1">IF($A217-T$3&lt;2,0,OFFSET('FPSO1 Base'!T214,-'FPSO1 Otim'!T$3,0))</f>
        <v>602.93700000000001</v>
      </c>
      <c r="U217" s="19">
        <f ca="1">IF($A217-U$3&lt;2,0,OFFSET('FPSO1 Base'!U214,-'FPSO1 Otim'!U$3,0))</f>
        <v>537.50850000000003</v>
      </c>
      <c r="V217" s="19">
        <f ca="1">IF($A217-V$3&lt;2,0,OFFSET('FPSO1 Base'!V214,-'FPSO1 Otim'!V$3,0))</f>
        <v>499.04999999999995</v>
      </c>
      <c r="W217" s="19">
        <f ca="1">IF($A217-W$3&lt;2,0,OFFSET('FPSO1 Base'!W214,-'FPSO1 Otim'!W$3,0))</f>
        <v>261.97500000000002</v>
      </c>
      <c r="X217" s="19">
        <f ca="1">IF($A217-X$3&lt;2,0,OFFSET('FPSO1 Base'!X214,-'FPSO1 Otim'!X$3,0))</f>
        <v>933.31500000000005</v>
      </c>
      <c r="Y217" s="19">
        <f ca="1">IF($A217-Y$3&lt;2,0,OFFSET('FPSO1 Base'!Y214,-'FPSO1 Otim'!Y$3,0))</f>
        <v>482.25</v>
      </c>
      <c r="Z217" s="19">
        <f ca="1">IF($A217-Z$3&lt;2,0,OFFSET('FPSO1 Base'!Z214,-'FPSO1 Otim'!Z$3,0))</f>
        <v>496.64549999999997</v>
      </c>
      <c r="AA217" s="20">
        <v>15000</v>
      </c>
      <c r="AB217" s="19">
        <f t="shared" ca="1" si="13"/>
        <v>10253.20775520841</v>
      </c>
      <c r="AC217" s="20">
        <f t="shared" ca="1" si="14"/>
        <v>4746.7922447915898</v>
      </c>
      <c r="AD217" s="19">
        <f t="shared" ca="1" si="15"/>
        <v>1779.8751376434543</v>
      </c>
    </row>
    <row r="218" spans="1:30" x14ac:dyDescent="0.25">
      <c r="A218" s="19">
        <v>214</v>
      </c>
      <c r="B218" s="31">
        <v>52110</v>
      </c>
      <c r="C218" s="19">
        <f ca="1">IF($A218-C$3&lt;2,0,OFFSET('FPSO1 Base'!C215,-'FPSO1 Otim'!C$3,0))</f>
        <v>1216.26</v>
      </c>
      <c r="D218" s="19">
        <f ca="1">IF($A218-D$3&lt;2,0,OFFSET('FPSO1 Base'!D215,-'FPSO1 Otim'!D$3,0))</f>
        <v>158.56950000000001</v>
      </c>
      <c r="E218" s="19">
        <f ca="1">IF($A218-E$3&lt;2,0,OFFSET('FPSO1 Base'!E215,-'FPSO1 Otim'!E$3,0))</f>
        <v>435.678</v>
      </c>
      <c r="F218" s="19">
        <f ca="1">IF($A218-F$3&lt;2,0,OFFSET('FPSO1 Base'!F215,-'FPSO1 Otim'!F$3,0))</f>
        <v>462.726</v>
      </c>
      <c r="G218" s="19">
        <f ca="1">IF($A218-G$3&lt;2,0,OFFSET('FPSO1 Base'!G215,-'FPSO1 Otim'!G$3,0))</f>
        <v>160.34699999999998</v>
      </c>
      <c r="H218" s="19">
        <f ca="1">IF($A218-H$3&lt;2,0,OFFSET('FPSO1 Base'!H215,-'FPSO1 Otim'!H$3,0))</f>
        <v>635.62350000000004</v>
      </c>
      <c r="I218" s="19">
        <f ca="1">IF($A218-I$3&lt;2,0,OFFSET('FPSO1 Base'!I215,-'FPSO1 Otim'!I$3,0))</f>
        <v>479.625</v>
      </c>
      <c r="J218" s="19">
        <f ca="1">IF($A218-J$3&lt;2,0,OFFSET('FPSO1 Base'!J215,-'FPSO1 Otim'!J$3,0))</f>
        <v>274.79999999999995</v>
      </c>
      <c r="K218" s="19">
        <f ca="1">IF($A218-K$3&lt;2,0,OFFSET('FPSO1 Base'!K215,-'FPSO1 Otim'!K$3,0))</f>
        <v>280.28700000000003</v>
      </c>
      <c r="L218" s="19">
        <f ca="1">IF($A218-L$3&lt;2,0,OFFSET('FPSO1 Base'!L215,-'FPSO1 Otim'!L$3,0))</f>
        <v>367.90049999999997</v>
      </c>
      <c r="M218" s="19">
        <f ca="1">IF($A218-M$3&lt;2,0,OFFSET('FPSO1 Base'!M215,-'FPSO1 Otim'!M$3,0))</f>
        <v>393.303</v>
      </c>
      <c r="N218" s="19">
        <f ca="1">IF($A218-N$3&lt;2,0,OFFSET('FPSO1 Base'!N215,-'FPSO1 Otim'!N$3,0))</f>
        <v>40.651135642099369</v>
      </c>
      <c r="O218" s="19">
        <f ca="1">IF($A218-O$3&lt;2,0,OFFSET('FPSO1 Base'!O215,-'FPSO1 Otim'!O$3,0))</f>
        <v>410.589</v>
      </c>
      <c r="P218" s="19">
        <f ca="1">IF($A218-P$3&lt;2,0,OFFSET('FPSO1 Base'!P215,-'FPSO1 Otim'!P$3,0))</f>
        <v>193.64550000000003</v>
      </c>
      <c r="Q218" s="19">
        <f ca="1">IF($A218-Q$3&lt;2,0,OFFSET('FPSO1 Base'!Q215,-'FPSO1 Otim'!Q$3,0))</f>
        <v>399.327</v>
      </c>
      <c r="R218" s="19">
        <f ca="1">IF($A218-R$3&lt;2,0,OFFSET('FPSO1 Base'!R215,-'FPSO1 Otim'!R$3,0))</f>
        <v>72.149222014224762</v>
      </c>
      <c r="S218" s="19">
        <f ca="1">IF($A218-S$3&lt;2,0,OFFSET('FPSO1 Base'!S215,-'FPSO1 Otim'!S$3,0))</f>
        <v>426.47249999999997</v>
      </c>
      <c r="T218" s="19">
        <f ca="1">IF($A218-T$3&lt;2,0,OFFSET('FPSO1 Base'!T215,-'FPSO1 Otim'!T$3,0))</f>
        <v>601.91100000000006</v>
      </c>
      <c r="U218" s="19">
        <f ca="1">IF($A218-U$3&lt;2,0,OFFSET('FPSO1 Base'!U215,-'FPSO1 Otim'!U$3,0))</f>
        <v>536.05649999999991</v>
      </c>
      <c r="V218" s="19">
        <f ca="1">IF($A218-V$3&lt;2,0,OFFSET('FPSO1 Base'!V215,-'FPSO1 Otim'!V$3,0))</f>
        <v>496.5</v>
      </c>
      <c r="W218" s="19">
        <f ca="1">IF($A218-W$3&lt;2,0,OFFSET('FPSO1 Base'!W215,-'FPSO1 Otim'!W$3,0))</f>
        <v>261.49649999999997</v>
      </c>
      <c r="X218" s="19">
        <f ca="1">IF($A218-X$3&lt;2,0,OFFSET('FPSO1 Base'!X215,-'FPSO1 Otim'!X$3,0))</f>
        <v>929.58899999999994</v>
      </c>
      <c r="Y218" s="19">
        <f ca="1">IF($A218-Y$3&lt;2,0,OFFSET('FPSO1 Base'!Y215,-'FPSO1 Otim'!Y$3,0))</f>
        <v>481.81200000000001</v>
      </c>
      <c r="Z218" s="19">
        <f ca="1">IF($A218-Z$3&lt;2,0,OFFSET('FPSO1 Base'!Z215,-'FPSO1 Otim'!Z$3,0))</f>
        <v>493.36200000000002</v>
      </c>
      <c r="AA218" s="20">
        <v>15000</v>
      </c>
      <c r="AB218" s="19">
        <f t="shared" ca="1" si="13"/>
        <v>10208.680857656322</v>
      </c>
      <c r="AC218" s="20">
        <f t="shared" ca="1" si="14"/>
        <v>4791.3191423436783</v>
      </c>
      <c r="AD218" s="19">
        <f t="shared" ca="1" si="15"/>
        <v>1757.4997915574841</v>
      </c>
    </row>
    <row r="219" spans="1:30" x14ac:dyDescent="0.25">
      <c r="A219" s="19">
        <v>215</v>
      </c>
      <c r="B219" s="31">
        <v>52140</v>
      </c>
      <c r="C219" s="19">
        <f ca="1">IF($A219-C$3&lt;2,0,OFFSET('FPSO1 Base'!C216,-'FPSO1 Otim'!C$3,0))</f>
        <v>1213.4580000000001</v>
      </c>
      <c r="D219" s="19">
        <f ca="1">IF($A219-D$3&lt;2,0,OFFSET('FPSO1 Base'!D216,-'FPSO1 Otim'!D$3,0))</f>
        <v>157.90199999999999</v>
      </c>
      <c r="E219" s="19">
        <f ca="1">IF($A219-E$3&lt;2,0,OFFSET('FPSO1 Base'!E216,-'FPSO1 Otim'!E$3,0))</f>
        <v>433.28250000000003</v>
      </c>
      <c r="F219" s="19">
        <f ca="1">IF($A219-F$3&lt;2,0,OFFSET('FPSO1 Base'!F216,-'FPSO1 Otim'!F$3,0))</f>
        <v>459.93149999999997</v>
      </c>
      <c r="G219" s="19">
        <f ca="1">IF($A219-G$3&lt;2,0,OFFSET('FPSO1 Base'!G216,-'FPSO1 Otim'!G$3,0))</f>
        <v>159.89850000000001</v>
      </c>
      <c r="H219" s="19">
        <f ca="1">IF($A219-H$3&lt;2,0,OFFSET('FPSO1 Base'!H216,-'FPSO1 Otim'!H$3,0))</f>
        <v>629.36249999999995</v>
      </c>
      <c r="I219" s="19">
        <f ca="1">IF($A219-I$3&lt;2,0,OFFSET('FPSO1 Base'!I216,-'FPSO1 Otim'!I$3,0))</f>
        <v>478.71749999999997</v>
      </c>
      <c r="J219" s="19">
        <f ca="1">IF($A219-J$3&lt;2,0,OFFSET('FPSO1 Base'!J216,-'FPSO1 Otim'!J$3,0))</f>
        <v>274.23450000000003</v>
      </c>
      <c r="K219" s="19">
        <f ca="1">IF($A219-K$3&lt;2,0,OFFSET('FPSO1 Base'!K216,-'FPSO1 Otim'!K$3,0))</f>
        <v>278.916</v>
      </c>
      <c r="L219" s="19">
        <f ca="1">IF($A219-L$3&lt;2,0,OFFSET('FPSO1 Base'!L216,-'FPSO1 Otim'!L$3,0))</f>
        <v>366.47249999999997</v>
      </c>
      <c r="M219" s="19">
        <f ca="1">IF($A219-M$3&lt;2,0,OFFSET('FPSO1 Base'!M216,-'FPSO1 Otim'!M$3,0))</f>
        <v>391.5</v>
      </c>
      <c r="N219" s="19">
        <f ca="1">IF($A219-N$3&lt;2,0,OFFSET('FPSO1 Base'!N216,-'FPSO1 Otim'!N$3,0))</f>
        <v>40.244624285678377</v>
      </c>
      <c r="O219" s="19">
        <f ca="1">IF($A219-O$3&lt;2,0,OFFSET('FPSO1 Base'!O216,-'FPSO1 Otim'!O$3,0))</f>
        <v>407.49149999999997</v>
      </c>
      <c r="P219" s="19">
        <f ca="1">IF($A219-P$3&lt;2,0,OFFSET('FPSO1 Base'!P216,-'FPSO1 Otim'!P$3,0))</f>
        <v>192.70050000000003</v>
      </c>
      <c r="Q219" s="19">
        <f ca="1">IF($A219-Q$3&lt;2,0,OFFSET('FPSO1 Base'!Q216,-'FPSO1 Otim'!Q$3,0))</f>
        <v>398.65199999999993</v>
      </c>
      <c r="R219" s="19">
        <f ca="1">IF($A219-R$3&lt;2,0,OFFSET('FPSO1 Base'!R216,-'FPSO1 Otim'!R$3,0))</f>
        <v>71.427729794082509</v>
      </c>
      <c r="S219" s="19">
        <f ca="1">IF($A219-S$3&lt;2,0,OFFSET('FPSO1 Base'!S216,-'FPSO1 Otim'!S$3,0))</f>
        <v>422.98649999999998</v>
      </c>
      <c r="T219" s="19">
        <f ca="1">IF($A219-T$3&lt;2,0,OFFSET('FPSO1 Base'!T216,-'FPSO1 Otim'!T$3,0))</f>
        <v>600.99149999999997</v>
      </c>
      <c r="U219" s="19">
        <f ca="1">IF($A219-U$3&lt;2,0,OFFSET('FPSO1 Base'!U216,-'FPSO1 Otim'!U$3,0))</f>
        <v>534.34800000000007</v>
      </c>
      <c r="V219" s="19">
        <f ca="1">IF($A219-V$3&lt;2,0,OFFSET('FPSO1 Base'!V216,-'FPSO1 Otim'!V$3,0))</f>
        <v>493.93500000000006</v>
      </c>
      <c r="W219" s="19">
        <f ca="1">IF($A219-W$3&lt;2,0,OFFSET('FPSO1 Base'!W216,-'FPSO1 Otim'!W$3,0))</f>
        <v>260.988</v>
      </c>
      <c r="X219" s="19">
        <f ca="1">IF($A219-X$3&lt;2,0,OFFSET('FPSO1 Base'!X216,-'FPSO1 Otim'!X$3,0))</f>
        <v>925.60050000000001</v>
      </c>
      <c r="Y219" s="19">
        <f ca="1">IF($A219-Y$3&lt;2,0,OFFSET('FPSO1 Base'!Y216,-'FPSO1 Otim'!Y$3,0))</f>
        <v>481.33050000000003</v>
      </c>
      <c r="Z219" s="19">
        <f ca="1">IF($A219-Z$3&lt;2,0,OFFSET('FPSO1 Base'!Z216,-'FPSO1 Otim'!Z$3,0))</f>
        <v>490.29449999999997</v>
      </c>
      <c r="AA219" s="20">
        <v>15000</v>
      </c>
      <c r="AB219" s="19">
        <f t="shared" ca="1" si="13"/>
        <v>10164.666354079762</v>
      </c>
      <c r="AC219" s="20">
        <f t="shared" ca="1" si="14"/>
        <v>4835.3336459202383</v>
      </c>
      <c r="AD219" s="19">
        <f t="shared" ca="1" si="15"/>
        <v>1735.460201414201</v>
      </c>
    </row>
    <row r="220" spans="1:30" x14ac:dyDescent="0.25">
      <c r="A220" s="19">
        <v>216</v>
      </c>
      <c r="B220" s="31">
        <v>52171</v>
      </c>
      <c r="C220" s="19">
        <f ca="1">IF($A220-C$3&lt;2,0,OFFSET('FPSO1 Base'!C217,-'FPSO1 Otim'!C$3,0))</f>
        <v>1210.596</v>
      </c>
      <c r="D220" s="19">
        <f ca="1">IF($A220-D$3&lt;2,0,OFFSET('FPSO1 Base'!D217,-'FPSO1 Otim'!D$3,0))</f>
        <v>157.36500000000001</v>
      </c>
      <c r="E220" s="19">
        <f ca="1">IF($A220-E$3&lt;2,0,OFFSET('FPSO1 Base'!E217,-'FPSO1 Otim'!E$3,0))</f>
        <v>430.52699999999993</v>
      </c>
      <c r="F220" s="19">
        <f ca="1">IF($A220-F$3&lt;2,0,OFFSET('FPSO1 Base'!F217,-'FPSO1 Otim'!F$3,0))</f>
        <v>456.97499999999997</v>
      </c>
      <c r="G220" s="19">
        <f ca="1">IF($A220-G$3&lt;2,0,OFFSET('FPSO1 Base'!G217,-'FPSO1 Otim'!G$3,0))</f>
        <v>159.54300000000001</v>
      </c>
      <c r="H220" s="19">
        <f ca="1">IF($A220-H$3&lt;2,0,OFFSET('FPSO1 Base'!H217,-'FPSO1 Otim'!H$3,0))</f>
        <v>628.57500000000005</v>
      </c>
      <c r="I220" s="19">
        <f ca="1">IF($A220-I$3&lt;2,0,OFFSET('FPSO1 Base'!I217,-'FPSO1 Otim'!I$3,0))</f>
        <v>477.798</v>
      </c>
      <c r="J220" s="19">
        <f ca="1">IF($A220-J$3&lt;2,0,OFFSET('FPSO1 Base'!J217,-'FPSO1 Otim'!J$3,0))</f>
        <v>273.64949999999999</v>
      </c>
      <c r="K220" s="19">
        <f ca="1">IF($A220-K$3&lt;2,0,OFFSET('FPSO1 Base'!K217,-'FPSO1 Otim'!K$3,0))</f>
        <v>277.584</v>
      </c>
      <c r="L220" s="19">
        <f ca="1">IF($A220-L$3&lt;2,0,OFFSET('FPSO1 Base'!L217,-'FPSO1 Otim'!L$3,0))</f>
        <v>365.10449999999997</v>
      </c>
      <c r="M220" s="19">
        <f ca="1">IF($A220-M$3&lt;2,0,OFFSET('FPSO1 Base'!M217,-'FPSO1 Otim'!M$3,0))</f>
        <v>389.65049999999997</v>
      </c>
      <c r="N220" s="19">
        <f ca="1">IF($A220-N$3&lt;2,0,OFFSET('FPSO1 Base'!N217,-'FPSO1 Otim'!N$3,0))</f>
        <v>39.842178042821594</v>
      </c>
      <c r="O220" s="19">
        <f ca="1">IF($A220-O$3&lt;2,0,OFFSET('FPSO1 Base'!O217,-'FPSO1 Otim'!O$3,0))</f>
        <v>404.57100000000003</v>
      </c>
      <c r="P220" s="19">
        <f ca="1">IF($A220-P$3&lt;2,0,OFFSET('FPSO1 Base'!P217,-'FPSO1 Otim'!P$3,0))</f>
        <v>191.9025</v>
      </c>
      <c r="Q220" s="19">
        <f ca="1">IF($A220-Q$3&lt;2,0,OFFSET('FPSO1 Base'!Q217,-'FPSO1 Otim'!Q$3,0))</f>
        <v>398.12849999999997</v>
      </c>
      <c r="R220" s="19">
        <f ca="1">IF($A220-R$3&lt;2,0,OFFSET('FPSO1 Base'!R217,-'FPSO1 Otim'!R$3,0))</f>
        <v>70.713452496141684</v>
      </c>
      <c r="S220" s="19">
        <f ca="1">IF($A220-S$3&lt;2,0,OFFSET('FPSO1 Base'!S217,-'FPSO1 Otim'!S$3,0))</f>
        <v>420.339</v>
      </c>
      <c r="T220" s="19">
        <f ca="1">IF($A220-T$3&lt;2,0,OFFSET('FPSO1 Base'!T217,-'FPSO1 Otim'!T$3,0))</f>
        <v>599.83949999999993</v>
      </c>
      <c r="U220" s="19">
        <f ca="1">IF($A220-U$3&lt;2,0,OFFSET('FPSO1 Base'!U217,-'FPSO1 Otim'!U$3,0))</f>
        <v>532.95899999999995</v>
      </c>
      <c r="V220" s="19">
        <f ca="1">IF($A220-V$3&lt;2,0,OFFSET('FPSO1 Base'!V217,-'FPSO1 Otim'!V$3,0))</f>
        <v>491.14949999999999</v>
      </c>
      <c r="W220" s="19">
        <f ca="1">IF($A220-W$3&lt;2,0,OFFSET('FPSO1 Base'!W217,-'FPSO1 Otim'!W$3,0))</f>
        <v>260.541</v>
      </c>
      <c r="X220" s="19">
        <f ca="1">IF($A220-X$3&lt;2,0,OFFSET('FPSO1 Base'!X217,-'FPSO1 Otim'!X$3,0))</f>
        <v>921.84750000000008</v>
      </c>
      <c r="Y220" s="19">
        <f ca="1">IF($A220-Y$3&lt;2,0,OFFSET('FPSO1 Base'!Y217,-'FPSO1 Otim'!Y$3,0))</f>
        <v>480.76199999999994</v>
      </c>
      <c r="Z220" s="19">
        <f ca="1">IF($A220-Z$3&lt;2,0,OFFSET('FPSO1 Base'!Z217,-'FPSO1 Otim'!Z$3,0))</f>
        <v>487.23449999999997</v>
      </c>
      <c r="AA220" s="20">
        <v>15000</v>
      </c>
      <c r="AB220" s="19">
        <f t="shared" ca="1" si="13"/>
        <v>10127.197130538963</v>
      </c>
      <c r="AC220" s="20">
        <f t="shared" ca="1" si="14"/>
        <v>4872.8028694610366</v>
      </c>
      <c r="AD220" s="19">
        <f t="shared" ca="1" si="15"/>
        <v>1714.7731325732143</v>
      </c>
    </row>
    <row r="221" spans="1:30" x14ac:dyDescent="0.25">
      <c r="A221" s="19">
        <v>217</v>
      </c>
      <c r="B221" s="31">
        <v>52201</v>
      </c>
      <c r="C221" s="19">
        <f ca="1">IF($A221-C$3&lt;2,0,OFFSET('FPSO1 Base'!C218,-'FPSO1 Otim'!C$3,0))</f>
        <v>1207.4100000000001</v>
      </c>
      <c r="D221" s="19">
        <f ca="1">IF($A221-D$3&lt;2,0,OFFSET('FPSO1 Base'!D218,-'FPSO1 Otim'!D$3,0))</f>
        <v>156.6045</v>
      </c>
      <c r="E221" s="19">
        <f ca="1">IF($A221-E$3&lt;2,0,OFFSET('FPSO1 Base'!E218,-'FPSO1 Otim'!E$3,0))</f>
        <v>428.34749999999997</v>
      </c>
      <c r="F221" s="19">
        <f ca="1">IF($A221-F$3&lt;2,0,OFFSET('FPSO1 Base'!F218,-'FPSO1 Otim'!F$3,0))</f>
        <v>454.25850000000003</v>
      </c>
      <c r="G221" s="19">
        <f ca="1">IF($A221-G$3&lt;2,0,OFFSET('FPSO1 Base'!G218,-'FPSO1 Otim'!G$3,0))</f>
        <v>159.072</v>
      </c>
      <c r="H221" s="19">
        <f ca="1">IF($A221-H$3&lt;2,0,OFFSET('FPSO1 Base'!H218,-'FPSO1 Otim'!H$3,0))</f>
        <v>627.68550000000005</v>
      </c>
      <c r="I221" s="19">
        <f ca="1">IF($A221-I$3&lt;2,0,OFFSET('FPSO1 Base'!I218,-'FPSO1 Otim'!I$3,0))</f>
        <v>476.84999999999997</v>
      </c>
      <c r="J221" s="19">
        <f ca="1">IF($A221-J$3&lt;2,0,OFFSET('FPSO1 Base'!J218,-'FPSO1 Otim'!J$3,0))</f>
        <v>273.14550000000003</v>
      </c>
      <c r="K221" s="19">
        <f ca="1">IF($A221-K$3&lt;2,0,OFFSET('FPSO1 Base'!K218,-'FPSO1 Otim'!K$3,0))</f>
        <v>276.22500000000002</v>
      </c>
      <c r="L221" s="19">
        <f ca="1">IF($A221-L$3&lt;2,0,OFFSET('FPSO1 Base'!L218,-'FPSO1 Otim'!L$3,0))</f>
        <v>363.59550000000002</v>
      </c>
      <c r="M221" s="19">
        <f ca="1">IF($A221-M$3&lt;2,0,OFFSET('FPSO1 Base'!M218,-'FPSO1 Otim'!M$3,0))</f>
        <v>387.93149999999997</v>
      </c>
      <c r="N221" s="19">
        <f ca="1">IF($A221-N$3&lt;2,0,OFFSET('FPSO1 Base'!N218,-'FPSO1 Otim'!N$3,0))</f>
        <v>39.443756262393379</v>
      </c>
      <c r="O221" s="19">
        <f ca="1">IF($A221-O$3&lt;2,0,OFFSET('FPSO1 Base'!O218,-'FPSO1 Otim'!O$3,0))</f>
        <v>402.339</v>
      </c>
      <c r="P221" s="19">
        <f ca="1">IF($A221-P$3&lt;2,0,OFFSET('FPSO1 Base'!P218,-'FPSO1 Otim'!P$3,0))</f>
        <v>190.92449999999999</v>
      </c>
      <c r="Q221" s="19">
        <f ca="1">IF($A221-Q$3&lt;2,0,OFFSET('FPSO1 Base'!Q218,-'FPSO1 Otim'!Q$3,0))</f>
        <v>397.51199999999994</v>
      </c>
      <c r="R221" s="19">
        <f ca="1">IF($A221-R$3&lt;2,0,OFFSET('FPSO1 Base'!R218,-'FPSO1 Otim'!R$3,0))</f>
        <v>70.006317971180266</v>
      </c>
      <c r="S221" s="19">
        <f ca="1">IF($A221-S$3&lt;2,0,OFFSET('FPSO1 Base'!S218,-'FPSO1 Otim'!S$3,0))</f>
        <v>417.17550000000006</v>
      </c>
      <c r="T221" s="19">
        <f ca="1">IF($A221-T$3&lt;2,0,OFFSET('FPSO1 Base'!T218,-'FPSO1 Otim'!T$3,0))</f>
        <v>598.947</v>
      </c>
      <c r="U221" s="19">
        <f ca="1">IF($A221-U$3&lt;2,0,OFFSET('FPSO1 Base'!U218,-'FPSO1 Otim'!U$3,0))</f>
        <v>531.42450000000008</v>
      </c>
      <c r="V221" s="19">
        <f ca="1">IF($A221-V$3&lt;2,0,OFFSET('FPSO1 Base'!V218,-'FPSO1 Otim'!V$3,0))</f>
        <v>488.70899999999995</v>
      </c>
      <c r="W221" s="19">
        <f ca="1">IF($A221-W$3&lt;2,0,OFFSET('FPSO1 Base'!W218,-'FPSO1 Otim'!W$3,0))</f>
        <v>260.06849999999997</v>
      </c>
      <c r="X221" s="19">
        <f ca="1">IF($A221-X$3&lt;2,0,OFFSET('FPSO1 Base'!X218,-'FPSO1 Otim'!X$3,0))</f>
        <v>917.7494999999999</v>
      </c>
      <c r="Y221" s="19">
        <f ca="1">IF($A221-Y$3&lt;2,0,OFFSET('FPSO1 Base'!Y218,-'FPSO1 Otim'!Y$3,0))</f>
        <v>477.774</v>
      </c>
      <c r="Z221" s="19">
        <f ca="1">IF($A221-Z$3&lt;2,0,OFFSET('FPSO1 Base'!Z218,-'FPSO1 Otim'!Z$3,0))</f>
        <v>484.06200000000001</v>
      </c>
      <c r="AA221" s="20">
        <v>15000</v>
      </c>
      <c r="AB221" s="19">
        <f t="shared" ca="1" si="13"/>
        <v>10087.261074233573</v>
      </c>
      <c r="AC221" s="20">
        <f t="shared" ca="1" si="14"/>
        <v>4912.7389257664272</v>
      </c>
      <c r="AD221" s="19">
        <f t="shared" ca="1" si="15"/>
        <v>1693.8952235744882</v>
      </c>
    </row>
    <row r="222" spans="1:30" x14ac:dyDescent="0.25">
      <c r="A222" s="19">
        <v>218</v>
      </c>
      <c r="B222" s="31">
        <v>52232</v>
      </c>
      <c r="C222" s="19">
        <f ca="1">IF($A222-C$3&lt;2,0,OFFSET('FPSO1 Base'!C219,-'FPSO1 Otim'!C$3,0))</f>
        <v>1203.6524999999999</v>
      </c>
      <c r="D222" s="19">
        <f ca="1">IF($A222-D$3&lt;2,0,OFFSET('FPSO1 Base'!D219,-'FPSO1 Otim'!D$3,0))</f>
        <v>155.88749999999999</v>
      </c>
      <c r="E222" s="19">
        <f ca="1">IF($A222-E$3&lt;2,0,OFFSET('FPSO1 Base'!E219,-'FPSO1 Otim'!E$3,0))</f>
        <v>425.8125</v>
      </c>
      <c r="F222" s="19">
        <f ca="1">IF($A222-F$3&lt;2,0,OFFSET('FPSO1 Base'!F219,-'FPSO1 Otim'!F$3,0))</f>
        <v>451.38750000000005</v>
      </c>
      <c r="G222" s="19">
        <f ca="1">IF($A222-G$3&lt;2,0,OFFSET('FPSO1 Base'!G219,-'FPSO1 Otim'!G$3,0))</f>
        <v>158.637</v>
      </c>
      <c r="H222" s="19">
        <f ca="1">IF($A222-H$3&lt;2,0,OFFSET('FPSO1 Base'!H219,-'FPSO1 Otim'!H$3,0))</f>
        <v>626.80649999999991</v>
      </c>
      <c r="I222" s="19">
        <f ca="1">IF($A222-I$3&lt;2,0,OFFSET('FPSO1 Base'!I219,-'FPSO1 Otim'!I$3,0))</f>
        <v>475.95899999999995</v>
      </c>
      <c r="J222" s="19">
        <f ca="1">IF($A222-J$3&lt;2,0,OFFSET('FPSO1 Base'!J219,-'FPSO1 Otim'!J$3,0))</f>
        <v>272.589</v>
      </c>
      <c r="K222" s="19">
        <f ca="1">IF($A222-K$3&lt;2,0,OFFSET('FPSO1 Base'!K219,-'FPSO1 Otim'!K$3,0))</f>
        <v>274.923</v>
      </c>
      <c r="L222" s="19">
        <f ca="1">IF($A222-L$3&lt;2,0,OFFSET('FPSO1 Base'!L219,-'FPSO1 Otim'!L$3,0))</f>
        <v>362.274</v>
      </c>
      <c r="M222" s="19">
        <f ca="1">IF($A222-M$3&lt;2,0,OFFSET('FPSO1 Base'!M219,-'FPSO1 Otim'!M$3,0))</f>
        <v>385.875</v>
      </c>
      <c r="N222" s="19">
        <f ca="1">IF($A222-N$3&lt;2,0,OFFSET('FPSO1 Base'!N219,-'FPSO1 Otim'!N$3,0))</f>
        <v>39.049318699769444</v>
      </c>
      <c r="O222" s="19">
        <f ca="1">IF($A222-O$3&lt;2,0,OFFSET('FPSO1 Base'!O219,-'FPSO1 Otim'!O$3,0))</f>
        <v>399.59999999999997</v>
      </c>
      <c r="P222" s="19">
        <f ca="1">IF($A222-P$3&lt;2,0,OFFSET('FPSO1 Base'!P219,-'FPSO1 Otim'!P$3,0))</f>
        <v>190.137</v>
      </c>
      <c r="Q222" s="19">
        <f ca="1">IF($A222-Q$3&lt;2,0,OFFSET('FPSO1 Base'!Q219,-'FPSO1 Otim'!Q$3,0))</f>
        <v>396.99149999999997</v>
      </c>
      <c r="R222" s="19">
        <f ca="1">IF($A222-R$3&lt;2,0,OFFSET('FPSO1 Base'!R219,-'FPSO1 Otim'!R$3,0))</f>
        <v>69.306254791468461</v>
      </c>
      <c r="S222" s="19">
        <f ca="1">IF($A222-S$3&lt;2,0,OFFSET('FPSO1 Base'!S219,-'FPSO1 Otim'!S$3,0))</f>
        <v>413.85450000000003</v>
      </c>
      <c r="T222" s="19">
        <f ca="1">IF($A222-T$3&lt;2,0,OFFSET('FPSO1 Base'!T219,-'FPSO1 Otim'!T$3,0))</f>
        <v>597.88799999999992</v>
      </c>
      <c r="U222" s="19">
        <f ca="1">IF($A222-U$3&lt;2,0,OFFSET('FPSO1 Base'!U219,-'FPSO1 Otim'!U$3,0))</f>
        <v>529.95899999999995</v>
      </c>
      <c r="V222" s="19">
        <f ca="1">IF($A222-V$3&lt;2,0,OFFSET('FPSO1 Base'!V219,-'FPSO1 Otim'!V$3,0))</f>
        <v>486.10050000000001</v>
      </c>
      <c r="W222" s="19">
        <f ca="1">IF($A222-W$3&lt;2,0,OFFSET('FPSO1 Base'!W219,-'FPSO1 Otim'!W$3,0))</f>
        <v>259.60050000000001</v>
      </c>
      <c r="X222" s="19">
        <f ca="1">IF($A222-X$3&lt;2,0,OFFSET('FPSO1 Base'!X219,-'FPSO1 Otim'!X$3,0))</f>
        <v>913.83899999999994</v>
      </c>
      <c r="Y222" s="19">
        <f ca="1">IF($A222-Y$3&lt;2,0,OFFSET('FPSO1 Base'!Y219,-'FPSO1 Otim'!Y$3,0))</f>
        <v>476.51550000000003</v>
      </c>
      <c r="Z222" s="19">
        <f ca="1">IF($A222-Z$3&lt;2,0,OFFSET('FPSO1 Base'!Z219,-'FPSO1 Otim'!Z$3,0))</f>
        <v>481.149</v>
      </c>
      <c r="AA222" s="20">
        <v>15000</v>
      </c>
      <c r="AB222" s="19">
        <f t="shared" ca="1" si="13"/>
        <v>10047.793573491237</v>
      </c>
      <c r="AC222" s="20">
        <f t="shared" ca="1" si="14"/>
        <v>4952.2064265087629</v>
      </c>
      <c r="AD222" s="19">
        <f t="shared" ca="1" si="15"/>
        <v>1673.3233142225401</v>
      </c>
    </row>
    <row r="223" spans="1:30" x14ac:dyDescent="0.25">
      <c r="A223" s="19">
        <v>219</v>
      </c>
      <c r="B223" s="31">
        <v>52263</v>
      </c>
      <c r="C223" s="19">
        <f ca="1">IF($A223-C$3&lt;2,0,OFFSET('FPSO1 Base'!C220,-'FPSO1 Otim'!C$3,0))</f>
        <v>1199.472</v>
      </c>
      <c r="D223" s="19">
        <f ca="1">IF($A223-D$3&lt;2,0,OFFSET('FPSO1 Base'!D220,-'FPSO1 Otim'!D$3,0))</f>
        <v>155.02949999999998</v>
      </c>
      <c r="E223" s="19">
        <f ca="1">IF($A223-E$3&lt;2,0,OFFSET('FPSO1 Base'!E220,-'FPSO1 Otim'!E$3,0))</f>
        <v>423.48449999999997</v>
      </c>
      <c r="F223" s="19">
        <f ca="1">IF($A223-F$3&lt;2,0,OFFSET('FPSO1 Base'!F220,-'FPSO1 Otim'!F$3,0))</f>
        <v>448.75349999999997</v>
      </c>
      <c r="G223" s="19">
        <f ca="1">IF($A223-G$3&lt;2,0,OFFSET('FPSO1 Base'!G220,-'FPSO1 Otim'!G$3,0))</f>
        <v>158.268</v>
      </c>
      <c r="H223" s="19">
        <f ca="1">IF($A223-H$3&lt;2,0,OFFSET('FPSO1 Base'!H220,-'FPSO1 Otim'!H$3,0))</f>
        <v>625.89</v>
      </c>
      <c r="I223" s="19">
        <f ca="1">IF($A223-I$3&lt;2,0,OFFSET('FPSO1 Base'!I220,-'FPSO1 Otim'!I$3,0))</f>
        <v>475.00049999999999</v>
      </c>
      <c r="J223" s="19">
        <f ca="1">IF($A223-J$3&lt;2,0,OFFSET('FPSO1 Base'!J220,-'FPSO1 Otim'!J$3,0))</f>
        <v>272.0505</v>
      </c>
      <c r="K223" s="19">
        <f ca="1">IF($A223-K$3&lt;2,0,OFFSET('FPSO1 Base'!K220,-'FPSO1 Otim'!K$3,0))</f>
        <v>273.34950000000003</v>
      </c>
      <c r="L223" s="19">
        <f ca="1">IF($A223-L$3&lt;2,0,OFFSET('FPSO1 Base'!L220,-'FPSO1 Otim'!L$3,0))</f>
        <v>360.81299999999999</v>
      </c>
      <c r="M223" s="19">
        <f ca="1">IF($A223-M$3&lt;2,0,OFFSET('FPSO1 Base'!M220,-'FPSO1 Otim'!M$3,0))</f>
        <v>383.928</v>
      </c>
      <c r="N223" s="19">
        <f ca="1">IF($A223-N$3&lt;2,0,OFFSET('FPSO1 Base'!N220,-'FPSO1 Otim'!N$3,0))</f>
        <v>38.658825512771749</v>
      </c>
      <c r="O223" s="19">
        <f ca="1">IF($A223-O$3&lt;2,0,OFFSET('FPSO1 Base'!O220,-'FPSO1 Otim'!O$3,0))</f>
        <v>397.11300000000006</v>
      </c>
      <c r="P223" s="19">
        <f ca="1">IF($A223-P$3&lt;2,0,OFFSET('FPSO1 Base'!P220,-'FPSO1 Otim'!P$3,0))</f>
        <v>189.291</v>
      </c>
      <c r="Q223" s="19">
        <f ca="1">IF($A223-Q$3&lt;2,0,OFFSET('FPSO1 Base'!Q220,-'FPSO1 Otim'!Q$3,0))</f>
        <v>396.375</v>
      </c>
      <c r="R223" s="19">
        <f ca="1">IF($A223-R$3&lt;2,0,OFFSET('FPSO1 Base'!R220,-'FPSO1 Otim'!R$3,0))</f>
        <v>68.613192243553783</v>
      </c>
      <c r="S223" s="19">
        <f ca="1">IF($A223-S$3&lt;2,0,OFFSET('FPSO1 Base'!S220,-'FPSO1 Otim'!S$3,0))</f>
        <v>410.23800000000006</v>
      </c>
      <c r="T223" s="19">
        <f ca="1">IF($A223-T$3&lt;2,0,OFFSET('FPSO1 Base'!T220,-'FPSO1 Otim'!T$3,0))</f>
        <v>596.91600000000005</v>
      </c>
      <c r="U223" s="19">
        <f ca="1">IF($A223-U$3&lt;2,0,OFFSET('FPSO1 Base'!U220,-'FPSO1 Otim'!U$3,0))</f>
        <v>528.47550000000001</v>
      </c>
      <c r="V223" s="19">
        <f ca="1">IF($A223-V$3&lt;2,0,OFFSET('FPSO1 Base'!V220,-'FPSO1 Otim'!V$3,0))</f>
        <v>483.58050000000003</v>
      </c>
      <c r="W223" s="19">
        <f ca="1">IF($A223-W$3&lt;2,0,OFFSET('FPSO1 Base'!W220,-'FPSO1 Otim'!W$3,0))</f>
        <v>259.161</v>
      </c>
      <c r="X223" s="19">
        <f ca="1">IF($A223-X$3&lt;2,0,OFFSET('FPSO1 Base'!X220,-'FPSO1 Otim'!X$3,0))</f>
        <v>910.16100000000006</v>
      </c>
      <c r="Y223" s="19">
        <f ca="1">IF($A223-Y$3&lt;2,0,OFFSET('FPSO1 Base'!Y220,-'FPSO1 Otim'!Y$3,0))</f>
        <v>475.72499999999997</v>
      </c>
      <c r="Z223" s="19">
        <f ca="1">IF($A223-Z$3&lt;2,0,OFFSET('FPSO1 Base'!Z220,-'FPSO1 Otim'!Z$3,0))</f>
        <v>478.02449999999999</v>
      </c>
      <c r="AA223" s="20">
        <v>15000</v>
      </c>
      <c r="AB223" s="19">
        <f t="shared" ca="1" si="13"/>
        <v>10008.371517756326</v>
      </c>
      <c r="AC223" s="20">
        <f t="shared" ca="1" si="14"/>
        <v>4991.6284822436737</v>
      </c>
      <c r="AD223" s="19">
        <f t="shared" ca="1" si="15"/>
        <v>1652.9832468073423</v>
      </c>
    </row>
    <row r="224" spans="1:30" x14ac:dyDescent="0.25">
      <c r="A224" s="19">
        <v>220</v>
      </c>
      <c r="B224" s="31">
        <v>52291</v>
      </c>
      <c r="C224" s="19">
        <f ca="1">IF($A224-C$3&lt;2,0,OFFSET('FPSO1 Base'!C221,-'FPSO1 Otim'!C$3,0))</f>
        <v>1193.0685000000001</v>
      </c>
      <c r="D224" s="19">
        <f ca="1">IF($A224-D$3&lt;2,0,OFFSET('FPSO1 Base'!D221,-'FPSO1 Otim'!D$3,0))</f>
        <v>154.36350000000002</v>
      </c>
      <c r="E224" s="19">
        <f ca="1">IF($A224-E$3&lt;2,0,OFFSET('FPSO1 Base'!E221,-'FPSO1 Otim'!E$3,0))</f>
        <v>421.00049999999999</v>
      </c>
      <c r="F224" s="19">
        <f ca="1">IF($A224-F$3&lt;2,0,OFFSET('FPSO1 Base'!F221,-'FPSO1 Otim'!F$3,0))</f>
        <v>446.286</v>
      </c>
      <c r="G224" s="19">
        <f ca="1">IF($A224-G$3&lt;2,0,OFFSET('FPSO1 Base'!G221,-'FPSO1 Otim'!G$3,0))</f>
        <v>157.80000000000001</v>
      </c>
      <c r="H224" s="19">
        <f ca="1">IF($A224-H$3&lt;2,0,OFFSET('FPSO1 Base'!H221,-'FPSO1 Otim'!H$3,0))</f>
        <v>625.02449999999999</v>
      </c>
      <c r="I224" s="19">
        <f ca="1">IF($A224-I$3&lt;2,0,OFFSET('FPSO1 Base'!I221,-'FPSO1 Otim'!I$3,0))</f>
        <v>474.12150000000003</v>
      </c>
      <c r="J224" s="19">
        <f ca="1">IF($A224-J$3&lt;2,0,OFFSET('FPSO1 Base'!J221,-'FPSO1 Otim'!J$3,0))</f>
        <v>271.548</v>
      </c>
      <c r="K224" s="19">
        <f ca="1">IF($A224-K$3&lt;2,0,OFFSET('FPSO1 Base'!K221,-'FPSO1 Otim'!K$3,0))</f>
        <v>271.803</v>
      </c>
      <c r="L224" s="19">
        <f ca="1">IF($A224-L$3&lt;2,0,OFFSET('FPSO1 Base'!L221,-'FPSO1 Otim'!L$3,0))</f>
        <v>359.47949999999997</v>
      </c>
      <c r="M224" s="19">
        <f ca="1">IF($A224-M$3&lt;2,0,OFFSET('FPSO1 Base'!M221,-'FPSO1 Otim'!M$3,0))</f>
        <v>382.173</v>
      </c>
      <c r="N224" s="19">
        <f ca="1">IF($A224-N$3&lt;2,0,OFFSET('FPSO1 Base'!N221,-'FPSO1 Otim'!N$3,0))</f>
        <v>38.272237257644029</v>
      </c>
      <c r="O224" s="19">
        <f ca="1">IF($A224-O$3&lt;2,0,OFFSET('FPSO1 Base'!O221,-'FPSO1 Otim'!O$3,0))</f>
        <v>394.37549999999999</v>
      </c>
      <c r="P224" s="19">
        <f ca="1">IF($A224-P$3&lt;2,0,OFFSET('FPSO1 Base'!P221,-'FPSO1 Otim'!P$3,0))</f>
        <v>188.3835</v>
      </c>
      <c r="Q224" s="19">
        <f ca="1">IF($A224-Q$3&lt;2,0,OFFSET('FPSO1 Base'!Q221,-'FPSO1 Otim'!Q$3,0))</f>
        <v>395.84249999999997</v>
      </c>
      <c r="R224" s="19">
        <f ca="1">IF($A224-R$3&lt;2,0,OFFSET('FPSO1 Base'!R221,-'FPSO1 Otim'!R$3,0))</f>
        <v>67.927060321118248</v>
      </c>
      <c r="S224" s="19">
        <f ca="1">IF($A224-S$3&lt;2,0,OFFSET('FPSO1 Base'!S221,-'FPSO1 Otim'!S$3,0))</f>
        <v>406.899</v>
      </c>
      <c r="T224" s="19">
        <f ca="1">IF($A224-T$3&lt;2,0,OFFSET('FPSO1 Base'!T221,-'FPSO1 Otim'!T$3,0))</f>
        <v>595.875</v>
      </c>
      <c r="U224" s="19">
        <f ca="1">IF($A224-U$3&lt;2,0,OFFSET('FPSO1 Base'!U221,-'FPSO1 Otim'!U$3,0))</f>
        <v>527.12850000000003</v>
      </c>
      <c r="V224" s="19">
        <f ca="1">IF($A224-V$3&lt;2,0,OFFSET('FPSO1 Base'!V221,-'FPSO1 Otim'!V$3,0))</f>
        <v>481.30649999999997</v>
      </c>
      <c r="W224" s="19">
        <f ca="1">IF($A224-W$3&lt;2,0,OFFSET('FPSO1 Base'!W221,-'FPSO1 Otim'!W$3,0))</f>
        <v>258.71249999999998</v>
      </c>
      <c r="X224" s="19">
        <f ca="1">IF($A224-X$3&lt;2,0,OFFSET('FPSO1 Base'!X221,-'FPSO1 Otim'!X$3,0))</f>
        <v>905.83950000000004</v>
      </c>
      <c r="Y224" s="19">
        <f ca="1">IF($A224-Y$3&lt;2,0,OFFSET('FPSO1 Base'!Y221,-'FPSO1 Otim'!Y$3,0))</f>
        <v>475.11300000000006</v>
      </c>
      <c r="Z224" s="19">
        <f ca="1">IF($A224-Z$3&lt;2,0,OFFSET('FPSO1 Base'!Z221,-'FPSO1 Otim'!Z$3,0))</f>
        <v>475.06499999999994</v>
      </c>
      <c r="AA224" s="20">
        <v>15000</v>
      </c>
      <c r="AB224" s="19">
        <f t="shared" ca="1" si="13"/>
        <v>9967.4077975787623</v>
      </c>
      <c r="AC224" s="20">
        <f t="shared" ca="1" si="14"/>
        <v>5032.5922024212377</v>
      </c>
      <c r="AD224" s="19">
        <f t="shared" ca="1" si="15"/>
        <v>1632.6125715358664</v>
      </c>
    </row>
    <row r="225" spans="1:30" x14ac:dyDescent="0.25">
      <c r="A225" s="19">
        <v>221</v>
      </c>
      <c r="B225" s="31">
        <v>52322</v>
      </c>
      <c r="C225" s="19">
        <f ca="1">IF($A225-C$3&lt;2,0,OFFSET('FPSO1 Base'!C222,-'FPSO1 Otim'!C$3,0))</f>
        <v>1184.6189999999999</v>
      </c>
      <c r="D225" s="19">
        <f ca="1">IF($A225-D$3&lt;2,0,OFFSET('FPSO1 Base'!D222,-'FPSO1 Otim'!D$3,0))</f>
        <v>153.726</v>
      </c>
      <c r="E225" s="19">
        <f ca="1">IF($A225-E$3&lt;2,0,OFFSET('FPSO1 Base'!E222,-'FPSO1 Otim'!E$3,0))</f>
        <v>418.70550000000003</v>
      </c>
      <c r="F225" s="19">
        <f ca="1">IF($A225-F$3&lt;2,0,OFFSET('FPSO1 Base'!F222,-'FPSO1 Otim'!F$3,0))</f>
        <v>443.41050000000007</v>
      </c>
      <c r="G225" s="19">
        <f ca="1">IF($A225-G$3&lt;2,0,OFFSET('FPSO1 Base'!G222,-'FPSO1 Otim'!G$3,0))</f>
        <v>157.34699999999998</v>
      </c>
      <c r="H225" s="19">
        <f ca="1">IF($A225-H$3&lt;2,0,OFFSET('FPSO1 Base'!H222,-'FPSO1 Otim'!H$3,0))</f>
        <v>624.11850000000004</v>
      </c>
      <c r="I225" s="19">
        <f ca="1">IF($A225-I$3&lt;2,0,OFFSET('FPSO1 Base'!I222,-'FPSO1 Otim'!I$3,0))</f>
        <v>473.25</v>
      </c>
      <c r="J225" s="19">
        <f ca="1">IF($A225-J$3&lt;2,0,OFFSET('FPSO1 Base'!J222,-'FPSO1 Otim'!J$3,0))</f>
        <v>271.02449999999999</v>
      </c>
      <c r="K225" s="19">
        <f ca="1">IF($A225-K$3&lt;2,0,OFFSET('FPSO1 Base'!K222,-'FPSO1 Otim'!K$3,0))</f>
        <v>270.459</v>
      </c>
      <c r="L225" s="19">
        <f ca="1">IF($A225-L$3&lt;2,0,OFFSET('FPSO1 Base'!L222,-'FPSO1 Otim'!L$3,0))</f>
        <v>358.03800000000001</v>
      </c>
      <c r="M225" s="19">
        <f ca="1">IF($A225-M$3&lt;2,0,OFFSET('FPSO1 Base'!M222,-'FPSO1 Otim'!M$3,0))</f>
        <v>380.08949999999999</v>
      </c>
      <c r="N225" s="19">
        <f ca="1">IF($A225-N$3&lt;2,0,OFFSET('FPSO1 Base'!N222,-'FPSO1 Otim'!N$3,0))</f>
        <v>37.889514885067591</v>
      </c>
      <c r="O225" s="19">
        <f ca="1">IF($A225-O$3&lt;2,0,OFFSET('FPSO1 Base'!O222,-'FPSO1 Otim'!O$3,0))</f>
        <v>391.88699999999994</v>
      </c>
      <c r="P225" s="19">
        <f ca="1">IF($A225-P$3&lt;2,0,OFFSET('FPSO1 Base'!P222,-'FPSO1 Otim'!P$3,0))</f>
        <v>187.572</v>
      </c>
      <c r="Q225" s="19">
        <f ca="1">IF($A225-Q$3&lt;2,0,OFFSET('FPSO1 Base'!Q222,-'FPSO1 Otim'!Q$3,0))</f>
        <v>395.274</v>
      </c>
      <c r="R225" s="19">
        <f ca="1">IF($A225-R$3&lt;2,0,OFFSET('FPSO1 Base'!R222,-'FPSO1 Otim'!R$3,0))</f>
        <v>67.247789717907068</v>
      </c>
      <c r="S225" s="19">
        <f ca="1">IF($A225-S$3&lt;2,0,OFFSET('FPSO1 Base'!S222,-'FPSO1 Otim'!S$3,0))</f>
        <v>403.572</v>
      </c>
      <c r="T225" s="19">
        <f ca="1">IF($A225-T$3&lt;2,0,OFFSET('FPSO1 Base'!T222,-'FPSO1 Otim'!T$3,0))</f>
        <v>594.89549999999997</v>
      </c>
      <c r="U225" s="19">
        <f ca="1">IF($A225-U$3&lt;2,0,OFFSET('FPSO1 Base'!U222,-'FPSO1 Otim'!U$3,0))</f>
        <v>525.798</v>
      </c>
      <c r="V225" s="19">
        <f ca="1">IF($A225-V$3&lt;2,0,OFFSET('FPSO1 Base'!V222,-'FPSO1 Otim'!V$3,0))</f>
        <v>478.5</v>
      </c>
      <c r="W225" s="19">
        <f ca="1">IF($A225-W$3&lt;2,0,OFFSET('FPSO1 Base'!W222,-'FPSO1 Otim'!W$3,0))</f>
        <v>258.25350000000003</v>
      </c>
      <c r="X225" s="19">
        <f ca="1">IF($A225-X$3&lt;2,0,OFFSET('FPSO1 Base'!X222,-'FPSO1 Otim'!X$3,0))</f>
        <v>902.37149999999997</v>
      </c>
      <c r="Y225" s="19">
        <f ca="1">IF($A225-Y$3&lt;2,0,OFFSET('FPSO1 Base'!Y222,-'FPSO1 Otim'!Y$3,0))</f>
        <v>474.46199999999999</v>
      </c>
      <c r="Z225" s="19">
        <f ca="1">IF($A225-Z$3&lt;2,0,OFFSET('FPSO1 Base'!Z222,-'FPSO1 Otim'!Z$3,0))</f>
        <v>472.30649999999997</v>
      </c>
      <c r="AA225" s="20">
        <v>15000</v>
      </c>
      <c r="AB225" s="19">
        <f t="shared" ca="1" si="13"/>
        <v>9924.816804602975</v>
      </c>
      <c r="AC225" s="20">
        <f t="shared" ca="1" si="14"/>
        <v>5075.183195397025</v>
      </c>
      <c r="AD225" s="19">
        <f t="shared" ca="1" si="15"/>
        <v>1612.201364152018</v>
      </c>
    </row>
    <row r="226" spans="1:30" x14ac:dyDescent="0.25">
      <c r="A226" s="19">
        <v>222</v>
      </c>
      <c r="B226" s="31">
        <v>52352</v>
      </c>
      <c r="C226" s="19">
        <f ca="1">IF($A226-C$3&lt;2,0,OFFSET('FPSO1 Base'!C223,-'FPSO1 Otim'!C$3,0))</f>
        <v>1172.796</v>
      </c>
      <c r="D226" s="19">
        <f ca="1">IF($A226-D$3&lt;2,0,OFFSET('FPSO1 Base'!D223,-'FPSO1 Otim'!D$3,0))</f>
        <v>153.12450000000001</v>
      </c>
      <c r="E226" s="19">
        <f ca="1">IF($A226-E$3&lt;2,0,OFFSET('FPSO1 Base'!E223,-'FPSO1 Otim'!E$3,0))</f>
        <v>416.40750000000003</v>
      </c>
      <c r="F226" s="19">
        <f ca="1">IF($A226-F$3&lt;2,0,OFFSET('FPSO1 Base'!F223,-'FPSO1 Otim'!F$3,0))</f>
        <v>441.12150000000003</v>
      </c>
      <c r="G226" s="19">
        <f ca="1">IF($A226-G$3&lt;2,0,OFFSET('FPSO1 Base'!G223,-'FPSO1 Otim'!G$3,0))</f>
        <v>156.90899999999999</v>
      </c>
      <c r="H226" s="19">
        <f ca="1">IF($A226-H$3&lt;2,0,OFFSET('FPSO1 Base'!H223,-'FPSO1 Otim'!H$3,0))</f>
        <v>623.22</v>
      </c>
      <c r="I226" s="19">
        <f ca="1">IF($A226-I$3&lt;2,0,OFFSET('FPSO1 Base'!I223,-'FPSO1 Otim'!I$3,0))</f>
        <v>472.26750000000004</v>
      </c>
      <c r="J226" s="19">
        <f ca="1">IF($A226-J$3&lt;2,0,OFFSET('FPSO1 Base'!J223,-'FPSO1 Otim'!J$3,0))</f>
        <v>262.089</v>
      </c>
      <c r="K226" s="19">
        <f ca="1">IF($A226-K$3&lt;2,0,OFFSET('FPSO1 Base'!K223,-'FPSO1 Otim'!K$3,0))</f>
        <v>268.79399999999998</v>
      </c>
      <c r="L226" s="19">
        <f ca="1">IF($A226-L$3&lt;2,0,OFFSET('FPSO1 Base'!L223,-'FPSO1 Otim'!L$3,0))</f>
        <v>356.661</v>
      </c>
      <c r="M226" s="19">
        <f ca="1">IF($A226-M$3&lt;2,0,OFFSET('FPSO1 Base'!M223,-'FPSO1 Otim'!M$3,0))</f>
        <v>378.56849999999997</v>
      </c>
      <c r="N226" s="19">
        <f ca="1">IF($A226-N$3&lt;2,0,OFFSET('FPSO1 Base'!N223,-'FPSO1 Otim'!N$3,0))</f>
        <v>37.510619736216917</v>
      </c>
      <c r="O226" s="19">
        <f ca="1">IF($A226-O$3&lt;2,0,OFFSET('FPSO1 Base'!O223,-'FPSO1 Otim'!O$3,0))</f>
        <v>389.37150000000003</v>
      </c>
      <c r="P226" s="19">
        <f ca="1">IF($A226-P$3&lt;2,0,OFFSET('FPSO1 Base'!P223,-'FPSO1 Otim'!P$3,0))</f>
        <v>186.70050000000001</v>
      </c>
      <c r="Q226" s="19">
        <f ca="1">IF($A226-Q$3&lt;2,0,OFFSET('FPSO1 Base'!Q223,-'FPSO1 Otim'!Q$3,0))</f>
        <v>394.69949999999994</v>
      </c>
      <c r="R226" s="19">
        <f ca="1">IF($A226-R$3&lt;2,0,OFFSET('FPSO1 Base'!R223,-'FPSO1 Otim'!R$3,0))</f>
        <v>66.57531182072799</v>
      </c>
      <c r="S226" s="19">
        <f ca="1">IF($A226-S$3&lt;2,0,OFFSET('FPSO1 Base'!S223,-'FPSO1 Otim'!S$3,0))</f>
        <v>400.11300000000006</v>
      </c>
      <c r="T226" s="19">
        <f ca="1">IF($A226-T$3&lt;2,0,OFFSET('FPSO1 Base'!T223,-'FPSO1 Otim'!T$3,0))</f>
        <v>593.90250000000003</v>
      </c>
      <c r="U226" s="19">
        <f ca="1">IF($A226-U$3&lt;2,0,OFFSET('FPSO1 Base'!U223,-'FPSO1 Otim'!U$3,0))</f>
        <v>524.44949999999994</v>
      </c>
      <c r="V226" s="19">
        <f ca="1">IF($A226-V$3&lt;2,0,OFFSET('FPSO1 Base'!V223,-'FPSO1 Otim'!V$3,0))</f>
        <v>476.37150000000003</v>
      </c>
      <c r="W226" s="19">
        <f ca="1">IF($A226-W$3&lt;2,0,OFFSET('FPSO1 Base'!W223,-'FPSO1 Otim'!W$3,0))</f>
        <v>257.86649999999997</v>
      </c>
      <c r="X226" s="19">
        <f ca="1">IF($A226-X$3&lt;2,0,OFFSET('FPSO1 Base'!X223,-'FPSO1 Otim'!X$3,0))</f>
        <v>898.34999999999991</v>
      </c>
      <c r="Y226" s="19">
        <f ca="1">IF($A226-Y$3&lt;2,0,OFFSET('FPSO1 Base'!Y223,-'FPSO1 Otim'!Y$3,0))</f>
        <v>473.83050000000003</v>
      </c>
      <c r="Z226" s="19">
        <f ca="1">IF($A226-Z$3&lt;2,0,OFFSET('FPSO1 Base'!Z223,-'FPSO1 Otim'!Z$3,0))</f>
        <v>469.01849999999996</v>
      </c>
      <c r="AA226" s="20">
        <v>15000</v>
      </c>
      <c r="AB226" s="19">
        <f t="shared" ca="1" si="13"/>
        <v>9870.7179315569447</v>
      </c>
      <c r="AC226" s="20">
        <f t="shared" ca="1" si="14"/>
        <v>5129.2820684430553</v>
      </c>
      <c r="AD226" s="19">
        <f t="shared" ca="1" si="15"/>
        <v>1590.162115274386</v>
      </c>
    </row>
    <row r="227" spans="1:30" x14ac:dyDescent="0.25">
      <c r="A227" s="19">
        <v>223</v>
      </c>
      <c r="B227" s="31">
        <v>52383</v>
      </c>
      <c r="C227" s="19">
        <f ca="1">IF($A227-C$3&lt;2,0,OFFSET('FPSO1 Base'!C224,-'FPSO1 Otim'!C$3,0))</f>
        <v>1158.6914999999999</v>
      </c>
      <c r="D227" s="19">
        <f ca="1">IF($A227-D$3&lt;2,0,OFFSET('FPSO1 Base'!D224,-'FPSO1 Otim'!D$3,0))</f>
        <v>152.5095</v>
      </c>
      <c r="E227" s="19">
        <f ca="1">IF($A227-E$3&lt;2,0,OFFSET('FPSO1 Base'!E224,-'FPSO1 Otim'!E$3,0))</f>
        <v>413.97450000000003</v>
      </c>
      <c r="F227" s="19">
        <f ca="1">IF($A227-F$3&lt;2,0,OFFSET('FPSO1 Base'!F224,-'FPSO1 Otim'!F$3,0))</f>
        <v>438.48749999999995</v>
      </c>
      <c r="G227" s="19">
        <f ca="1">IF($A227-G$3&lt;2,0,OFFSET('FPSO1 Base'!G224,-'FPSO1 Otim'!G$3,0))</f>
        <v>156.45150000000001</v>
      </c>
      <c r="H227" s="19">
        <f ca="1">IF($A227-H$3&lt;2,0,OFFSET('FPSO1 Base'!H224,-'FPSO1 Otim'!H$3,0))</f>
        <v>622.33949999999993</v>
      </c>
      <c r="I227" s="19">
        <f ca="1">IF($A227-I$3&lt;2,0,OFFSET('FPSO1 Base'!I224,-'FPSO1 Otim'!I$3,0))</f>
        <v>471.60450000000003</v>
      </c>
      <c r="J227" s="19">
        <f ca="1">IF($A227-J$3&lt;2,0,OFFSET('FPSO1 Base'!J224,-'FPSO1 Otim'!J$3,0))</f>
        <v>260.51549999999997</v>
      </c>
      <c r="K227" s="19">
        <f ca="1">IF($A227-K$3&lt;2,0,OFFSET('FPSO1 Base'!K224,-'FPSO1 Otim'!K$3,0))</f>
        <v>267.58050000000003</v>
      </c>
      <c r="L227" s="19">
        <f ca="1">IF($A227-L$3&lt;2,0,OFFSET('FPSO1 Base'!L224,-'FPSO1 Otim'!L$3,0))</f>
        <v>355.29449999999997</v>
      </c>
      <c r="M227" s="19">
        <f ca="1">IF($A227-M$3&lt;2,0,OFFSET('FPSO1 Base'!M224,-'FPSO1 Otim'!M$3,0))</f>
        <v>376.6755</v>
      </c>
      <c r="N227" s="19">
        <f ca="1">IF($A227-N$3&lt;2,0,OFFSET('FPSO1 Base'!N224,-'FPSO1 Otim'!N$3,0))</f>
        <v>37.135513538854745</v>
      </c>
      <c r="O227" s="19">
        <f ca="1">IF($A227-O$3&lt;2,0,OFFSET('FPSO1 Base'!O224,-'FPSO1 Otim'!O$3,0))</f>
        <v>386.80050000000006</v>
      </c>
      <c r="P227" s="19">
        <f ca="1">IF($A227-P$3&lt;2,0,OFFSET('FPSO1 Base'!P224,-'FPSO1 Otim'!P$3,0))</f>
        <v>185.9025</v>
      </c>
      <c r="Q227" s="19">
        <f ca="1">IF($A227-Q$3&lt;2,0,OFFSET('FPSO1 Base'!Q224,-'FPSO1 Otim'!Q$3,0))</f>
        <v>394.161</v>
      </c>
      <c r="R227" s="19">
        <f ca="1">IF($A227-R$3&lt;2,0,OFFSET('FPSO1 Base'!R224,-'FPSO1 Otim'!R$3,0))</f>
        <v>65.909558702520712</v>
      </c>
      <c r="S227" s="19">
        <f ca="1">IF($A227-S$3&lt;2,0,OFFSET('FPSO1 Base'!S224,-'FPSO1 Otim'!S$3,0))</f>
        <v>396.99149999999997</v>
      </c>
      <c r="T227" s="19">
        <f ca="1">IF($A227-T$3&lt;2,0,OFFSET('FPSO1 Base'!T224,-'FPSO1 Otim'!T$3,0))</f>
        <v>592.86300000000006</v>
      </c>
      <c r="U227" s="19">
        <f ca="1">IF($A227-U$3&lt;2,0,OFFSET('FPSO1 Base'!U224,-'FPSO1 Otim'!U$3,0))</f>
        <v>523.23450000000003</v>
      </c>
      <c r="V227" s="19">
        <f ca="1">IF($A227-V$3&lt;2,0,OFFSET('FPSO1 Base'!V224,-'FPSO1 Otim'!V$3,0))</f>
        <v>473.84999999999997</v>
      </c>
      <c r="W227" s="19">
        <f ca="1">IF($A227-W$3&lt;2,0,OFFSET('FPSO1 Base'!W224,-'FPSO1 Otim'!W$3,0))</f>
        <v>257.39700000000005</v>
      </c>
      <c r="X227" s="19">
        <f ca="1">IF($A227-X$3&lt;2,0,OFFSET('FPSO1 Base'!X224,-'FPSO1 Otim'!X$3,0))</f>
        <v>894.702</v>
      </c>
      <c r="Y227" s="19">
        <f ca="1">IF($A227-Y$3&lt;2,0,OFFSET('FPSO1 Base'!Y224,-'FPSO1 Otim'!Y$3,0))</f>
        <v>473.23800000000006</v>
      </c>
      <c r="Z227" s="19">
        <f ca="1">IF($A227-Z$3&lt;2,0,OFFSET('FPSO1 Base'!Z224,-'FPSO1 Otim'!Z$3,0))</f>
        <v>466.34249999999997</v>
      </c>
      <c r="AA227" s="20">
        <v>15000</v>
      </c>
      <c r="AB227" s="19">
        <f t="shared" ca="1" si="13"/>
        <v>9822.652072241377</v>
      </c>
      <c r="AC227" s="20">
        <f t="shared" ca="1" si="14"/>
        <v>5177.347927758623</v>
      </c>
      <c r="AD227" s="19">
        <f t="shared" ca="1" si="15"/>
        <v>1569.3409157163414</v>
      </c>
    </row>
    <row r="228" spans="1:30" x14ac:dyDescent="0.25">
      <c r="A228" s="19">
        <v>224</v>
      </c>
      <c r="B228" s="31">
        <v>52413</v>
      </c>
      <c r="C228" s="19">
        <f ca="1">IF($A228-C$3&lt;2,0,OFFSET('FPSO1 Base'!C225,-'FPSO1 Otim'!C$3,0))</f>
        <v>1141.3724999999999</v>
      </c>
      <c r="D228" s="19">
        <f ca="1">IF($A228-D$3&lt;2,0,OFFSET('FPSO1 Base'!D225,-'FPSO1 Otim'!D$3,0))</f>
        <v>151.83150000000001</v>
      </c>
      <c r="E228" s="19">
        <f ca="1">IF($A228-E$3&lt;2,0,OFFSET('FPSO1 Base'!E225,-'FPSO1 Otim'!E$3,0))</f>
        <v>411.786</v>
      </c>
      <c r="F228" s="19">
        <f ca="1">IF($A228-F$3&lt;2,0,OFFSET('FPSO1 Base'!F225,-'FPSO1 Otim'!F$3,0))</f>
        <v>436.11300000000006</v>
      </c>
      <c r="G228" s="19">
        <f ca="1">IF($A228-G$3&lt;2,0,OFFSET('FPSO1 Base'!G225,-'FPSO1 Otim'!G$3,0))</f>
        <v>156.13649999999998</v>
      </c>
      <c r="H228" s="19">
        <f ca="1">IF($A228-H$3&lt;2,0,OFFSET('FPSO1 Base'!H225,-'FPSO1 Otim'!H$3,0))</f>
        <v>621.44849999999997</v>
      </c>
      <c r="I228" s="19">
        <f ca="1">IF($A228-I$3&lt;2,0,OFFSET('FPSO1 Base'!I225,-'FPSO1 Otim'!I$3,0))</f>
        <v>470.92499999999995</v>
      </c>
      <c r="J228" s="19">
        <f ca="1">IF($A228-J$3&lt;2,0,OFFSET('FPSO1 Base'!J225,-'FPSO1 Otim'!J$3,0))</f>
        <v>260.04300000000001</v>
      </c>
      <c r="K228" s="19">
        <f ca="1">IF($A228-K$3&lt;2,0,OFFSET('FPSO1 Base'!K225,-'FPSO1 Otim'!K$3,0))</f>
        <v>265.93799999999999</v>
      </c>
      <c r="L228" s="19">
        <f ca="1">IF($A228-L$3&lt;2,0,OFFSET('FPSO1 Base'!L225,-'FPSO1 Otim'!L$3,0))</f>
        <v>353.87549999999999</v>
      </c>
      <c r="M228" s="19">
        <f ca="1">IF($A228-M$3&lt;2,0,OFFSET('FPSO1 Base'!M225,-'FPSO1 Otim'!M$3,0))</f>
        <v>375.048</v>
      </c>
      <c r="N228" s="19">
        <f ca="1">IF($A228-N$3&lt;2,0,OFFSET('FPSO1 Base'!N225,-'FPSO1 Otim'!N$3,0))</f>
        <v>36.764158403466197</v>
      </c>
      <c r="O228" s="19">
        <f ca="1">IF($A228-O$3&lt;2,0,OFFSET('FPSO1 Base'!O225,-'FPSO1 Otim'!O$3,0))</f>
        <v>384.24149999999997</v>
      </c>
      <c r="P228" s="19">
        <f ca="1">IF($A228-P$3&lt;2,0,OFFSET('FPSO1 Base'!P225,-'FPSO1 Otim'!P$3,0))</f>
        <v>184.97549999999998</v>
      </c>
      <c r="Q228" s="19">
        <f ca="1">IF($A228-Q$3&lt;2,0,OFFSET('FPSO1 Base'!Q225,-'FPSO1 Otim'!Q$3,0))</f>
        <v>393.58799999999997</v>
      </c>
      <c r="R228" s="19">
        <f ca="1">IF($A228-R$3&lt;2,0,OFFSET('FPSO1 Base'!R225,-'FPSO1 Otim'!R$3,0))</f>
        <v>65.250463115495506</v>
      </c>
      <c r="S228" s="19">
        <f ca="1">IF($A228-S$3&lt;2,0,OFFSET('FPSO1 Base'!S225,-'FPSO1 Otim'!S$3,0))</f>
        <v>393.70049999999998</v>
      </c>
      <c r="T228" s="19">
        <f ca="1">IF($A228-T$3&lt;2,0,OFFSET('FPSO1 Base'!T225,-'FPSO1 Otim'!T$3,0))</f>
        <v>591.89549999999997</v>
      </c>
      <c r="U228" s="19">
        <f ca="1">IF($A228-U$3&lt;2,0,OFFSET('FPSO1 Base'!U225,-'FPSO1 Otim'!U$3,0))</f>
        <v>521.89949999999999</v>
      </c>
      <c r="V228" s="19">
        <f ca="1">IF($A228-V$3&lt;2,0,OFFSET('FPSO1 Base'!V225,-'FPSO1 Otim'!V$3,0))</f>
        <v>471.53250000000003</v>
      </c>
      <c r="W228" s="19">
        <f ca="1">IF($A228-W$3&lt;2,0,OFFSET('FPSO1 Base'!W225,-'FPSO1 Otim'!W$3,0))</f>
        <v>257.00850000000003</v>
      </c>
      <c r="X228" s="19">
        <f ca="1">IF($A228-X$3&lt;2,0,OFFSET('FPSO1 Base'!X225,-'FPSO1 Otim'!X$3,0))</f>
        <v>890.80049999999994</v>
      </c>
      <c r="Y228" s="19">
        <f ca="1">IF($A228-Y$3&lt;2,0,OFFSET('FPSO1 Base'!Y225,-'FPSO1 Otim'!Y$3,0))</f>
        <v>472.5675</v>
      </c>
      <c r="Z228" s="19">
        <f ca="1">IF($A228-Z$3&lt;2,0,OFFSET('FPSO1 Base'!Z225,-'FPSO1 Otim'!Z$3,0))</f>
        <v>463.24950000000001</v>
      </c>
      <c r="AA228" s="20">
        <v>15000</v>
      </c>
      <c r="AB228" s="19">
        <f t="shared" ca="1" si="13"/>
        <v>9771.9911215189604</v>
      </c>
      <c r="AC228" s="20">
        <f t="shared" ca="1" si="14"/>
        <v>5228.0088784810396</v>
      </c>
      <c r="AD228" s="19">
        <f t="shared" ca="1" si="15"/>
        <v>1548.3440731861563</v>
      </c>
    </row>
    <row r="229" spans="1:30" x14ac:dyDescent="0.25">
      <c r="A229" s="19">
        <v>225</v>
      </c>
      <c r="B229" s="31">
        <v>52444</v>
      </c>
      <c r="C229" s="19">
        <f ca="1">IF($A229-C$3&lt;2,0,OFFSET('FPSO1 Base'!C226,-'FPSO1 Otim'!C$3,0))</f>
        <v>1121.7165</v>
      </c>
      <c r="D229" s="19">
        <f ca="1">IF($A229-D$3&lt;2,0,OFFSET('FPSO1 Base'!D226,-'FPSO1 Otim'!D$3,0))</f>
        <v>151.11449999999999</v>
      </c>
      <c r="E229" s="19">
        <f ca="1">IF($A229-E$3&lt;2,0,OFFSET('FPSO1 Base'!E226,-'FPSO1 Otim'!E$3,0))</f>
        <v>409.3125</v>
      </c>
      <c r="F229" s="19">
        <f ca="1">IF($A229-F$3&lt;2,0,OFFSET('FPSO1 Base'!F226,-'FPSO1 Otim'!F$3,0))</f>
        <v>433.54950000000002</v>
      </c>
      <c r="G229" s="19">
        <f ca="1">IF($A229-G$3&lt;2,0,OFFSET('FPSO1 Base'!G226,-'FPSO1 Otim'!G$3,0))</f>
        <v>155.81099999999998</v>
      </c>
      <c r="H229" s="19">
        <f ca="1">IF($A229-H$3&lt;2,0,OFFSET('FPSO1 Base'!H226,-'FPSO1 Otim'!H$3,0))</f>
        <v>620.60550000000001</v>
      </c>
      <c r="I229" s="19">
        <f ca="1">IF($A229-I$3&lt;2,0,OFFSET('FPSO1 Base'!I226,-'FPSO1 Otim'!I$3,0))</f>
        <v>470.54100000000005</v>
      </c>
      <c r="J229" s="19">
        <f ca="1">IF($A229-J$3&lt;2,0,OFFSET('FPSO1 Base'!J226,-'FPSO1 Otim'!J$3,0))</f>
        <v>259.64550000000003</v>
      </c>
      <c r="K229" s="19">
        <f ca="1">IF($A229-K$3&lt;2,0,OFFSET('FPSO1 Base'!K226,-'FPSO1 Otim'!K$3,0))</f>
        <v>264.64049999999997</v>
      </c>
      <c r="L229" s="19">
        <f ca="1">IF($A229-L$3&lt;2,0,OFFSET('FPSO1 Base'!L226,-'FPSO1 Otim'!L$3,0))</f>
        <v>352.56</v>
      </c>
      <c r="M229" s="19">
        <f ca="1">IF($A229-M$3&lt;2,0,OFFSET('FPSO1 Base'!M226,-'FPSO1 Otim'!M$3,0))</f>
        <v>373.3005</v>
      </c>
      <c r="N229" s="19">
        <f ca="1">IF($A229-N$3&lt;2,0,OFFSET('FPSO1 Base'!N226,-'FPSO1 Otim'!N$3,0))</f>
        <v>36.396516819431532</v>
      </c>
      <c r="O229" s="19">
        <f ca="1">IF($A229-O$3&lt;2,0,OFFSET('FPSO1 Base'!O226,-'FPSO1 Otim'!O$3,0))</f>
        <v>382.04999999999995</v>
      </c>
      <c r="P229" s="19">
        <f ca="1">IF($A229-P$3&lt;2,0,OFFSET('FPSO1 Base'!P226,-'FPSO1 Otim'!P$3,0))</f>
        <v>184.185</v>
      </c>
      <c r="Q229" s="19">
        <f ca="1">IF($A229-Q$3&lt;2,0,OFFSET('FPSO1 Base'!Q226,-'FPSO1 Otim'!Q$3,0))</f>
        <v>393.048</v>
      </c>
      <c r="R229" s="19">
        <f ca="1">IF($A229-R$3&lt;2,0,OFFSET('FPSO1 Base'!R226,-'FPSO1 Otim'!R$3,0))</f>
        <v>64.597958484340552</v>
      </c>
      <c r="S229" s="19">
        <f ca="1">IF($A229-S$3&lt;2,0,OFFSET('FPSO1 Base'!S226,-'FPSO1 Otim'!S$3,0))</f>
        <v>390.64050000000003</v>
      </c>
      <c r="T229" s="19">
        <f ca="1">IF($A229-T$3&lt;2,0,OFFSET('FPSO1 Base'!T226,-'FPSO1 Otim'!T$3,0))</f>
        <v>590.82449999999994</v>
      </c>
      <c r="U229" s="19">
        <f ca="1">IF($A229-U$3&lt;2,0,OFFSET('FPSO1 Base'!U226,-'FPSO1 Otim'!U$3,0))</f>
        <v>520.74149999999997</v>
      </c>
      <c r="V229" s="19">
        <f ca="1">IF($A229-V$3&lt;2,0,OFFSET('FPSO1 Base'!V226,-'FPSO1 Otim'!V$3,0))</f>
        <v>469.04999999999995</v>
      </c>
      <c r="W229" s="19">
        <f ca="1">IF($A229-W$3&lt;2,0,OFFSET('FPSO1 Base'!W226,-'FPSO1 Otim'!W$3,0))</f>
        <v>256.58699999999999</v>
      </c>
      <c r="X229" s="19">
        <f ca="1">IF($A229-X$3&lt;2,0,OFFSET('FPSO1 Base'!X226,-'FPSO1 Otim'!X$3,0))</f>
        <v>887.15249999999992</v>
      </c>
      <c r="Y229" s="19">
        <f ca="1">IF($A229-Y$3&lt;2,0,OFFSET('FPSO1 Base'!Y226,-'FPSO1 Otim'!Y$3,0))</f>
        <v>471.99149999999997</v>
      </c>
      <c r="Z229" s="19">
        <f ca="1">IF($A229-Z$3&lt;2,0,OFFSET('FPSO1 Base'!Z226,-'FPSO1 Otim'!Z$3,0))</f>
        <v>460.37849999999997</v>
      </c>
      <c r="AA229" s="20">
        <v>15000</v>
      </c>
      <c r="AB229" s="19">
        <f t="shared" ca="1" si="13"/>
        <v>9720.4404753037743</v>
      </c>
      <c r="AC229" s="20">
        <f t="shared" ca="1" si="14"/>
        <v>5279.5595246962257</v>
      </c>
      <c r="AD229" s="19">
        <f t="shared" ca="1" si="15"/>
        <v>1527.447293138333</v>
      </c>
    </row>
    <row r="230" spans="1:30" x14ac:dyDescent="0.25">
      <c r="A230" s="19">
        <v>226</v>
      </c>
      <c r="B230" s="31">
        <v>52475</v>
      </c>
      <c r="C230" s="19">
        <f ca="1">IF($A230-C$3&lt;2,0,OFFSET('FPSO1 Base'!C227,-'FPSO1 Otim'!C$3,0))</f>
        <v>1100.9279999999999</v>
      </c>
      <c r="D230" s="19">
        <f ca="1">IF($A230-D$3&lt;2,0,OFFSET('FPSO1 Base'!D227,-'FPSO1 Otim'!D$3,0))</f>
        <v>150.41849999999999</v>
      </c>
      <c r="E230" s="19">
        <f ca="1">IF($A230-E$3&lt;2,0,OFFSET('FPSO1 Base'!E227,-'FPSO1 Otim'!E$3,0))</f>
        <v>406.95899999999995</v>
      </c>
      <c r="F230" s="19">
        <f ca="1">IF($A230-F$3&lt;2,0,OFFSET('FPSO1 Base'!F227,-'FPSO1 Otim'!F$3,0))</f>
        <v>431.202</v>
      </c>
      <c r="G230" s="19">
        <f ca="1">IF($A230-G$3&lt;2,0,OFFSET('FPSO1 Base'!G227,-'FPSO1 Otim'!G$3,0))</f>
        <v>155.33850000000001</v>
      </c>
      <c r="H230" s="19">
        <f ca="1">IF($A230-H$3&lt;2,0,OFFSET('FPSO1 Base'!H227,-'FPSO1 Otim'!H$3,0))</f>
        <v>619.69949999999994</v>
      </c>
      <c r="I230" s="19">
        <f ca="1">IF($A230-I$3&lt;2,0,OFFSET('FPSO1 Base'!I227,-'FPSO1 Otim'!I$3,0))</f>
        <v>470.14949999999999</v>
      </c>
      <c r="J230" s="19">
        <f ca="1">IF($A230-J$3&lt;2,0,OFFSET('FPSO1 Base'!J227,-'FPSO1 Otim'!J$3,0))</f>
        <v>259.22550000000001</v>
      </c>
      <c r="K230" s="19">
        <f ca="1">IF($A230-K$3&lt;2,0,OFFSET('FPSO1 Base'!K227,-'FPSO1 Otim'!K$3,0))</f>
        <v>263.14949999999999</v>
      </c>
      <c r="L230" s="19">
        <f ca="1">IF($A230-L$3&lt;2,0,OFFSET('FPSO1 Base'!L227,-'FPSO1 Otim'!L$3,0))</f>
        <v>351.15</v>
      </c>
      <c r="M230" s="19">
        <f ca="1">IF($A230-M$3&lt;2,0,OFFSET('FPSO1 Base'!M227,-'FPSO1 Otim'!M$3,0))</f>
        <v>371.72249999999997</v>
      </c>
      <c r="N230" s="19">
        <f ca="1">IF($A230-N$3&lt;2,0,OFFSET('FPSO1 Base'!N227,-'FPSO1 Otim'!N$3,0))</f>
        <v>36.03255165123722</v>
      </c>
      <c r="O230" s="19">
        <f ca="1">IF($A230-O$3&lt;2,0,OFFSET('FPSO1 Base'!O227,-'FPSO1 Otim'!O$3,0))</f>
        <v>378.91949999999997</v>
      </c>
      <c r="P230" s="19">
        <f ca="1">IF($A230-P$3&lt;2,0,OFFSET('FPSO1 Base'!P227,-'FPSO1 Otim'!P$3,0))</f>
        <v>183.291</v>
      </c>
      <c r="Q230" s="19">
        <f ca="1">IF($A230-Q$3&lt;2,0,OFFSET('FPSO1 Base'!Q227,-'FPSO1 Otim'!Q$3,0))</f>
        <v>392.577</v>
      </c>
      <c r="R230" s="19">
        <f ca="1">IF($A230-R$3&lt;2,0,OFFSET('FPSO1 Base'!R227,-'FPSO1 Otim'!R$3,0))</f>
        <v>63.951978899497149</v>
      </c>
      <c r="S230" s="19">
        <f ca="1">IF($A230-S$3&lt;2,0,OFFSET('FPSO1 Base'!S227,-'FPSO1 Otim'!S$3,0))</f>
        <v>387.798</v>
      </c>
      <c r="T230" s="19">
        <f ca="1">IF($A230-T$3&lt;2,0,OFFSET('FPSO1 Base'!T227,-'FPSO1 Otim'!T$3,0))</f>
        <v>589.827</v>
      </c>
      <c r="U230" s="19">
        <f ca="1">IF($A230-U$3&lt;2,0,OFFSET('FPSO1 Base'!U227,-'FPSO1 Otim'!U$3,0))</f>
        <v>519.60450000000003</v>
      </c>
      <c r="V230" s="19">
        <f ca="1">IF($A230-V$3&lt;2,0,OFFSET('FPSO1 Base'!V227,-'FPSO1 Otim'!V$3,0))</f>
        <v>466.74149999999997</v>
      </c>
      <c r="W230" s="19">
        <f ca="1">IF($A230-W$3&lt;2,0,OFFSET('FPSO1 Base'!W227,-'FPSO1 Otim'!W$3,0))</f>
        <v>256.173</v>
      </c>
      <c r="X230" s="19">
        <f ca="1">IF($A230-X$3&lt;2,0,OFFSET('FPSO1 Base'!X227,-'FPSO1 Otim'!X$3,0))</f>
        <v>883.572</v>
      </c>
      <c r="Y230" s="19">
        <f ca="1">IF($A230-Y$3&lt;2,0,OFFSET('FPSO1 Base'!Y227,-'FPSO1 Otim'!Y$3,0))</f>
        <v>471.33750000000003</v>
      </c>
      <c r="Z230" s="19">
        <f ca="1">IF($A230-Z$3&lt;2,0,OFFSET('FPSO1 Base'!Z227,-'FPSO1 Otim'!Z$3,0))</f>
        <v>457.32449999999994</v>
      </c>
      <c r="AA230" s="20">
        <v>15000</v>
      </c>
      <c r="AB230" s="19">
        <f t="shared" ca="1" si="13"/>
        <v>9667.0925305507353</v>
      </c>
      <c r="AC230" s="20">
        <f t="shared" ca="1" si="14"/>
        <v>5332.9074694492647</v>
      </c>
      <c r="AD230" s="19">
        <f t="shared" ca="1" si="15"/>
        <v>1506.5100712160915</v>
      </c>
    </row>
    <row r="231" spans="1:30" x14ac:dyDescent="0.25">
      <c r="A231" s="19">
        <v>227</v>
      </c>
      <c r="B231" s="31">
        <v>52505</v>
      </c>
      <c r="C231" s="19">
        <f ca="1">IF($A231-C$3&lt;2,0,OFFSET('FPSO1 Base'!C228,-'FPSO1 Otim'!C$3,0))</f>
        <v>1078.527</v>
      </c>
      <c r="D231" s="19">
        <f ca="1">IF($A231-D$3&lt;2,0,OFFSET('FPSO1 Base'!D228,-'FPSO1 Otim'!D$3,0))</f>
        <v>149.76749999999998</v>
      </c>
      <c r="E231" s="19">
        <f ca="1">IF($A231-E$3&lt;2,0,OFFSET('FPSO1 Base'!E228,-'FPSO1 Otim'!E$3,0))</f>
        <v>404.78250000000003</v>
      </c>
      <c r="F231" s="19">
        <f ca="1">IF($A231-F$3&lt;2,0,OFFSET('FPSO1 Base'!F228,-'FPSO1 Otim'!F$3,0))</f>
        <v>428.87849999999997</v>
      </c>
      <c r="G231" s="19">
        <f ca="1">IF($A231-G$3&lt;2,0,OFFSET('FPSO1 Base'!G228,-'FPSO1 Otim'!G$3,0))</f>
        <v>154.84199999999998</v>
      </c>
      <c r="H231" s="19">
        <f ca="1">IF($A231-H$3&lt;2,0,OFFSET('FPSO1 Base'!H228,-'FPSO1 Otim'!H$3,0))</f>
        <v>616.22699999999998</v>
      </c>
      <c r="I231" s="19">
        <f ca="1">IF($A231-I$3&lt;2,0,OFFSET('FPSO1 Base'!I228,-'FPSO1 Otim'!I$3,0))</f>
        <v>469.839</v>
      </c>
      <c r="J231" s="19">
        <f ca="1">IF($A231-J$3&lt;2,0,OFFSET('FPSO1 Base'!J228,-'FPSO1 Otim'!J$3,0))</f>
        <v>258.87149999999997</v>
      </c>
      <c r="K231" s="19">
        <f ca="1">IF($A231-K$3&lt;2,0,OFFSET('FPSO1 Base'!K228,-'FPSO1 Otim'!K$3,0))</f>
        <v>261.762</v>
      </c>
      <c r="L231" s="19">
        <f ca="1">IF($A231-L$3&lt;2,0,OFFSET('FPSO1 Base'!L228,-'FPSO1 Otim'!L$3,0))</f>
        <v>349.815</v>
      </c>
      <c r="M231" s="19">
        <f ca="1">IF($A231-M$3&lt;2,0,OFFSET('FPSO1 Base'!M228,-'FPSO1 Otim'!M$3,0))</f>
        <v>370.173</v>
      </c>
      <c r="N231" s="19">
        <f ca="1">IF($A231-N$3&lt;2,0,OFFSET('FPSO1 Base'!N228,-'FPSO1 Otim'!N$3,0))</f>
        <v>35.672226134724845</v>
      </c>
      <c r="O231" s="19">
        <f ca="1">IF($A231-O$3&lt;2,0,OFFSET('FPSO1 Base'!O228,-'FPSO1 Otim'!O$3,0))</f>
        <v>376.59749999999997</v>
      </c>
      <c r="P231" s="19">
        <f ca="1">IF($A231-P$3&lt;2,0,OFFSET('FPSO1 Base'!P228,-'FPSO1 Otim'!P$3,0))</f>
        <v>182.4495</v>
      </c>
      <c r="Q231" s="19">
        <f ca="1">IF($A231-Q$3&lt;2,0,OFFSET('FPSO1 Base'!Q228,-'FPSO1 Otim'!Q$3,0))</f>
        <v>391.9425</v>
      </c>
      <c r="R231" s="19">
        <f ca="1">IF($A231-R$3&lt;2,0,OFFSET('FPSO1 Base'!R228,-'FPSO1 Otim'!R$3,0))</f>
        <v>63.312459110502175</v>
      </c>
      <c r="S231" s="19">
        <f ca="1">IF($A231-S$3&lt;2,0,OFFSET('FPSO1 Base'!S228,-'FPSO1 Otim'!S$3,0))</f>
        <v>384.46800000000002</v>
      </c>
      <c r="T231" s="19">
        <f ca="1">IF($A231-T$3&lt;2,0,OFFSET('FPSO1 Base'!T228,-'FPSO1 Otim'!T$3,0))</f>
        <v>588.91949999999997</v>
      </c>
      <c r="U231" s="19">
        <f ca="1">IF($A231-U$3&lt;2,0,OFFSET('FPSO1 Base'!U228,-'FPSO1 Otim'!U$3,0))</f>
        <v>518.3309999999999</v>
      </c>
      <c r="V231" s="19">
        <f ca="1">IF($A231-V$3&lt;2,0,OFFSET('FPSO1 Base'!V228,-'FPSO1 Otim'!V$3,0))</f>
        <v>464.51550000000003</v>
      </c>
      <c r="W231" s="19">
        <f ca="1">IF($A231-W$3&lt;2,0,OFFSET('FPSO1 Base'!W228,-'FPSO1 Otim'!W$3,0))</f>
        <v>255.75</v>
      </c>
      <c r="X231" s="19">
        <f ca="1">IF($A231-X$3&lt;2,0,OFFSET('FPSO1 Base'!X228,-'FPSO1 Otim'!X$3,0))</f>
        <v>879.94950000000006</v>
      </c>
      <c r="Y231" s="19">
        <f ca="1">IF($A231-Y$3&lt;2,0,OFFSET('FPSO1 Base'!Y228,-'FPSO1 Otim'!Y$3,0))</f>
        <v>470.72249999999997</v>
      </c>
      <c r="Z231" s="19">
        <f ca="1">IF($A231-Z$3&lt;2,0,OFFSET('FPSO1 Base'!Z228,-'FPSO1 Otim'!Z$3,0))</f>
        <v>454.428</v>
      </c>
      <c r="AA231" s="20">
        <v>15000</v>
      </c>
      <c r="AB231" s="19">
        <f t="shared" ca="1" si="13"/>
        <v>9610.5431852452275</v>
      </c>
      <c r="AC231" s="20">
        <f t="shared" ca="1" si="14"/>
        <v>5389.4568147547725</v>
      </c>
      <c r="AD231" s="19">
        <f t="shared" ca="1" si="15"/>
        <v>1485.3198124648322</v>
      </c>
    </row>
    <row r="232" spans="1:30" x14ac:dyDescent="0.25">
      <c r="A232" s="19">
        <v>228</v>
      </c>
      <c r="B232" s="31">
        <v>52536</v>
      </c>
      <c r="C232" s="19">
        <f ca="1">IF($A232-C$3&lt;2,0,OFFSET('FPSO1 Base'!C229,-'FPSO1 Otim'!C$3,0))</f>
        <v>1055.0535</v>
      </c>
      <c r="D232" s="19">
        <f ca="1">IF($A232-D$3&lt;2,0,OFFSET('FPSO1 Base'!D229,-'FPSO1 Otim'!D$3,0))</f>
        <v>149.10750000000002</v>
      </c>
      <c r="E232" s="19">
        <f ca="1">IF($A232-E$3&lt;2,0,OFFSET('FPSO1 Base'!E229,-'FPSO1 Otim'!E$3,0))</f>
        <v>402.255</v>
      </c>
      <c r="F232" s="19">
        <f ca="1">IF($A232-F$3&lt;2,0,OFFSET('FPSO1 Base'!F229,-'FPSO1 Otim'!F$3,0))</f>
        <v>426.40049999999997</v>
      </c>
      <c r="G232" s="19">
        <f ca="1">IF($A232-G$3&lt;2,0,OFFSET('FPSO1 Base'!G229,-'FPSO1 Otim'!G$3,0))</f>
        <v>154.476</v>
      </c>
      <c r="H232" s="19">
        <f ca="1">IF($A232-H$3&lt;2,0,OFFSET('FPSO1 Base'!H229,-'FPSO1 Otim'!H$3,0))</f>
        <v>615.49649999999997</v>
      </c>
      <c r="I232" s="19">
        <f ca="1">IF($A232-I$3&lt;2,0,OFFSET('FPSO1 Base'!I229,-'FPSO1 Otim'!I$3,0))</f>
        <v>469.452</v>
      </c>
      <c r="J232" s="19">
        <f ca="1">IF($A232-J$3&lt;2,0,OFFSET('FPSO1 Base'!J229,-'FPSO1 Otim'!J$3,0))</f>
        <v>258.45000000000005</v>
      </c>
      <c r="K232" s="19">
        <f ca="1">IF($A232-K$3&lt;2,0,OFFSET('FPSO1 Base'!K229,-'FPSO1 Otim'!K$3,0))</f>
        <v>260.40749999999997</v>
      </c>
      <c r="L232" s="19">
        <f ca="1">IF($A232-L$3&lt;2,0,OFFSET('FPSO1 Base'!L229,-'FPSO1 Otim'!L$3,0))</f>
        <v>348.55650000000003</v>
      </c>
      <c r="M232" s="19">
        <f ca="1">IF($A232-M$3&lt;2,0,OFFSET('FPSO1 Base'!M229,-'FPSO1 Otim'!M$3,0))</f>
        <v>368.57550000000003</v>
      </c>
      <c r="N232" s="19">
        <f ca="1">IF($A232-N$3&lt;2,0,OFFSET('FPSO1 Base'!N229,-'FPSO1 Otim'!N$3,0))</f>
        <v>35.315503873377594</v>
      </c>
      <c r="O232" s="19">
        <f ca="1">IF($A232-O$3&lt;2,0,OFFSET('FPSO1 Base'!O229,-'FPSO1 Otim'!O$3,0))</f>
        <v>373.92899999999997</v>
      </c>
      <c r="P232" s="19">
        <f ca="1">IF($A232-P$3&lt;2,0,OFFSET('FPSO1 Base'!P229,-'FPSO1 Otim'!P$3,0))</f>
        <v>181.6215</v>
      </c>
      <c r="Q232" s="19">
        <f ca="1">IF($A232-Q$3&lt;2,0,OFFSET('FPSO1 Base'!Q229,-'FPSO1 Otim'!Q$3,0))</f>
        <v>391.48800000000006</v>
      </c>
      <c r="R232" s="19">
        <f ca="1">IF($A232-R$3&lt;2,0,OFFSET('FPSO1 Base'!R229,-'FPSO1 Otim'!R$3,0))</f>
        <v>62.679334519397152</v>
      </c>
      <c r="S232" s="19">
        <f ca="1">IF($A232-S$3&lt;2,0,OFFSET('FPSO1 Base'!S229,-'FPSO1 Otim'!S$3,0))</f>
        <v>381.85950000000003</v>
      </c>
      <c r="T232" s="19">
        <f ca="1">IF($A232-T$3&lt;2,0,OFFSET('FPSO1 Base'!T229,-'FPSO1 Otim'!T$3,0))</f>
        <v>587.79899999999998</v>
      </c>
      <c r="U232" s="19">
        <f ca="1">IF($A232-U$3&lt;2,0,OFFSET('FPSO1 Base'!U229,-'FPSO1 Otim'!U$3,0))</f>
        <v>517.28250000000003</v>
      </c>
      <c r="V232" s="19">
        <f ca="1">IF($A232-V$3&lt;2,0,OFFSET('FPSO1 Base'!V229,-'FPSO1 Otim'!V$3,0))</f>
        <v>462.04950000000002</v>
      </c>
      <c r="W232" s="19">
        <f ca="1">IF($A232-W$3&lt;2,0,OFFSET('FPSO1 Base'!W229,-'FPSO1 Otim'!W$3,0))</f>
        <v>255.363</v>
      </c>
      <c r="X232" s="19">
        <f ca="1">IF($A232-X$3&lt;2,0,OFFSET('FPSO1 Base'!X229,-'FPSO1 Otim'!X$3,0))</f>
        <v>877.33049999999992</v>
      </c>
      <c r="Y232" s="19">
        <f ca="1">IF($A232-Y$3&lt;2,0,OFFSET('FPSO1 Base'!Y229,-'FPSO1 Otim'!Y$3,0))</f>
        <v>470.03700000000003</v>
      </c>
      <c r="Z232" s="19">
        <f ca="1">IF($A232-Z$3&lt;2,0,OFFSET('FPSO1 Base'!Z229,-'FPSO1 Otim'!Z$3,0))</f>
        <v>451.51199999999994</v>
      </c>
      <c r="AA232" s="20">
        <v>15000</v>
      </c>
      <c r="AB232" s="19">
        <f t="shared" ca="1" si="13"/>
        <v>9556.4968383927771</v>
      </c>
      <c r="AC232" s="20">
        <f t="shared" ca="1" si="14"/>
        <v>5443.5031616072229</v>
      </c>
      <c r="AD232" s="19">
        <f t="shared" ca="1" si="15"/>
        <v>1464.760553335381</v>
      </c>
    </row>
    <row r="233" spans="1:30" x14ac:dyDescent="0.25">
      <c r="A233" s="19">
        <v>229</v>
      </c>
      <c r="B233" s="31">
        <v>52566</v>
      </c>
      <c r="C233" s="19">
        <f ca="1">IF($A233-C$3&lt;2,0,OFFSET('FPSO1 Base'!C230,-'FPSO1 Otim'!C$3,0))</f>
        <v>1031.1555000000001</v>
      </c>
      <c r="D233" s="19">
        <f ca="1">IF($A233-D$3&lt;2,0,OFFSET('FPSO1 Base'!D230,-'FPSO1 Otim'!D$3,0))</f>
        <v>148.43700000000001</v>
      </c>
      <c r="E233" s="19">
        <f ca="1">IF($A233-E$3&lt;2,0,OFFSET('FPSO1 Base'!E230,-'FPSO1 Otim'!E$3,0))</f>
        <v>400.28250000000003</v>
      </c>
      <c r="F233" s="19">
        <f ca="1">IF($A233-F$3&lt;2,0,OFFSET('FPSO1 Base'!F230,-'FPSO1 Otim'!F$3,0))</f>
        <v>424.161</v>
      </c>
      <c r="G233" s="19">
        <f ca="1">IF($A233-G$3&lt;2,0,OFFSET('FPSO1 Base'!G230,-'FPSO1 Otim'!G$3,0))</f>
        <v>154.2045</v>
      </c>
      <c r="H233" s="19">
        <f ca="1">IF($A233-H$3&lt;2,0,OFFSET('FPSO1 Base'!H230,-'FPSO1 Otim'!H$3,0))</f>
        <v>614.66700000000003</v>
      </c>
      <c r="I233" s="19">
        <f ca="1">IF($A233-I$3&lt;2,0,OFFSET('FPSO1 Base'!I230,-'FPSO1 Otim'!I$3,0))</f>
        <v>469.09950000000003</v>
      </c>
      <c r="J233" s="19">
        <f ca="1">IF($A233-J$3&lt;2,0,OFFSET('FPSO1 Base'!J230,-'FPSO1 Otim'!J$3,0))</f>
        <v>258.048</v>
      </c>
      <c r="K233" s="19">
        <f ca="1">IF($A233-K$3&lt;2,0,OFFSET('FPSO1 Base'!K230,-'FPSO1 Otim'!K$3,0))</f>
        <v>259.04999999999995</v>
      </c>
      <c r="L233" s="19">
        <f ca="1">IF($A233-L$3&lt;2,0,OFFSET('FPSO1 Base'!L230,-'FPSO1 Otim'!L$3,0))</f>
        <v>347.07599999999996</v>
      </c>
      <c r="M233" s="19">
        <f ca="1">IF($A233-M$3&lt;2,0,OFFSET('FPSO1 Base'!M230,-'FPSO1 Otim'!M$3,0))</f>
        <v>367.125</v>
      </c>
      <c r="N233" s="19">
        <f ca="1">IF($A233-N$3&lt;2,0,OFFSET('FPSO1 Base'!N230,-'FPSO1 Otim'!N$3,0))</f>
        <v>34.962348834643819</v>
      </c>
      <c r="O233" s="19">
        <f ca="1">IF($A233-O$3&lt;2,0,OFFSET('FPSO1 Base'!O230,-'FPSO1 Otim'!O$3,0))</f>
        <v>371.87850000000003</v>
      </c>
      <c r="P233" s="19">
        <f ca="1">IF($A233-P$3&lt;2,0,OFFSET('FPSO1 Base'!P230,-'FPSO1 Otim'!P$3,0))</f>
        <v>180.70050000000001</v>
      </c>
      <c r="Q233" s="19">
        <f ca="1">IF($A233-Q$3&lt;2,0,OFFSET('FPSO1 Base'!Q230,-'FPSO1 Otim'!Q$3,0))</f>
        <v>390.91200000000003</v>
      </c>
      <c r="R233" s="19">
        <f ca="1">IF($A233-R$3&lt;2,0,OFFSET('FPSO1 Base'!R230,-'FPSO1 Otim'!R$3,0))</f>
        <v>62.052541174203178</v>
      </c>
      <c r="S233" s="19">
        <f ca="1">IF($A233-S$3&lt;2,0,OFFSET('FPSO1 Base'!S230,-'FPSO1 Otim'!S$3,0))</f>
        <v>378.87450000000001</v>
      </c>
      <c r="T233" s="19">
        <f ca="1">IF($A233-T$3&lt;2,0,OFFSET('FPSO1 Base'!T230,-'FPSO1 Otim'!T$3,0))</f>
        <v>586.91100000000006</v>
      </c>
      <c r="U233" s="19">
        <f ca="1">IF($A233-U$3&lt;2,0,OFFSET('FPSO1 Base'!U230,-'FPSO1 Otim'!U$3,0))</f>
        <v>516.07500000000005</v>
      </c>
      <c r="V233" s="19">
        <f ca="1">IF($A233-V$3&lt;2,0,OFFSET('FPSO1 Base'!V230,-'FPSO1 Otim'!V$3,0))</f>
        <v>459.87150000000003</v>
      </c>
      <c r="W233" s="19">
        <f ca="1">IF($A233-W$3&lt;2,0,OFFSET('FPSO1 Base'!W230,-'FPSO1 Otim'!W$3,0))</f>
        <v>254.976</v>
      </c>
      <c r="X233" s="19">
        <f ca="1">IF($A233-X$3&lt;2,0,OFFSET('FPSO1 Base'!X230,-'FPSO1 Otim'!X$3,0))</f>
        <v>874.17450000000008</v>
      </c>
      <c r="Y233" s="19">
        <f ca="1">IF($A233-Y$3&lt;2,0,OFFSET('FPSO1 Base'!Y230,-'FPSO1 Otim'!Y$3,0))</f>
        <v>469.37849999999997</v>
      </c>
      <c r="Z233" s="19">
        <f ca="1">IF($A233-Z$3&lt;2,0,OFFSET('FPSO1 Base'!Z230,-'FPSO1 Otim'!Z$3,0))</f>
        <v>448.46250000000003</v>
      </c>
      <c r="AA233" s="20">
        <v>15000</v>
      </c>
      <c r="AB233" s="19">
        <f t="shared" ca="1" si="13"/>
        <v>9502.5353900088485</v>
      </c>
      <c r="AC233" s="20">
        <f t="shared" ca="1" si="14"/>
        <v>5497.4646099911515</v>
      </c>
      <c r="AD233" s="19">
        <f t="shared" ca="1" si="15"/>
        <v>1444.4525724966761</v>
      </c>
    </row>
    <row r="234" spans="1:30" x14ac:dyDescent="0.25">
      <c r="A234" s="19">
        <v>230</v>
      </c>
      <c r="B234" s="31">
        <v>52597</v>
      </c>
      <c r="C234" s="19">
        <f ca="1">IF($A234-C$3&lt;2,0,OFFSET('FPSO1 Base'!C231,-'FPSO1 Otim'!C$3,0))</f>
        <v>1008.3795</v>
      </c>
      <c r="D234" s="19">
        <f ca="1">IF($A234-D$3&lt;2,0,OFFSET('FPSO1 Base'!D231,-'FPSO1 Otim'!D$3,0))</f>
        <v>147.74849999999998</v>
      </c>
      <c r="E234" s="19">
        <f ca="1">IF($A234-E$3&lt;2,0,OFFSET('FPSO1 Base'!E231,-'FPSO1 Otim'!E$3,0))</f>
        <v>397.98749999999995</v>
      </c>
      <c r="F234" s="19">
        <f ca="1">IF($A234-F$3&lt;2,0,OFFSET('FPSO1 Base'!F231,-'FPSO1 Otim'!F$3,0))</f>
        <v>421.69949999999994</v>
      </c>
      <c r="G234" s="19">
        <f ca="1">IF($A234-G$3&lt;2,0,OFFSET('FPSO1 Base'!G231,-'FPSO1 Otim'!G$3,0))</f>
        <v>153.71100000000001</v>
      </c>
      <c r="H234" s="19">
        <f ca="1">IF($A234-H$3&lt;2,0,OFFSET('FPSO1 Base'!H231,-'FPSO1 Otim'!H$3,0))</f>
        <v>613.86750000000006</v>
      </c>
      <c r="I234" s="19">
        <f ca="1">IF($A234-I$3&lt;2,0,OFFSET('FPSO1 Base'!I231,-'FPSO1 Otim'!I$3,0))</f>
        <v>468.678</v>
      </c>
      <c r="J234" s="19">
        <f ca="1">IF($A234-J$3&lt;2,0,OFFSET('FPSO1 Base'!J231,-'FPSO1 Otim'!J$3,0))</f>
        <v>257.613</v>
      </c>
      <c r="K234" s="19">
        <f ca="1">IF($A234-K$3&lt;2,0,OFFSET('FPSO1 Base'!K231,-'FPSO1 Otim'!K$3,0))</f>
        <v>257.80650000000003</v>
      </c>
      <c r="L234" s="19">
        <f ca="1">IF($A234-L$3&lt;2,0,OFFSET('FPSO1 Base'!L231,-'FPSO1 Otim'!L$3,0))</f>
        <v>345.89550000000003</v>
      </c>
      <c r="M234" s="19">
        <f ca="1">IF($A234-M$3&lt;2,0,OFFSET('FPSO1 Base'!M231,-'FPSO1 Otim'!M$3,0))</f>
        <v>365.53800000000001</v>
      </c>
      <c r="N234" s="19">
        <f ca="1">IF($A234-N$3&lt;2,0,OFFSET('FPSO1 Base'!N231,-'FPSO1 Otim'!N$3,0))</f>
        <v>34.612725346297381</v>
      </c>
      <c r="O234" s="19">
        <f ca="1">IF($A234-O$3&lt;2,0,OFFSET('FPSO1 Base'!O231,-'FPSO1 Otim'!O$3,0))</f>
        <v>369.64949999999999</v>
      </c>
      <c r="P234" s="19">
        <f ca="1">IF($A234-P$3&lt;2,0,OFFSET('FPSO1 Base'!P231,-'FPSO1 Otim'!P$3,0))</f>
        <v>179.9025</v>
      </c>
      <c r="Q234" s="19">
        <f ca="1">IF($A234-Q$3&lt;2,0,OFFSET('FPSO1 Base'!Q231,-'FPSO1 Otim'!Q$3,0))</f>
        <v>390.423</v>
      </c>
      <c r="R234" s="19">
        <f ca="1">IF($A234-R$3&lt;2,0,OFFSET('FPSO1 Base'!R231,-'FPSO1 Otim'!R$3,0))</f>
        <v>61.432015762461148</v>
      </c>
      <c r="S234" s="19">
        <f ca="1">IF($A234-S$3&lt;2,0,OFFSET('FPSO1 Base'!S231,-'FPSO1 Otim'!S$3,0))</f>
        <v>376.209</v>
      </c>
      <c r="T234" s="19">
        <f ca="1">IF($A234-T$3&lt;2,0,OFFSET('FPSO1 Base'!T231,-'FPSO1 Otim'!T$3,0))</f>
        <v>585.88799999999992</v>
      </c>
      <c r="U234" s="19">
        <f ca="1">IF($A234-U$3&lt;2,0,OFFSET('FPSO1 Base'!U231,-'FPSO1 Otim'!U$3,0))</f>
        <v>514.95899999999995</v>
      </c>
      <c r="V234" s="19">
        <f ca="1">IF($A234-V$3&lt;2,0,OFFSET('FPSO1 Base'!V231,-'FPSO1 Otim'!V$3,0))</f>
        <v>457.39949999999999</v>
      </c>
      <c r="W234" s="19">
        <f ca="1">IF($A234-W$3&lt;2,0,OFFSET('FPSO1 Base'!W231,-'FPSO1 Otim'!W$3,0))</f>
        <v>254.56200000000001</v>
      </c>
      <c r="X234" s="19">
        <f ca="1">IF($A234-X$3&lt;2,0,OFFSET('FPSO1 Base'!X231,-'FPSO1 Otim'!X$3,0))</f>
        <v>870.94350000000009</v>
      </c>
      <c r="Y234" s="19">
        <f ca="1">IF($A234-Y$3&lt;2,0,OFFSET('FPSO1 Base'!Y231,-'FPSO1 Otim'!Y$3,0))</f>
        <v>468.702</v>
      </c>
      <c r="Z234" s="19">
        <f ca="1">IF($A234-Z$3&lt;2,0,OFFSET('FPSO1 Base'!Z231,-'FPSO1 Otim'!Z$3,0))</f>
        <v>445.65750000000003</v>
      </c>
      <c r="AA234" s="20">
        <v>15000</v>
      </c>
      <c r="AB234" s="19">
        <f t="shared" ca="1" si="13"/>
        <v>9449.2647411087564</v>
      </c>
      <c r="AC234" s="20">
        <f t="shared" ca="1" si="14"/>
        <v>5550.7352588912436</v>
      </c>
      <c r="AD234" s="19">
        <f t="shared" ca="1" si="15"/>
        <v>1424.4843542307656</v>
      </c>
    </row>
    <row r="235" spans="1:30" x14ac:dyDescent="0.25">
      <c r="A235" s="19">
        <v>231</v>
      </c>
      <c r="B235" s="31">
        <v>52628</v>
      </c>
      <c r="C235" s="19">
        <f ca="1">IF($A235-C$3&lt;2,0,OFFSET('FPSO1 Base'!C232,-'FPSO1 Otim'!C$3,0))</f>
        <v>988.84799999999996</v>
      </c>
      <c r="D235" s="19">
        <f ca="1">IF($A235-D$3&lt;2,0,OFFSET('FPSO1 Base'!D232,-'FPSO1 Otim'!D$3,0))</f>
        <v>147.05850000000001</v>
      </c>
      <c r="E235" s="19">
        <f ca="1">IF($A235-E$3&lt;2,0,OFFSET('FPSO1 Base'!E232,-'FPSO1 Otim'!E$3,0))</f>
        <v>395.89050000000003</v>
      </c>
      <c r="F235" s="19">
        <f ca="1">IF($A235-F$3&lt;2,0,OFFSET('FPSO1 Base'!F232,-'FPSO1 Otim'!F$3,0))</f>
        <v>419.41949999999997</v>
      </c>
      <c r="G235" s="19">
        <f ca="1">IF($A235-G$3&lt;2,0,OFFSET('FPSO1 Base'!G232,-'FPSO1 Otim'!G$3,0))</f>
        <v>153.15300000000002</v>
      </c>
      <c r="H235" s="19">
        <f ca="1">IF($A235-H$3&lt;2,0,OFFSET('FPSO1 Base'!H232,-'FPSO1 Otim'!H$3,0))</f>
        <v>613.03649999999993</v>
      </c>
      <c r="I235" s="19">
        <f ca="1">IF($A235-I$3&lt;2,0,OFFSET('FPSO1 Base'!I232,-'FPSO1 Otim'!I$3,0))</f>
        <v>468.25049999999999</v>
      </c>
      <c r="J235" s="19">
        <f ca="1">IF($A235-J$3&lt;2,0,OFFSET('FPSO1 Base'!J232,-'FPSO1 Otim'!J$3,0))</f>
        <v>257.17499999999995</v>
      </c>
      <c r="K235" s="19">
        <f ca="1">IF($A235-K$3&lt;2,0,OFFSET('FPSO1 Base'!K232,-'FPSO1 Otim'!K$3,0))</f>
        <v>256.42499999999995</v>
      </c>
      <c r="L235" s="19">
        <f ca="1">IF($A235-L$3&lt;2,0,OFFSET('FPSO1 Base'!L232,-'FPSO1 Otim'!L$3,0))</f>
        <v>344.51250000000005</v>
      </c>
      <c r="M235" s="19">
        <f ca="1">IF($A235-M$3&lt;2,0,OFFSET('FPSO1 Base'!M232,-'FPSO1 Otim'!M$3,0))</f>
        <v>364.089</v>
      </c>
      <c r="N235" s="19">
        <f ca="1">IF($A235-N$3&lt;2,0,OFFSET('FPSO1 Base'!N232,-'FPSO1 Otim'!N$3,0))</f>
        <v>34.266598092834407</v>
      </c>
      <c r="O235" s="19">
        <f ca="1">IF($A235-O$3&lt;2,0,OFFSET('FPSO1 Base'!O232,-'FPSO1 Otim'!O$3,0))</f>
        <v>367.572</v>
      </c>
      <c r="P235" s="19">
        <f ca="1">IF($A235-P$3&lt;2,0,OFFSET('FPSO1 Base'!P232,-'FPSO1 Otim'!P$3,0))</f>
        <v>179.0565</v>
      </c>
      <c r="Q235" s="19">
        <f ca="1">IF($A235-Q$3&lt;2,0,OFFSET('FPSO1 Base'!Q232,-'FPSO1 Otim'!Q$3,0))</f>
        <v>389.86200000000002</v>
      </c>
      <c r="R235" s="19">
        <f ca="1">IF($A235-R$3&lt;2,0,OFFSET('FPSO1 Base'!R232,-'FPSO1 Otim'!R$3,0))</f>
        <v>60.817695604836537</v>
      </c>
      <c r="S235" s="19">
        <f ca="1">IF($A235-S$3&lt;2,0,OFFSET('FPSO1 Base'!S232,-'FPSO1 Otim'!S$3,0))</f>
        <v>373.38750000000005</v>
      </c>
      <c r="T235" s="19">
        <f ca="1">IF($A235-T$3&lt;2,0,OFFSET('FPSO1 Base'!T232,-'FPSO1 Otim'!T$3,0))</f>
        <v>584.93999999999994</v>
      </c>
      <c r="U235" s="19">
        <f ca="1">IF($A235-U$3&lt;2,0,OFFSET('FPSO1 Base'!U232,-'FPSO1 Otim'!U$3,0))</f>
        <v>513.72450000000003</v>
      </c>
      <c r="V235" s="19">
        <f ca="1">IF($A235-V$3&lt;2,0,OFFSET('FPSO1 Base'!V232,-'FPSO1 Otim'!V$3,0))</f>
        <v>455.03250000000003</v>
      </c>
      <c r="W235" s="19">
        <f ca="1">IF($A235-W$3&lt;2,0,OFFSET('FPSO1 Base'!W232,-'FPSO1 Otim'!W$3,0))</f>
        <v>254.178</v>
      </c>
      <c r="X235" s="19">
        <f ca="1">IF($A235-X$3&lt;2,0,OFFSET('FPSO1 Base'!X232,-'FPSO1 Otim'!X$3,0))</f>
        <v>868.20900000000006</v>
      </c>
      <c r="Y235" s="19">
        <f ca="1">IF($A235-Y$3&lt;2,0,OFFSET('FPSO1 Base'!Y232,-'FPSO1 Otim'!Y$3,0))</f>
        <v>467.95049999999998</v>
      </c>
      <c r="Z235" s="19">
        <f ca="1">IF($A235-Z$3&lt;2,0,OFFSET('FPSO1 Base'!Z232,-'FPSO1 Otim'!Z$3,0))</f>
        <v>442.61249999999995</v>
      </c>
      <c r="AA235" s="20">
        <v>15000</v>
      </c>
      <c r="AB235" s="19">
        <f t="shared" ca="1" si="13"/>
        <v>9399.4672936976713</v>
      </c>
      <c r="AC235" s="20">
        <f t="shared" ca="1" si="14"/>
        <v>5600.5327063023287</v>
      </c>
      <c r="AD235" s="19">
        <f t="shared" ca="1" si="15"/>
        <v>1405.2667918845905</v>
      </c>
    </row>
    <row r="236" spans="1:30" x14ac:dyDescent="0.25">
      <c r="A236" s="19">
        <v>232</v>
      </c>
      <c r="B236" s="31">
        <v>52657</v>
      </c>
      <c r="C236" s="19">
        <f ca="1">IF($A236-C$3&lt;2,0,OFFSET('FPSO1 Base'!C233,-'FPSO1 Otim'!C$3,0))</f>
        <v>968.71050000000002</v>
      </c>
      <c r="D236" s="19">
        <f ca="1">IF($A236-D$3&lt;2,0,OFFSET('FPSO1 Base'!D233,-'FPSO1 Otim'!D$3,0))</f>
        <v>146.3655</v>
      </c>
      <c r="E236" s="19">
        <f ca="1">IF($A236-E$3&lt;2,0,OFFSET('FPSO1 Base'!E233,-'FPSO1 Otim'!E$3,0))</f>
        <v>393.68700000000001</v>
      </c>
      <c r="F236" s="19">
        <f ca="1">IF($A236-F$3&lt;2,0,OFFSET('FPSO1 Base'!F233,-'FPSO1 Otim'!F$3,0))</f>
        <v>417.36300000000006</v>
      </c>
      <c r="G236" s="19">
        <f ca="1">IF($A236-G$3&lt;2,0,OFFSET('FPSO1 Base'!G233,-'FPSO1 Otim'!G$3,0))</f>
        <v>152.7405</v>
      </c>
      <c r="H236" s="19">
        <f ca="1">IF($A236-H$3&lt;2,0,OFFSET('FPSO1 Base'!H233,-'FPSO1 Otim'!H$3,0))</f>
        <v>612.23099999999999</v>
      </c>
      <c r="I236" s="19">
        <f ca="1">IF($A236-I$3&lt;2,0,OFFSET('FPSO1 Base'!I233,-'FPSO1 Otim'!I$3,0))</f>
        <v>464.37150000000003</v>
      </c>
      <c r="J236" s="19">
        <f ca="1">IF($A236-J$3&lt;2,0,OFFSET('FPSO1 Base'!J233,-'FPSO1 Otim'!J$3,0))</f>
        <v>256.74149999999997</v>
      </c>
      <c r="K236" s="19">
        <f ca="1">IF($A236-K$3&lt;2,0,OFFSET('FPSO1 Base'!K233,-'FPSO1 Otim'!K$3,0))</f>
        <v>255.15749999999997</v>
      </c>
      <c r="L236" s="19">
        <f ca="1">IF($A236-L$3&lt;2,0,OFFSET('FPSO1 Base'!L233,-'FPSO1 Otim'!L$3,0))</f>
        <v>343.22249999999997</v>
      </c>
      <c r="M236" s="19">
        <f ca="1">IF($A236-M$3&lt;2,0,OFFSET('FPSO1 Base'!M233,-'FPSO1 Otim'!M$3,0))</f>
        <v>362.697</v>
      </c>
      <c r="N236" s="19">
        <f ca="1">IF($A236-N$3&lt;2,0,OFFSET('FPSO1 Base'!N233,-'FPSO1 Otim'!N$3,0))</f>
        <v>33.923932111906062</v>
      </c>
      <c r="O236" s="19">
        <f ca="1">IF($A236-O$3&lt;2,0,OFFSET('FPSO1 Base'!O233,-'FPSO1 Otim'!O$3,0))</f>
        <v>365.4</v>
      </c>
      <c r="P236" s="19">
        <f ca="1">IF($A236-P$3&lt;2,0,OFFSET('FPSO1 Base'!P233,-'FPSO1 Otim'!P$3,0))</f>
        <v>178.125</v>
      </c>
      <c r="Q236" s="19">
        <f ca="1">IF($A236-Q$3&lt;2,0,OFFSET('FPSO1 Base'!Q233,-'FPSO1 Otim'!Q$3,0))</f>
        <v>389.38350000000003</v>
      </c>
      <c r="R236" s="19">
        <f ca="1">IF($A236-R$3&lt;2,0,OFFSET('FPSO1 Base'!R233,-'FPSO1 Otim'!R$3,0))</f>
        <v>60.209518648788169</v>
      </c>
      <c r="S236" s="19">
        <f ca="1">IF($A236-S$3&lt;2,0,OFFSET('FPSO1 Base'!S233,-'FPSO1 Otim'!S$3,0))</f>
        <v>370.77750000000003</v>
      </c>
      <c r="T236" s="19">
        <f ca="1">IF($A236-T$3&lt;2,0,OFFSET('FPSO1 Base'!T233,-'FPSO1 Otim'!T$3,0))</f>
        <v>583.92450000000008</v>
      </c>
      <c r="U236" s="19">
        <f ca="1">IF($A236-U$3&lt;2,0,OFFSET('FPSO1 Base'!U233,-'FPSO1 Otim'!U$3,0))</f>
        <v>512.63699999999994</v>
      </c>
      <c r="V236" s="19">
        <f ca="1">IF($A236-V$3&lt;2,0,OFFSET('FPSO1 Base'!V233,-'FPSO1 Otim'!V$3,0))</f>
        <v>452.90250000000003</v>
      </c>
      <c r="W236" s="19">
        <f ca="1">IF($A236-W$3&lt;2,0,OFFSET('FPSO1 Base'!W233,-'FPSO1 Otim'!W$3,0))</f>
        <v>253.56299999999999</v>
      </c>
      <c r="X236" s="19">
        <f ca="1">IF($A236-X$3&lt;2,0,OFFSET('FPSO1 Base'!X233,-'FPSO1 Otim'!X$3,0))</f>
        <v>865.18949999999995</v>
      </c>
      <c r="Y236" s="19">
        <f ca="1">IF($A236-Y$3&lt;2,0,OFFSET('FPSO1 Base'!Y233,-'FPSO1 Otim'!Y$3,0))</f>
        <v>466.65750000000003</v>
      </c>
      <c r="Z236" s="19">
        <f ca="1">IF($A236-Z$3&lt;2,0,OFFSET('FPSO1 Base'!Z233,-'FPSO1 Otim'!Z$3,0))</f>
        <v>439.72950000000003</v>
      </c>
      <c r="AA236" s="20">
        <v>15000</v>
      </c>
      <c r="AB236" s="19">
        <f t="shared" ca="1" si="13"/>
        <v>9345.7104507606928</v>
      </c>
      <c r="AC236" s="20">
        <f t="shared" ca="1" si="14"/>
        <v>5654.2895492393072</v>
      </c>
      <c r="AD236" s="19">
        <f t="shared" ca="1" si="15"/>
        <v>1385.6825239512661</v>
      </c>
    </row>
    <row r="237" spans="1:30" x14ac:dyDescent="0.25">
      <c r="A237" s="19">
        <v>233</v>
      </c>
      <c r="B237" s="31">
        <v>52688</v>
      </c>
      <c r="C237" s="19">
        <f ca="1">IF($A237-C$3&lt;2,0,OFFSET('FPSO1 Base'!C234,-'FPSO1 Otim'!C$3,0))</f>
        <v>950.41499999999996</v>
      </c>
      <c r="D237" s="19">
        <f ca="1">IF($A237-D$3&lt;2,0,OFFSET('FPSO1 Base'!D234,-'FPSO1 Otim'!D$3,0))</f>
        <v>145.6455</v>
      </c>
      <c r="E237" s="19">
        <f ca="1">IF($A237-E$3&lt;2,0,OFFSET('FPSO1 Base'!E234,-'FPSO1 Otim'!E$3,0))</f>
        <v>391.65750000000003</v>
      </c>
      <c r="F237" s="19">
        <f ca="1">IF($A237-F$3&lt;2,0,OFFSET('FPSO1 Base'!F234,-'FPSO1 Otim'!F$3,0))</f>
        <v>414.96449999999993</v>
      </c>
      <c r="G237" s="19">
        <f ca="1">IF($A237-G$3&lt;2,0,OFFSET('FPSO1 Base'!G234,-'FPSO1 Otim'!G$3,0))</f>
        <v>152.33850000000001</v>
      </c>
      <c r="H237" s="19">
        <f ca="1">IF($A237-H$3&lt;2,0,OFFSET('FPSO1 Base'!H234,-'FPSO1 Otim'!H$3,0))</f>
        <v>611.43000000000006</v>
      </c>
      <c r="I237" s="19">
        <f ca="1">IF($A237-I$3&lt;2,0,OFFSET('FPSO1 Base'!I234,-'FPSO1 Otim'!I$3,0))</f>
        <v>463.5</v>
      </c>
      <c r="J237" s="19">
        <f ca="1">IF($A237-J$3&lt;2,0,OFFSET('FPSO1 Base'!J234,-'FPSO1 Otim'!J$3,0))</f>
        <v>256.27499999999998</v>
      </c>
      <c r="K237" s="19">
        <f ca="1">IF($A237-K$3&lt;2,0,OFFSET('FPSO1 Base'!K234,-'FPSO1 Otim'!K$3,0))</f>
        <v>253.99649999999997</v>
      </c>
      <c r="L237" s="19">
        <f ca="1">IF($A237-L$3&lt;2,0,OFFSET('FPSO1 Base'!L234,-'FPSO1 Otim'!L$3,0))</f>
        <v>341.86199999999997</v>
      </c>
      <c r="M237" s="19">
        <f ca="1">IF($A237-M$3&lt;2,0,OFFSET('FPSO1 Base'!M234,-'FPSO1 Otim'!M$3,0))</f>
        <v>361.08450000000005</v>
      </c>
      <c r="N237" s="19">
        <f ca="1">IF($A237-N$3&lt;2,0,OFFSET('FPSO1 Base'!N234,-'FPSO1 Otim'!N$3,0))</f>
        <v>33.584692790787003</v>
      </c>
      <c r="O237" s="19">
        <f ca="1">IF($A237-O$3&lt;2,0,OFFSET('FPSO1 Base'!O234,-'FPSO1 Otim'!O$3,0))</f>
        <v>363.339</v>
      </c>
      <c r="P237" s="19">
        <f ca="1">IF($A237-P$3&lt;2,0,OFFSET('FPSO1 Base'!P234,-'FPSO1 Otim'!P$3,0))</f>
        <v>177.363</v>
      </c>
      <c r="Q237" s="19">
        <f ca="1">IF($A237-Q$3&lt;2,0,OFFSET('FPSO1 Base'!Q234,-'FPSO1 Otim'!Q$3,0))</f>
        <v>388.875</v>
      </c>
      <c r="R237" s="19">
        <f ca="1">IF($A237-R$3&lt;2,0,OFFSET('FPSO1 Base'!R234,-'FPSO1 Otim'!R$3,0))</f>
        <v>59.607423462300289</v>
      </c>
      <c r="S237" s="19">
        <f ca="1">IF($A237-S$3&lt;2,0,OFFSET('FPSO1 Base'!S234,-'FPSO1 Otim'!S$3,0))</f>
        <v>368.238</v>
      </c>
      <c r="T237" s="19">
        <f ca="1">IF($A237-T$3&lt;2,0,OFFSET('FPSO1 Base'!T234,-'FPSO1 Otim'!T$3,0))</f>
        <v>582.99149999999997</v>
      </c>
      <c r="U237" s="19">
        <f ca="1">IF($A237-U$3&lt;2,0,OFFSET('FPSO1 Base'!U234,-'FPSO1 Otim'!U$3,0))</f>
        <v>511.452</v>
      </c>
      <c r="V237" s="19">
        <f ca="1">IF($A237-V$3&lt;2,0,OFFSET('FPSO1 Base'!V234,-'FPSO1 Otim'!V$3,0))</f>
        <v>450.375</v>
      </c>
      <c r="W237" s="19">
        <f ca="1">IF($A237-W$3&lt;2,0,OFFSET('FPSO1 Base'!W234,-'FPSO1 Otim'!W$3,0))</f>
        <v>253.053</v>
      </c>
      <c r="X237" s="19">
        <f ca="1">IF($A237-X$3&lt;2,0,OFFSET('FPSO1 Base'!X234,-'FPSO1 Otim'!X$3,0))</f>
        <v>862.5</v>
      </c>
      <c r="Y237" s="19">
        <f ca="1">IF($A237-Y$3&lt;2,0,OFFSET('FPSO1 Base'!Y234,-'FPSO1 Otim'!Y$3,0))</f>
        <v>466.01250000000005</v>
      </c>
      <c r="Z237" s="19">
        <f ca="1">IF($A237-Z$3&lt;2,0,OFFSET('FPSO1 Base'!Z234,-'FPSO1 Otim'!Z$3,0))</f>
        <v>436.99650000000003</v>
      </c>
      <c r="AA237" s="20">
        <v>15000</v>
      </c>
      <c r="AB237" s="19">
        <f t="shared" ca="1" si="13"/>
        <v>9297.5566162530868</v>
      </c>
      <c r="AC237" s="20">
        <f t="shared" ca="1" si="14"/>
        <v>5702.4433837469132</v>
      </c>
      <c r="AD237" s="19">
        <f t="shared" ca="1" si="15"/>
        <v>1367.1498700575642</v>
      </c>
    </row>
    <row r="238" spans="1:30" x14ac:dyDescent="0.25">
      <c r="A238" s="19">
        <v>234</v>
      </c>
      <c r="B238" s="31">
        <v>52718</v>
      </c>
      <c r="C238" s="19">
        <f ca="1">IF($A238-C$3&lt;2,0,OFFSET('FPSO1 Base'!C235,-'FPSO1 Otim'!C$3,0))</f>
        <v>932.86950000000002</v>
      </c>
      <c r="D238" s="19">
        <f ca="1">IF($A238-D$3&lt;2,0,OFFSET('FPSO1 Base'!D235,-'FPSO1 Otim'!D$3,0))</f>
        <v>144.92249999999999</v>
      </c>
      <c r="E238" s="19">
        <f ca="1">IF($A238-E$3&lt;2,0,OFFSET('FPSO1 Base'!E235,-'FPSO1 Otim'!E$3,0))</f>
        <v>389.70899999999995</v>
      </c>
      <c r="F238" s="19">
        <f ca="1">IF($A238-F$3&lt;2,0,OFFSET('FPSO1 Base'!F235,-'FPSO1 Otim'!F$3,0))</f>
        <v>413.03250000000003</v>
      </c>
      <c r="G238" s="19">
        <f ca="1">IF($A238-G$3&lt;2,0,OFFSET('FPSO1 Base'!G235,-'FPSO1 Otim'!G$3,0))</f>
        <v>151.85400000000001</v>
      </c>
      <c r="H238" s="19">
        <f ca="1">IF($A238-H$3&lt;2,0,OFFSET('FPSO1 Base'!H235,-'FPSO1 Otim'!H$3,0))</f>
        <v>610.55700000000002</v>
      </c>
      <c r="I238" s="19">
        <f ca="1">IF($A238-I$3&lt;2,0,OFFSET('FPSO1 Base'!I235,-'FPSO1 Otim'!I$3,0))</f>
        <v>462.99149999999997</v>
      </c>
      <c r="J238" s="19">
        <f ca="1">IF($A238-J$3&lt;2,0,OFFSET('FPSO1 Base'!J235,-'FPSO1 Otim'!J$3,0))</f>
        <v>255.798</v>
      </c>
      <c r="K238" s="19">
        <f ca="1">IF($A238-K$3&lt;2,0,OFFSET('FPSO1 Base'!K235,-'FPSO1 Otim'!K$3,0))</f>
        <v>252.60299999999998</v>
      </c>
      <c r="L238" s="19">
        <f ca="1">IF($A238-L$3&lt;2,0,OFFSET('FPSO1 Base'!L235,-'FPSO1 Otim'!L$3,0))</f>
        <v>340.56</v>
      </c>
      <c r="M238" s="19">
        <f ca="1">IF($A238-M$3&lt;2,0,OFFSET('FPSO1 Base'!M235,-'FPSO1 Otim'!M$3,0))</f>
        <v>359.79449999999997</v>
      </c>
      <c r="N238" s="19">
        <f ca="1">IF($A238-N$3&lt;2,0,OFFSET('FPSO1 Base'!N235,-'FPSO1 Otim'!N$3,0))</f>
        <v>33.248845862879129</v>
      </c>
      <c r="O238" s="19">
        <f ca="1">IF($A238-O$3&lt;2,0,OFFSET('FPSO1 Base'!O235,-'FPSO1 Otim'!O$3,0))</f>
        <v>361.28249999999997</v>
      </c>
      <c r="P238" s="19">
        <f ca="1">IF($A238-P$3&lt;2,0,OFFSET('FPSO1 Base'!P235,-'FPSO1 Otim'!P$3,0))</f>
        <v>176.47500000000002</v>
      </c>
      <c r="Q238" s="19">
        <f ca="1">IF($A238-Q$3&lt;2,0,OFFSET('FPSO1 Base'!Q235,-'FPSO1 Otim'!Q$3,0))</f>
        <v>388.34999999999997</v>
      </c>
      <c r="R238" s="19">
        <f ca="1">IF($A238-R$3&lt;2,0,OFFSET('FPSO1 Base'!R235,-'FPSO1 Otim'!R$3,0))</f>
        <v>59.011349227677286</v>
      </c>
      <c r="S238" s="19">
        <f ca="1">IF($A238-S$3&lt;2,0,OFFSET('FPSO1 Base'!S235,-'FPSO1 Otim'!S$3,0))</f>
        <v>365.613</v>
      </c>
      <c r="T238" s="19">
        <f ca="1">IF($A238-T$3&lt;2,0,OFFSET('FPSO1 Base'!T235,-'FPSO1 Otim'!T$3,0))</f>
        <v>582.06000000000006</v>
      </c>
      <c r="U238" s="19">
        <f ca="1">IF($A238-U$3&lt;2,0,OFFSET('FPSO1 Base'!U235,-'FPSO1 Otim'!U$3,0))</f>
        <v>510.25049999999999</v>
      </c>
      <c r="V238" s="19">
        <f ca="1">IF($A238-V$3&lt;2,0,OFFSET('FPSO1 Base'!V235,-'FPSO1 Otim'!V$3,0))</f>
        <v>448.5</v>
      </c>
      <c r="W238" s="19">
        <f ca="1">IF($A238-W$3&lt;2,0,OFFSET('FPSO1 Base'!W235,-'FPSO1 Otim'!W$3,0))</f>
        <v>252.6525</v>
      </c>
      <c r="X238" s="19">
        <f ca="1">IF($A238-X$3&lt;2,0,OFFSET('FPSO1 Base'!X235,-'FPSO1 Otim'!X$3,0))</f>
        <v>859.42500000000007</v>
      </c>
      <c r="Y238" s="19">
        <f ca="1">IF($A238-Y$3&lt;2,0,OFFSET('FPSO1 Base'!Y235,-'FPSO1 Otim'!Y$3,0))</f>
        <v>465.786</v>
      </c>
      <c r="Z238" s="19">
        <f ca="1">IF($A238-Z$3&lt;2,0,OFFSET('FPSO1 Base'!Z235,-'FPSO1 Otim'!Z$3,0))</f>
        <v>433.91399999999999</v>
      </c>
      <c r="AA238" s="20">
        <v>15000</v>
      </c>
      <c r="AB238" s="19">
        <f t="shared" ca="1" si="13"/>
        <v>9251.2601950905573</v>
      </c>
      <c r="AC238" s="20">
        <f t="shared" ca="1" si="14"/>
        <v>5748.7398049094427</v>
      </c>
      <c r="AD238" s="19">
        <f t="shared" ca="1" si="15"/>
        <v>1349.0997613173502</v>
      </c>
    </row>
    <row r="239" spans="1:30" x14ac:dyDescent="0.25">
      <c r="A239" s="19">
        <v>235</v>
      </c>
      <c r="B239" s="31">
        <v>52749</v>
      </c>
      <c r="C239" s="19">
        <f ca="1">IF($A239-C$3&lt;2,0,OFFSET('FPSO1 Base'!C236,-'FPSO1 Otim'!C$3,0))</f>
        <v>916.96800000000007</v>
      </c>
      <c r="D239" s="19">
        <f ca="1">IF($A239-D$3&lt;2,0,OFFSET('FPSO1 Base'!D236,-'FPSO1 Otim'!D$3,0))</f>
        <v>144.19200000000001</v>
      </c>
      <c r="E239" s="19">
        <f ca="1">IF($A239-E$3&lt;2,0,OFFSET('FPSO1 Base'!E236,-'FPSO1 Otim'!E$3,0))</f>
        <v>387.61200000000002</v>
      </c>
      <c r="F239" s="19">
        <f ca="1">IF($A239-F$3&lt;2,0,OFFSET('FPSO1 Base'!F236,-'FPSO1 Otim'!F$3,0))</f>
        <v>410.80050000000006</v>
      </c>
      <c r="G239" s="19">
        <f ca="1">IF($A239-G$3&lt;2,0,OFFSET('FPSO1 Base'!G236,-'FPSO1 Otim'!G$3,0))</f>
        <v>151.48949999999999</v>
      </c>
      <c r="H239" s="19">
        <f ca="1">IF($A239-H$3&lt;2,0,OFFSET('FPSO1 Base'!H236,-'FPSO1 Otim'!H$3,0))</f>
        <v>609.81449999999995</v>
      </c>
      <c r="I239" s="19">
        <f ca="1">IF($A239-I$3&lt;2,0,OFFSET('FPSO1 Base'!I236,-'FPSO1 Otim'!I$3,0))</f>
        <v>462.60450000000003</v>
      </c>
      <c r="J239" s="19">
        <f ca="1">IF($A239-J$3&lt;2,0,OFFSET('FPSO1 Base'!J236,-'FPSO1 Otim'!J$3,0))</f>
        <v>255.363</v>
      </c>
      <c r="K239" s="19">
        <f ca="1">IF($A239-K$3&lt;2,0,OFFSET('FPSO1 Base'!K236,-'FPSO1 Otim'!K$3,0))</f>
        <v>251.47949999999997</v>
      </c>
      <c r="L239" s="19">
        <f ca="1">IF($A239-L$3&lt;2,0,OFFSET('FPSO1 Base'!L236,-'FPSO1 Otim'!L$3,0))</f>
        <v>339.24149999999997</v>
      </c>
      <c r="M239" s="19">
        <f ca="1">IF($A239-M$3&lt;2,0,OFFSET('FPSO1 Base'!M236,-'FPSO1 Otim'!M$3,0))</f>
        <v>358.24950000000001</v>
      </c>
      <c r="N239" s="19">
        <f ca="1">IF($A239-N$3&lt;2,0,OFFSET('FPSO1 Base'!N236,-'FPSO1 Otim'!N$3,0))</f>
        <v>32.916357404250334</v>
      </c>
      <c r="O239" s="19">
        <f ca="1">IF($A239-O$3&lt;2,0,OFFSET('FPSO1 Base'!O236,-'FPSO1 Otim'!O$3,0))</f>
        <v>359.22450000000003</v>
      </c>
      <c r="P239" s="19">
        <f ca="1">IF($A239-P$3&lt;2,0,OFFSET('FPSO1 Base'!P236,-'FPSO1 Otim'!P$3,0))</f>
        <v>175.6455</v>
      </c>
      <c r="Q239" s="19">
        <f ca="1">IF($A239-Q$3&lt;2,0,OFFSET('FPSO1 Base'!Q236,-'FPSO1 Otim'!Q$3,0))</f>
        <v>387.89549999999997</v>
      </c>
      <c r="R239" s="19">
        <f ca="1">IF($A239-R$3&lt;2,0,OFFSET('FPSO1 Base'!R236,-'FPSO1 Otim'!R$3,0))</f>
        <v>58.421235735400515</v>
      </c>
      <c r="S239" s="19">
        <f ca="1">IF($A239-S$3&lt;2,0,OFFSET('FPSO1 Base'!S236,-'FPSO1 Otim'!S$3,0))</f>
        <v>363.26549999999997</v>
      </c>
      <c r="T239" s="19">
        <f ca="1">IF($A239-T$3&lt;2,0,OFFSET('FPSO1 Base'!T236,-'FPSO1 Otim'!T$3,0))</f>
        <v>581.12549999999999</v>
      </c>
      <c r="U239" s="19">
        <f ca="1">IF($A239-U$3&lt;2,0,OFFSET('FPSO1 Base'!U236,-'FPSO1 Otim'!U$3,0))</f>
        <v>509.37150000000003</v>
      </c>
      <c r="V239" s="19">
        <f ca="1">IF($A239-V$3&lt;2,0,OFFSET('FPSO1 Base'!V236,-'FPSO1 Otim'!V$3,0))</f>
        <v>446.25</v>
      </c>
      <c r="W239" s="19">
        <f ca="1">IF($A239-W$3&lt;2,0,OFFSET('FPSO1 Base'!W236,-'FPSO1 Otim'!W$3,0))</f>
        <v>252.1875</v>
      </c>
      <c r="X239" s="19">
        <f ca="1">IF($A239-X$3&lt;2,0,OFFSET('FPSO1 Base'!X236,-'FPSO1 Otim'!X$3,0))</f>
        <v>856.5</v>
      </c>
      <c r="Y239" s="19">
        <f ca="1">IF($A239-Y$3&lt;2,0,OFFSET('FPSO1 Base'!Y236,-'FPSO1 Otim'!Y$3,0))</f>
        <v>465.96749999999997</v>
      </c>
      <c r="Z239" s="19">
        <f ca="1">IF($A239-Z$3&lt;2,0,OFFSET('FPSO1 Base'!Z236,-'FPSO1 Otim'!Z$3,0))</f>
        <v>431.31000000000006</v>
      </c>
      <c r="AA239" s="20">
        <v>15000</v>
      </c>
      <c r="AB239" s="19">
        <f t="shared" ca="1" si="13"/>
        <v>9207.8950931396503</v>
      </c>
      <c r="AC239" s="20">
        <f t="shared" ca="1" si="14"/>
        <v>5792.1049068603497</v>
      </c>
      <c r="AD239" s="19">
        <f t="shared" ca="1" si="15"/>
        <v>1331.6785611237988</v>
      </c>
    </row>
    <row r="240" spans="1:30" x14ac:dyDescent="0.25">
      <c r="A240" s="19">
        <v>236</v>
      </c>
      <c r="B240" s="31">
        <v>52779</v>
      </c>
      <c r="C240" s="19">
        <f ca="1">IF($A240-C$3&lt;2,0,OFFSET('FPSO1 Base'!C237,-'FPSO1 Otim'!C$3,0))</f>
        <v>901.80000000000007</v>
      </c>
      <c r="D240" s="19">
        <f ca="1">IF($A240-D$3&lt;2,0,OFFSET('FPSO1 Base'!D237,-'FPSO1 Otim'!D$3,0))</f>
        <v>143.48099999999999</v>
      </c>
      <c r="E240" s="19">
        <f ca="1">IF($A240-E$3&lt;2,0,OFFSET('FPSO1 Base'!E237,-'FPSO1 Otim'!E$3,0))</f>
        <v>385.75349999999997</v>
      </c>
      <c r="F240" s="19">
        <f ca="1">IF($A240-F$3&lt;2,0,OFFSET('FPSO1 Base'!F237,-'FPSO1 Otim'!F$3,0))</f>
        <v>408.75</v>
      </c>
      <c r="G240" s="19">
        <f ca="1">IF($A240-G$3&lt;2,0,OFFSET('FPSO1 Base'!G237,-'FPSO1 Otim'!G$3,0))</f>
        <v>151.06200000000001</v>
      </c>
      <c r="H240" s="19">
        <f ca="1">IF($A240-H$3&lt;2,0,OFFSET('FPSO1 Base'!H237,-'FPSO1 Otim'!H$3,0))</f>
        <v>608.99699999999996</v>
      </c>
      <c r="I240" s="19">
        <f ca="1">IF($A240-I$3&lt;2,0,OFFSET('FPSO1 Base'!I237,-'FPSO1 Otim'!I$3,0))</f>
        <v>462.17550000000006</v>
      </c>
      <c r="J240" s="19">
        <f ca="1">IF($A240-J$3&lt;2,0,OFFSET('FPSO1 Base'!J237,-'FPSO1 Otim'!J$3,0))</f>
        <v>254.8125</v>
      </c>
      <c r="K240" s="19">
        <f ca="1">IF($A240-K$3&lt;2,0,OFFSET('FPSO1 Base'!K237,-'FPSO1 Otim'!K$3,0))</f>
        <v>250.17449999999997</v>
      </c>
      <c r="L240" s="19">
        <f ca="1">IF($A240-L$3&lt;2,0,OFFSET('FPSO1 Base'!L237,-'FPSO1 Otim'!L$3,0))</f>
        <v>337.90049999999997</v>
      </c>
      <c r="M240" s="19">
        <f ca="1">IF($A240-M$3&lt;2,0,OFFSET('FPSO1 Base'!M237,-'FPSO1 Otim'!M$3,0))</f>
        <v>356.89049999999997</v>
      </c>
      <c r="N240" s="19">
        <f ca="1">IF($A240-N$3&lt;2,0,OFFSET('FPSO1 Base'!N237,-'FPSO1 Otim'!N$3,0))</f>
        <v>32.587193830207831</v>
      </c>
      <c r="O240" s="19">
        <f ca="1">IF($A240-O$3&lt;2,0,OFFSET('FPSO1 Base'!O237,-'FPSO1 Otim'!O$3,0))</f>
        <v>357.363</v>
      </c>
      <c r="P240" s="19">
        <f ca="1">IF($A240-P$3&lt;2,0,OFFSET('FPSO1 Base'!P237,-'FPSO1 Otim'!P$3,0))</f>
        <v>174.72450000000001</v>
      </c>
      <c r="Q240" s="19">
        <f ca="1">IF($A240-Q$3&lt;2,0,OFFSET('FPSO1 Base'!Q237,-'FPSO1 Otim'!Q$3,0))</f>
        <v>387.375</v>
      </c>
      <c r="R240" s="19">
        <f ca="1">IF($A240-R$3&lt;2,0,OFFSET('FPSO1 Base'!R237,-'FPSO1 Otim'!R$3,0))</f>
        <v>57.83702337804651</v>
      </c>
      <c r="S240" s="19">
        <f ca="1">IF($A240-S$3&lt;2,0,OFFSET('FPSO1 Base'!S237,-'FPSO1 Otim'!S$3,0))</f>
        <v>360.738</v>
      </c>
      <c r="T240" s="19">
        <f ca="1">IF($A240-T$3&lt;2,0,OFFSET('FPSO1 Base'!T237,-'FPSO1 Otim'!T$3,0))</f>
        <v>580.548</v>
      </c>
      <c r="U240" s="19">
        <f ca="1">IF($A240-U$3&lt;2,0,OFFSET('FPSO1 Base'!U237,-'FPSO1 Otim'!U$3,0))</f>
        <v>508.17450000000002</v>
      </c>
      <c r="V240" s="19">
        <f ca="1">IF($A240-V$3&lt;2,0,OFFSET('FPSO1 Base'!V237,-'FPSO1 Otim'!V$3,0))</f>
        <v>444.09749999999997</v>
      </c>
      <c r="W240" s="19">
        <f ca="1">IF($A240-W$3&lt;2,0,OFFSET('FPSO1 Base'!W237,-'FPSO1 Otim'!W$3,0))</f>
        <v>251.84250000000003</v>
      </c>
      <c r="X240" s="19">
        <f ca="1">IF($A240-X$3&lt;2,0,OFFSET('FPSO1 Base'!X237,-'FPSO1 Otim'!X$3,0))</f>
        <v>853.2494999999999</v>
      </c>
      <c r="Y240" s="19">
        <f ca="1">IF($A240-Y$3&lt;2,0,OFFSET('FPSO1 Base'!Y237,-'FPSO1 Otim'!Y$3,0))</f>
        <v>466.07100000000003</v>
      </c>
      <c r="Z240" s="19">
        <f ca="1">IF($A240-Z$3&lt;2,0,OFFSET('FPSO1 Base'!Z237,-'FPSO1 Otim'!Z$3,0))</f>
        <v>428.38799999999998</v>
      </c>
      <c r="AA240" s="20">
        <v>15000</v>
      </c>
      <c r="AB240" s="19">
        <f t="shared" ca="1" si="13"/>
        <v>9164.7927172082545</v>
      </c>
      <c r="AC240" s="20">
        <f t="shared" ca="1" si="14"/>
        <v>5835.2072827917455</v>
      </c>
      <c r="AD240" s="19">
        <f t="shared" ca="1" si="15"/>
        <v>1314.4908516759269</v>
      </c>
    </row>
    <row r="241" spans="1:30" x14ac:dyDescent="0.25">
      <c r="A241" s="19">
        <v>237</v>
      </c>
      <c r="B241" s="31">
        <v>52810</v>
      </c>
      <c r="C241" s="19">
        <f ca="1">IF($A241-C$3&lt;2,0,OFFSET('FPSO1 Base'!C238,-'FPSO1 Otim'!C$3,0))</f>
        <v>887.64750000000004</v>
      </c>
      <c r="D241" s="19">
        <f ca="1">IF($A241-D$3&lt;2,0,OFFSET('FPSO1 Base'!D238,-'FPSO1 Otim'!D$3,0))</f>
        <v>142.74</v>
      </c>
      <c r="E241" s="19">
        <f ca="1">IF($A241-E$3&lt;2,0,OFFSET('FPSO1 Base'!E238,-'FPSO1 Otim'!E$3,0))</f>
        <v>383.73749999999995</v>
      </c>
      <c r="F241" s="19">
        <f ca="1">IF($A241-F$3&lt;2,0,OFFSET('FPSO1 Base'!F238,-'FPSO1 Otim'!F$3,0))</f>
        <v>406.52549999999997</v>
      </c>
      <c r="G241" s="19">
        <f ca="1">IF($A241-G$3&lt;2,0,OFFSET('FPSO1 Base'!G238,-'FPSO1 Otim'!G$3,0))</f>
        <v>150.6525</v>
      </c>
      <c r="H241" s="19">
        <f ca="1">IF($A241-H$3&lt;2,0,OFFSET('FPSO1 Base'!H238,-'FPSO1 Otim'!H$3,0))</f>
        <v>608.20349999999996</v>
      </c>
      <c r="I241" s="19">
        <f ca="1">IF($A241-I$3&lt;2,0,OFFSET('FPSO1 Base'!I238,-'FPSO1 Otim'!I$3,0))</f>
        <v>461.63699999999994</v>
      </c>
      <c r="J241" s="19">
        <f ca="1">IF($A241-J$3&lt;2,0,OFFSET('FPSO1 Base'!J238,-'FPSO1 Otim'!J$3,0))</f>
        <v>254.39550000000003</v>
      </c>
      <c r="K241" s="19">
        <f ca="1">IF($A241-K$3&lt;2,0,OFFSET('FPSO1 Base'!K238,-'FPSO1 Otim'!K$3,0))</f>
        <v>249.024</v>
      </c>
      <c r="L241" s="19">
        <f ca="1">IF($A241-L$3&lt;2,0,OFFSET('FPSO1 Base'!L238,-'FPSO1 Otim'!L$3,0))</f>
        <v>336.62850000000003</v>
      </c>
      <c r="M241" s="19">
        <f ca="1">IF($A241-M$3&lt;2,0,OFFSET('FPSO1 Base'!M238,-'FPSO1 Otim'!M$3,0))</f>
        <v>355.39949999999999</v>
      </c>
      <c r="N241" s="19">
        <f ca="1">IF($A241-N$3&lt;2,0,OFFSET('FPSO1 Base'!N238,-'FPSO1 Otim'!N$3,0))</f>
        <v>32.261321891905752</v>
      </c>
      <c r="O241" s="19">
        <f ca="1">IF($A241-O$3&lt;2,0,OFFSET('FPSO1 Base'!O238,-'FPSO1 Otim'!O$3,0))</f>
        <v>355.42499999999995</v>
      </c>
      <c r="P241" s="19">
        <f ca="1">IF($A241-P$3&lt;2,0,OFFSET('FPSO1 Base'!P238,-'FPSO1 Otim'!P$3,0))</f>
        <v>173.928</v>
      </c>
      <c r="Q241" s="19">
        <f ca="1">IF($A241-Q$3&lt;2,0,OFFSET('FPSO1 Base'!Q238,-'FPSO1 Otim'!Q$3,0))</f>
        <v>386.90250000000003</v>
      </c>
      <c r="R241" s="19">
        <f ca="1">IF($A241-R$3&lt;2,0,OFFSET('FPSO1 Base'!R238,-'FPSO1 Otim'!R$3,0))</f>
        <v>57.258653144266042</v>
      </c>
      <c r="S241" s="19">
        <f ca="1">IF($A241-S$3&lt;2,0,OFFSET('FPSO1 Base'!S238,-'FPSO1 Otim'!S$3,0))</f>
        <v>347.10449999999997</v>
      </c>
      <c r="T241" s="19">
        <f ca="1">IF($A241-T$3&lt;2,0,OFFSET('FPSO1 Base'!T238,-'FPSO1 Otim'!T$3,0))</f>
        <v>579.66300000000001</v>
      </c>
      <c r="U241" s="19">
        <f ca="1">IF($A241-U$3&lt;2,0,OFFSET('FPSO1 Base'!U238,-'FPSO1 Otim'!U$3,0))</f>
        <v>506.63699999999994</v>
      </c>
      <c r="V241" s="19">
        <f ca="1">IF($A241-V$3&lt;2,0,OFFSET('FPSO1 Base'!V238,-'FPSO1 Otim'!V$3,0))</f>
        <v>441.94949999999994</v>
      </c>
      <c r="W241" s="19">
        <f ca="1">IF($A241-W$3&lt;2,0,OFFSET('FPSO1 Base'!W238,-'FPSO1 Otim'!W$3,0))</f>
        <v>251.46299999999999</v>
      </c>
      <c r="X241" s="19">
        <f ca="1">IF($A241-X$3&lt;2,0,OFFSET('FPSO1 Base'!X238,-'FPSO1 Otim'!X$3,0))</f>
        <v>848.39549999999997</v>
      </c>
      <c r="Y241" s="19">
        <f ca="1">IF($A241-Y$3&lt;2,0,OFFSET('FPSO1 Base'!Y238,-'FPSO1 Otim'!Y$3,0))</f>
        <v>465.96749999999997</v>
      </c>
      <c r="Z241" s="19">
        <f ca="1">IF($A241-Z$3&lt;2,0,OFFSET('FPSO1 Base'!Z238,-'FPSO1 Otim'!Z$3,0))</f>
        <v>425.77049999999997</v>
      </c>
      <c r="AA241" s="20">
        <v>15000</v>
      </c>
      <c r="AB241" s="19">
        <f t="shared" ca="1" si="13"/>
        <v>9109.316975036174</v>
      </c>
      <c r="AC241" s="20">
        <f t="shared" ca="1" si="14"/>
        <v>5890.683024963826</v>
      </c>
      <c r="AD241" s="19">
        <f t="shared" ca="1" si="15"/>
        <v>1295.7362568588051</v>
      </c>
    </row>
    <row r="242" spans="1:30" x14ac:dyDescent="0.25">
      <c r="A242" s="19">
        <v>238</v>
      </c>
      <c r="B242" s="31">
        <v>52841</v>
      </c>
      <c r="C242" s="19">
        <f ca="1">IF($A242-C$3&lt;2,0,OFFSET('FPSO1 Base'!C239,-'FPSO1 Otim'!C$3,0))</f>
        <v>874.85400000000004</v>
      </c>
      <c r="D242" s="19">
        <f ca="1">IF($A242-D$3&lt;2,0,OFFSET('FPSO1 Base'!D239,-'FPSO1 Otim'!D$3,0))</f>
        <v>137.625</v>
      </c>
      <c r="E242" s="19">
        <f ca="1">IF($A242-E$3&lt;2,0,OFFSET('FPSO1 Base'!E239,-'FPSO1 Otim'!E$3,0))</f>
        <v>381.87149999999997</v>
      </c>
      <c r="F242" s="19">
        <f ca="1">IF($A242-F$3&lt;2,0,OFFSET('FPSO1 Base'!F239,-'FPSO1 Otim'!F$3,0))</f>
        <v>404.51550000000003</v>
      </c>
      <c r="G242" s="19">
        <f ca="1">IF($A242-G$3&lt;2,0,OFFSET('FPSO1 Base'!G239,-'FPSO1 Otim'!G$3,0))</f>
        <v>150.30000000000001</v>
      </c>
      <c r="H242" s="19">
        <f ca="1">IF($A242-H$3&lt;2,0,OFFSET('FPSO1 Base'!H239,-'FPSO1 Otim'!H$3,0))</f>
        <v>607.39049999999997</v>
      </c>
      <c r="I242" s="19">
        <f ca="1">IF($A242-I$3&lt;2,0,OFFSET('FPSO1 Base'!I239,-'FPSO1 Otim'!I$3,0))</f>
        <v>461.09999999999997</v>
      </c>
      <c r="J242" s="19">
        <f ca="1">IF($A242-J$3&lt;2,0,OFFSET('FPSO1 Base'!J239,-'FPSO1 Otim'!J$3,0))</f>
        <v>253.875</v>
      </c>
      <c r="K242" s="19">
        <f ca="1">IF($A242-K$3&lt;2,0,OFFSET('FPSO1 Base'!K239,-'FPSO1 Otim'!K$3,0))</f>
        <v>247.72500000000002</v>
      </c>
      <c r="L242" s="19">
        <f ca="1">IF($A242-L$3&lt;2,0,OFFSET('FPSO1 Base'!L239,-'FPSO1 Otim'!L$3,0))</f>
        <v>335.27549999999997</v>
      </c>
      <c r="M242" s="19">
        <f ca="1">IF($A242-M$3&lt;2,0,OFFSET('FPSO1 Base'!M239,-'FPSO1 Otim'!M$3,0))</f>
        <v>353.976</v>
      </c>
      <c r="N242" s="19">
        <f ca="1">IF($A242-N$3&lt;2,0,OFFSET('FPSO1 Base'!N239,-'FPSO1 Otim'!N$3,0))</f>
        <v>31.938708672986692</v>
      </c>
      <c r="O242" s="19">
        <f ca="1">IF($A242-O$3&lt;2,0,OFFSET('FPSO1 Base'!O239,-'FPSO1 Otim'!O$3,0))</f>
        <v>353.637</v>
      </c>
      <c r="P242" s="19">
        <f ca="1">IF($A242-P$3&lt;2,0,OFFSET('FPSO1 Base'!P239,-'FPSO1 Otim'!P$3,0))</f>
        <v>173.0565</v>
      </c>
      <c r="Q242" s="19">
        <f ca="1">IF($A242-Q$3&lt;2,0,OFFSET('FPSO1 Base'!Q239,-'FPSO1 Otim'!Q$3,0))</f>
        <v>386.49149999999997</v>
      </c>
      <c r="R242" s="19">
        <f ca="1">IF($A242-R$3&lt;2,0,OFFSET('FPSO1 Base'!R239,-'FPSO1 Otim'!R$3,0))</f>
        <v>56.686066612823382</v>
      </c>
      <c r="S242" s="19">
        <f ca="1">IF($A242-S$3&lt;2,0,OFFSET('FPSO1 Base'!S239,-'FPSO1 Otim'!S$3,0))</f>
        <v>344.286</v>
      </c>
      <c r="T242" s="19">
        <f ca="1">IF($A242-T$3&lt;2,0,OFFSET('FPSO1 Base'!T239,-'FPSO1 Otim'!T$3,0))</f>
        <v>578.601</v>
      </c>
      <c r="U242" s="19">
        <f ca="1">IF($A242-U$3&lt;2,0,OFFSET('FPSO1 Base'!U239,-'FPSO1 Otim'!U$3,0))</f>
        <v>505.428</v>
      </c>
      <c r="V242" s="19">
        <f ca="1">IF($A242-V$3&lt;2,0,OFFSET('FPSO1 Base'!V239,-'FPSO1 Otim'!V$3,0))</f>
        <v>439.98449999999997</v>
      </c>
      <c r="W242" s="19">
        <f ca="1">IF($A242-W$3&lt;2,0,OFFSET('FPSO1 Base'!W239,-'FPSO1 Otim'!W$3,0))</f>
        <v>251.09250000000003</v>
      </c>
      <c r="X242" s="19">
        <f ca="1">IF($A242-X$3&lt;2,0,OFFSET('FPSO1 Base'!X239,-'FPSO1 Otim'!X$3,0))</f>
        <v>844.28250000000003</v>
      </c>
      <c r="Y242" s="19">
        <f ca="1">IF($A242-Y$3&lt;2,0,OFFSET('FPSO1 Base'!Y239,-'FPSO1 Otim'!Y$3,0))</f>
        <v>465.75</v>
      </c>
      <c r="Z242" s="19">
        <f ca="1">IF($A242-Z$3&lt;2,0,OFFSET('FPSO1 Base'!Z239,-'FPSO1 Otim'!Z$3,0))</f>
        <v>422.96250000000003</v>
      </c>
      <c r="AA242" s="20">
        <v>15000</v>
      </c>
      <c r="AB242" s="19">
        <f t="shared" ca="1" si="13"/>
        <v>9062.704775285807</v>
      </c>
      <c r="AC242" s="20">
        <f t="shared" ca="1" si="14"/>
        <v>5937.295224714193</v>
      </c>
      <c r="AD242" s="19">
        <f t="shared" ca="1" si="15"/>
        <v>1278.4522307652649</v>
      </c>
    </row>
    <row r="243" spans="1:30" x14ac:dyDescent="0.25">
      <c r="A243" s="19">
        <v>239</v>
      </c>
      <c r="B243" s="31">
        <v>52871</v>
      </c>
      <c r="C243" s="19">
        <f ca="1">IF($A243-C$3&lt;2,0,OFFSET('FPSO1 Base'!C240,-'FPSO1 Otim'!C$3,0))</f>
        <v>862.46250000000009</v>
      </c>
      <c r="D243" s="19">
        <f ca="1">IF($A243-D$3&lt;2,0,OFFSET('FPSO1 Base'!D240,-'FPSO1 Otim'!D$3,0))</f>
        <v>137.29050000000001</v>
      </c>
      <c r="E243" s="19">
        <f ca="1">IF($A243-E$3&lt;2,0,OFFSET('FPSO1 Base'!E240,-'FPSO1 Otim'!E$3,0))</f>
        <v>380.08050000000003</v>
      </c>
      <c r="F243" s="19">
        <f ca="1">IF($A243-F$3&lt;2,0,OFFSET('FPSO1 Base'!F240,-'FPSO1 Otim'!F$3,0))</f>
        <v>402.48449999999997</v>
      </c>
      <c r="G243" s="19">
        <f ca="1">IF($A243-G$3&lt;2,0,OFFSET('FPSO1 Base'!G240,-'FPSO1 Otim'!G$3,0))</f>
        <v>150.13499999999999</v>
      </c>
      <c r="H243" s="19">
        <f ca="1">IF($A243-H$3&lt;2,0,OFFSET('FPSO1 Base'!H240,-'FPSO1 Otim'!H$3,0))</f>
        <v>606.6105</v>
      </c>
      <c r="I243" s="19">
        <f ca="1">IF($A243-I$3&lt;2,0,OFFSET('FPSO1 Base'!I240,-'FPSO1 Otim'!I$3,0))</f>
        <v>460.524</v>
      </c>
      <c r="J243" s="19">
        <f ca="1">IF($A243-J$3&lt;2,0,OFFSET('FPSO1 Base'!J240,-'FPSO1 Otim'!J$3,0))</f>
        <v>253.4025</v>
      </c>
      <c r="K243" s="19">
        <f ca="1">IF($A243-K$3&lt;2,0,OFFSET('FPSO1 Base'!K240,-'FPSO1 Otim'!K$3,0))</f>
        <v>246.5085</v>
      </c>
      <c r="L243" s="19">
        <f ca="1">IF($A243-L$3&lt;2,0,OFFSET('FPSO1 Base'!L240,-'FPSO1 Otim'!L$3,0))</f>
        <v>334.00350000000003</v>
      </c>
      <c r="M243" s="19">
        <f ca="1">IF($A243-M$3&lt;2,0,OFFSET('FPSO1 Base'!M240,-'FPSO1 Otim'!M$3,0))</f>
        <v>352.572</v>
      </c>
      <c r="N243" s="19">
        <f ca="1">IF($A243-N$3&lt;2,0,OFFSET('FPSO1 Base'!N240,-'FPSO1 Otim'!N$3,0))</f>
        <v>31.619321586256824</v>
      </c>
      <c r="O243" s="19">
        <f ca="1">IF($A243-O$3&lt;2,0,OFFSET('FPSO1 Base'!O240,-'FPSO1 Otim'!O$3,0))</f>
        <v>352.01549999999997</v>
      </c>
      <c r="P243" s="19">
        <f ca="1">IF($A243-P$3&lt;2,0,OFFSET('FPSO1 Base'!P240,-'FPSO1 Otim'!P$3,0))</f>
        <v>172.17449999999999</v>
      </c>
      <c r="Q243" s="19">
        <f ca="1">IF($A243-Q$3&lt;2,0,OFFSET('FPSO1 Base'!Q240,-'FPSO1 Otim'!Q$3,0))</f>
        <v>385.9425</v>
      </c>
      <c r="R243" s="19">
        <f ca="1">IF($A243-R$3&lt;2,0,OFFSET('FPSO1 Base'!R240,-'FPSO1 Otim'!R$3,0))</f>
        <v>56.119205946695146</v>
      </c>
      <c r="S243" s="19">
        <f ca="1">IF($A243-S$3&lt;2,0,OFFSET('FPSO1 Base'!S240,-'FPSO1 Otim'!S$3,0))</f>
        <v>342.46500000000003</v>
      </c>
      <c r="T243" s="19">
        <f ca="1">IF($A243-T$3&lt;2,0,OFFSET('FPSO1 Base'!T240,-'FPSO1 Otim'!T$3,0))</f>
        <v>577.803</v>
      </c>
      <c r="U243" s="19">
        <f ca="1">IF($A243-U$3&lt;2,0,OFFSET('FPSO1 Base'!U240,-'FPSO1 Otim'!U$3,0))</f>
        <v>504.07800000000003</v>
      </c>
      <c r="V243" s="19">
        <f ca="1">IF($A243-V$3&lt;2,0,OFFSET('FPSO1 Base'!V240,-'FPSO1 Otim'!V$3,0))</f>
        <v>437.952</v>
      </c>
      <c r="W243" s="19">
        <f ca="1">IF($A243-W$3&lt;2,0,OFFSET('FPSO1 Base'!W240,-'FPSO1 Otim'!W$3,0))</f>
        <v>250.71299999999999</v>
      </c>
      <c r="X243" s="19">
        <f ca="1">IF($A243-X$3&lt;2,0,OFFSET('FPSO1 Base'!X240,-'FPSO1 Otim'!X$3,0))</f>
        <v>840.17549999999994</v>
      </c>
      <c r="Y243" s="19">
        <f ca="1">IF($A243-Y$3&lt;2,0,OFFSET('FPSO1 Base'!Y240,-'FPSO1 Otim'!Y$3,0))</f>
        <v>465.38699999999994</v>
      </c>
      <c r="Z243" s="19">
        <f ca="1">IF($A243-Z$3&lt;2,0,OFFSET('FPSO1 Base'!Z240,-'FPSO1 Otim'!Z$3,0))</f>
        <v>420.36300000000006</v>
      </c>
      <c r="AA243" s="20">
        <v>15000</v>
      </c>
      <c r="AB243" s="19">
        <f t="shared" ca="1" si="13"/>
        <v>9022.8815275329525</v>
      </c>
      <c r="AC243" s="20">
        <f t="shared" ca="1" si="14"/>
        <v>5977.1184724670475</v>
      </c>
      <c r="AD243" s="19">
        <f t="shared" ca="1" si="15"/>
        <v>1262.3151754793491</v>
      </c>
    </row>
    <row r="244" spans="1:30" x14ac:dyDescent="0.25">
      <c r="A244" s="19">
        <v>240</v>
      </c>
      <c r="B244" s="31">
        <v>52902</v>
      </c>
      <c r="C244" s="19">
        <f ca="1">IF($A244-C$3&lt;2,0,OFFSET('FPSO1 Base'!C241,-'FPSO1 Otim'!C$3,0))</f>
        <v>851.09850000000006</v>
      </c>
      <c r="D244" s="19">
        <f ca="1">IF($A244-D$3&lt;2,0,OFFSET('FPSO1 Base'!D241,-'FPSO1 Otim'!D$3,0))</f>
        <v>136.50150000000002</v>
      </c>
      <c r="E244" s="19">
        <f ca="1">IF($A244-E$3&lt;2,0,OFFSET('FPSO1 Base'!E241,-'FPSO1 Otim'!E$3,0))</f>
        <v>378.01349999999996</v>
      </c>
      <c r="F244" s="19">
        <f ca="1">IF($A244-F$3&lt;2,0,OFFSET('FPSO1 Base'!F241,-'FPSO1 Otim'!F$3,0))</f>
        <v>400.34999999999997</v>
      </c>
      <c r="G244" s="19">
        <f ca="1">IF($A244-G$3&lt;2,0,OFFSET('FPSO1 Base'!G241,-'FPSO1 Otim'!G$3,0))</f>
        <v>149.94450000000001</v>
      </c>
      <c r="H244" s="19">
        <f ca="1">IF($A244-H$3&lt;2,0,OFFSET('FPSO1 Base'!H241,-'FPSO1 Otim'!H$3,0))</f>
        <v>605.89649999999995</v>
      </c>
      <c r="I244" s="19">
        <f ca="1">IF($A244-I$3&lt;2,0,OFFSET('FPSO1 Base'!I241,-'FPSO1 Otim'!I$3,0))</f>
        <v>459.94350000000003</v>
      </c>
      <c r="J244" s="19">
        <f ca="1">IF($A244-J$3&lt;2,0,OFFSET('FPSO1 Base'!J241,-'FPSO1 Otim'!J$3,0))</f>
        <v>252.9255</v>
      </c>
      <c r="K244" s="19">
        <f ca="1">IF($A244-K$3&lt;2,0,OFFSET('FPSO1 Base'!K241,-'FPSO1 Otim'!K$3,0))</f>
        <v>245.298</v>
      </c>
      <c r="L244" s="19">
        <f ca="1">IF($A244-L$3&lt;2,0,OFFSET('FPSO1 Base'!L241,-'FPSO1 Otim'!L$3,0))</f>
        <v>332.78249999999997</v>
      </c>
      <c r="M244" s="19">
        <f ca="1">IF($A244-M$3&lt;2,0,OFFSET('FPSO1 Base'!M241,-'FPSO1 Otim'!M$3,0))</f>
        <v>351.12450000000001</v>
      </c>
      <c r="N244" s="19">
        <f ca="1">IF($A244-N$3&lt;2,0,OFFSET('FPSO1 Base'!N241,-'FPSO1 Otim'!N$3,0))</f>
        <v>31.303128370394255</v>
      </c>
      <c r="O244" s="19">
        <f ca="1">IF($A244-O$3&lt;2,0,OFFSET('FPSO1 Base'!O241,-'FPSO1 Otim'!O$3,0))</f>
        <v>350.11649999999997</v>
      </c>
      <c r="P244" s="19">
        <f ca="1">IF($A244-P$3&lt;2,0,OFFSET('FPSO1 Base'!P241,-'FPSO1 Otim'!P$3,0))</f>
        <v>171.5085</v>
      </c>
      <c r="Q244" s="19">
        <f ca="1">IF($A244-Q$3&lt;2,0,OFFSET('FPSO1 Base'!Q241,-'FPSO1 Otim'!Q$3,0))</f>
        <v>385.524</v>
      </c>
      <c r="R244" s="19">
        <f ca="1">IF($A244-R$3&lt;2,0,OFFSET('FPSO1 Base'!R241,-'FPSO1 Otim'!R$3,0))</f>
        <v>55.558013887228192</v>
      </c>
      <c r="S244" s="19">
        <f ca="1">IF($A244-S$3&lt;2,0,OFFSET('FPSO1 Base'!S241,-'FPSO1 Otim'!S$3,0))</f>
        <v>340.839</v>
      </c>
      <c r="T244" s="19">
        <f ca="1">IF($A244-T$3&lt;2,0,OFFSET('FPSO1 Base'!T241,-'FPSO1 Otim'!T$3,0))</f>
        <v>576.97050000000002</v>
      </c>
      <c r="U244" s="19">
        <f ca="1">IF($A244-U$3&lt;2,0,OFFSET('FPSO1 Base'!U241,-'FPSO1 Otim'!U$3,0))</f>
        <v>502.911</v>
      </c>
      <c r="V244" s="19">
        <f ca="1">IF($A244-V$3&lt;2,0,OFFSET('FPSO1 Base'!V241,-'FPSO1 Otim'!V$3,0))</f>
        <v>435.90000000000003</v>
      </c>
      <c r="W244" s="19">
        <f ca="1">IF($A244-W$3&lt;2,0,OFFSET('FPSO1 Base'!W241,-'FPSO1 Otim'!W$3,0))</f>
        <v>250.3665</v>
      </c>
      <c r="X244" s="19">
        <f ca="1">IF($A244-X$3&lt;2,0,OFFSET('FPSO1 Base'!X241,-'FPSO1 Otim'!X$3,0))</f>
        <v>836.63700000000006</v>
      </c>
      <c r="Y244" s="19">
        <f ca="1">IF($A244-Y$3&lt;2,0,OFFSET('FPSO1 Base'!Y241,-'FPSO1 Otim'!Y$3,0))</f>
        <v>464.87549999999999</v>
      </c>
      <c r="Z244" s="19">
        <f ca="1">IF($A244-Z$3&lt;2,0,OFFSET('FPSO1 Base'!Z241,-'FPSO1 Otim'!Z$3,0))</f>
        <v>417.83399999999995</v>
      </c>
      <c r="AA244" s="20">
        <v>15000</v>
      </c>
      <c r="AB244" s="19">
        <f t="shared" ca="1" si="13"/>
        <v>8984.2221422576222</v>
      </c>
      <c r="AC244" s="20">
        <f t="shared" ca="1" si="14"/>
        <v>6015.7778577423778</v>
      </c>
      <c r="AD244" s="19">
        <f t="shared" ca="1" si="15"/>
        <v>1246.5190088744487</v>
      </c>
    </row>
    <row r="245" spans="1:30" x14ac:dyDescent="0.25">
      <c r="A245" s="19">
        <v>241</v>
      </c>
      <c r="B245" s="31">
        <v>52932</v>
      </c>
      <c r="C245" s="19">
        <f ca="1">IF($A245-C$3&lt;2,0,OFFSET('FPSO1 Base'!C242,-'FPSO1 Otim'!C$3,0))</f>
        <v>838.83600000000001</v>
      </c>
      <c r="D245" s="19">
        <f ca="1">IF($A245-D$3&lt;2,0,OFFSET('FPSO1 Base'!D242,-'FPSO1 Otim'!D$3,0))</f>
        <v>135.828</v>
      </c>
      <c r="E245" s="19">
        <f ca="1">IF($A245-E$3&lt;2,0,OFFSET('FPSO1 Base'!E242,-'FPSO1 Otim'!E$3,0))</f>
        <v>376.37850000000003</v>
      </c>
      <c r="F245" s="19">
        <f ca="1">IF($A245-F$3&lt;2,0,OFFSET('FPSO1 Base'!F242,-'FPSO1 Otim'!F$3,0))</f>
        <v>398.39549999999997</v>
      </c>
      <c r="G245" s="19">
        <f ca="1">IF($A245-G$3&lt;2,0,OFFSET('FPSO1 Base'!G242,-'FPSO1 Otim'!G$3,0))</f>
        <v>149.53799999999998</v>
      </c>
      <c r="H245" s="19">
        <f ca="1">IF($A245-H$3&lt;2,0,OFFSET('FPSO1 Base'!H242,-'FPSO1 Otim'!H$3,0))</f>
        <v>605.09850000000006</v>
      </c>
      <c r="I245" s="19">
        <f ca="1">IF($A245-I$3&lt;2,0,OFFSET('FPSO1 Base'!I242,-'FPSO1 Otim'!I$3,0))</f>
        <v>459.29999999999995</v>
      </c>
      <c r="J245" s="19">
        <f ca="1">IF($A245-J$3&lt;2,0,OFFSET('FPSO1 Base'!J242,-'FPSO1 Otim'!J$3,0))</f>
        <v>252.459</v>
      </c>
      <c r="K245" s="19">
        <f ca="1">IF($A245-K$3&lt;2,0,OFFSET('FPSO1 Base'!K242,-'FPSO1 Otim'!K$3,0))</f>
        <v>244.06200000000001</v>
      </c>
      <c r="L245" s="19">
        <f ca="1">IF($A245-L$3&lt;2,0,OFFSET('FPSO1 Base'!L242,-'FPSO1 Otim'!L$3,0))</f>
        <v>331.38</v>
      </c>
      <c r="M245" s="19">
        <f ca="1">IF($A245-M$3&lt;2,0,OFFSET('FPSO1 Base'!M242,-'FPSO1 Otim'!M$3,0))</f>
        <v>350.06849999999997</v>
      </c>
      <c r="N245" s="19">
        <f ca="1">IF($A245-N$3&lt;2,0,OFFSET('FPSO1 Base'!N242,-'FPSO1 Otim'!N$3,0))</f>
        <v>30.990097086690312</v>
      </c>
      <c r="O245" s="19">
        <f ca="1">IF($A245-O$3&lt;2,0,OFFSET('FPSO1 Base'!O242,-'FPSO1 Otim'!O$3,0))</f>
        <v>348.62850000000003</v>
      </c>
      <c r="P245" s="19">
        <f ca="1">IF($A245-P$3&lt;2,0,OFFSET('FPSO1 Base'!P242,-'FPSO1 Otim'!P$3,0))</f>
        <v>170.67449999999999</v>
      </c>
      <c r="Q245" s="19">
        <f ca="1">IF($A245-Q$3&lt;2,0,OFFSET('FPSO1 Base'!Q242,-'FPSO1 Otim'!Q$3,0))</f>
        <v>385.02449999999999</v>
      </c>
      <c r="R245" s="19">
        <f ca="1">IF($A245-R$3&lt;2,0,OFFSET('FPSO1 Base'!R242,-'FPSO1 Otim'!R$3,0))</f>
        <v>55.002433748355912</v>
      </c>
      <c r="S245" s="19">
        <f ca="1">IF($A245-S$3&lt;2,0,OFFSET('FPSO1 Base'!S242,-'FPSO1 Otim'!S$3,0))</f>
        <v>338.96249999999998</v>
      </c>
      <c r="T245" s="19">
        <f ca="1">IF($A245-T$3&lt;2,0,OFFSET('FPSO1 Base'!T242,-'FPSO1 Otim'!T$3,0))</f>
        <v>576.26549999999997</v>
      </c>
      <c r="U245" s="19">
        <f ca="1">IF($A245-U$3&lt;2,0,OFFSET('FPSO1 Base'!U242,-'FPSO1 Otim'!U$3,0))</f>
        <v>501.59999999999997</v>
      </c>
      <c r="V245" s="19">
        <f ca="1">IF($A245-V$3&lt;2,0,OFFSET('FPSO1 Base'!V242,-'FPSO1 Otim'!V$3,0))</f>
        <v>434.03250000000003</v>
      </c>
      <c r="W245" s="19">
        <f ca="1">IF($A245-W$3&lt;2,0,OFFSET('FPSO1 Base'!W242,-'FPSO1 Otim'!W$3,0))</f>
        <v>250.041</v>
      </c>
      <c r="X245" s="19">
        <f ca="1">IF($A245-X$3&lt;2,0,OFFSET('FPSO1 Base'!X242,-'FPSO1 Otim'!X$3,0))</f>
        <v>832.92450000000008</v>
      </c>
      <c r="Y245" s="19">
        <f ca="1">IF($A245-Y$3&lt;2,0,OFFSET('FPSO1 Base'!Y242,-'FPSO1 Otim'!Y$3,0))</f>
        <v>464.26199999999994</v>
      </c>
      <c r="Z245" s="19">
        <f ca="1">IF($A245-Z$3&lt;2,0,OFFSET('FPSO1 Base'!Z242,-'FPSO1 Otim'!Z$3,0))</f>
        <v>415.18799999999999</v>
      </c>
      <c r="AA245" s="20">
        <v>15000</v>
      </c>
      <c r="AB245" s="19">
        <f t="shared" ca="1" si="13"/>
        <v>8944.940030835045</v>
      </c>
      <c r="AC245" s="20">
        <f t="shared" ca="1" si="14"/>
        <v>6055.059969164955</v>
      </c>
      <c r="AD245" s="19">
        <f t="shared" ca="1" si="15"/>
        <v>1230.8120318052736</v>
      </c>
    </row>
    <row r="246" spans="1:30" x14ac:dyDescent="0.25">
      <c r="A246" s="19">
        <v>242</v>
      </c>
      <c r="B246" s="31">
        <v>52963</v>
      </c>
      <c r="C246" s="19">
        <f ca="1">IF($A246-C$3&lt;2,0,OFFSET('FPSO1 Base'!C243,-'FPSO1 Otim'!C$3,0))</f>
        <v>826.21949999999993</v>
      </c>
      <c r="D246" s="19">
        <f ca="1">IF($A246-D$3&lt;2,0,OFFSET('FPSO1 Base'!D243,-'FPSO1 Otim'!D$3,0))</f>
        <v>135.13200000000001</v>
      </c>
      <c r="E246" s="19">
        <f ca="1">IF($A246-E$3&lt;2,0,OFFSET('FPSO1 Base'!E243,-'FPSO1 Otim'!E$3,0))</f>
        <v>374.4375</v>
      </c>
      <c r="F246" s="19">
        <f ca="1">IF($A246-F$3&lt;2,0,OFFSET('FPSO1 Base'!F243,-'FPSO1 Otim'!F$3,0))</f>
        <v>396.27449999999999</v>
      </c>
      <c r="G246" s="19">
        <f ca="1">IF($A246-G$3&lt;2,0,OFFSET('FPSO1 Base'!G243,-'FPSO1 Otim'!G$3,0))</f>
        <v>149.23650000000001</v>
      </c>
      <c r="H246" s="19">
        <f ca="1">IF($A246-H$3&lt;2,0,OFFSET('FPSO1 Base'!H243,-'FPSO1 Otim'!H$3,0))</f>
        <v>604.34550000000002</v>
      </c>
      <c r="I246" s="19">
        <f ca="1">IF($A246-I$3&lt;2,0,OFFSET('FPSO1 Base'!I243,-'FPSO1 Otim'!I$3,0))</f>
        <v>458.68500000000006</v>
      </c>
      <c r="J246" s="19">
        <f ca="1">IF($A246-J$3&lt;2,0,OFFSET('FPSO1 Base'!J243,-'FPSO1 Otim'!J$3,0))</f>
        <v>252</v>
      </c>
      <c r="K246" s="19">
        <f ca="1">IF($A246-K$3&lt;2,0,OFFSET('FPSO1 Base'!K243,-'FPSO1 Otim'!K$3,0))</f>
        <v>243.15749999999997</v>
      </c>
      <c r="L246" s="19">
        <f ca="1">IF($A246-L$3&lt;2,0,OFFSET('FPSO1 Base'!L243,-'FPSO1 Otim'!L$3,0))</f>
        <v>330.24149999999997</v>
      </c>
      <c r="M246" s="19">
        <f ca="1">IF($A246-M$3&lt;2,0,OFFSET('FPSO1 Base'!M243,-'FPSO1 Otim'!M$3,0))</f>
        <v>348.6</v>
      </c>
      <c r="N246" s="19">
        <f ca="1">IF($A246-N$3&lt;2,0,OFFSET('FPSO1 Base'!N243,-'FPSO1 Otim'!N$3,0))</f>
        <v>30.68019611582341</v>
      </c>
      <c r="O246" s="19">
        <f ca="1">IF($A246-O$3&lt;2,0,OFFSET('FPSO1 Base'!O243,-'FPSO1 Otim'!O$3,0))</f>
        <v>346.90049999999997</v>
      </c>
      <c r="P246" s="19">
        <f ca="1">IF($A246-P$3&lt;2,0,OFFSET('FPSO1 Base'!P243,-'FPSO1 Otim'!P$3,0))</f>
        <v>169.6935</v>
      </c>
      <c r="Q246" s="19">
        <f ca="1">IF($A246-Q$3&lt;2,0,OFFSET('FPSO1 Base'!Q243,-'FPSO1 Otim'!Q$3,0))</f>
        <v>384.58050000000003</v>
      </c>
      <c r="R246" s="19">
        <f ca="1">IF($A246-R$3&lt;2,0,OFFSET('FPSO1 Base'!R243,-'FPSO1 Otim'!R$3,0))</f>
        <v>54.452409410872356</v>
      </c>
      <c r="S246" s="19">
        <f ca="1">IF($A246-S$3&lt;2,0,OFFSET('FPSO1 Base'!S243,-'FPSO1 Otim'!S$3,0))</f>
        <v>337.23450000000003</v>
      </c>
      <c r="T246" s="19">
        <f ca="1">IF($A246-T$3&lt;2,0,OFFSET('FPSO1 Base'!T243,-'FPSO1 Otim'!T$3,0))</f>
        <v>575.50049999999999</v>
      </c>
      <c r="U246" s="19">
        <f ca="1">IF($A246-U$3&lt;2,0,OFFSET('FPSO1 Base'!U243,-'FPSO1 Otim'!U$3,0))</f>
        <v>500.46749999999997</v>
      </c>
      <c r="V246" s="19">
        <f ca="1">IF($A246-V$3&lt;2,0,OFFSET('FPSO1 Base'!V243,-'FPSO1 Otim'!V$3,0))</f>
        <v>431.89949999999999</v>
      </c>
      <c r="W246" s="19">
        <f ca="1">IF($A246-W$3&lt;2,0,OFFSET('FPSO1 Base'!W243,-'FPSO1 Otim'!W$3,0))</f>
        <v>249.66300000000001</v>
      </c>
      <c r="X246" s="19">
        <f ca="1">IF($A246-X$3&lt;2,0,OFFSET('FPSO1 Base'!X243,-'FPSO1 Otim'!X$3,0))</f>
        <v>829.62149999999997</v>
      </c>
      <c r="Y246" s="19">
        <f ca="1">IF($A246-Y$3&lt;2,0,OFFSET('FPSO1 Base'!Y243,-'FPSO1 Otim'!Y$3,0))</f>
        <v>463.548</v>
      </c>
      <c r="Z246" s="19">
        <f ca="1">IF($A246-Z$3&lt;2,0,OFFSET('FPSO1 Base'!Z243,-'FPSO1 Otim'!Z$3,0))</f>
        <v>412.851</v>
      </c>
      <c r="AA246" s="20">
        <v>15000</v>
      </c>
      <c r="AB246" s="19">
        <f t="shared" ca="1" si="13"/>
        <v>8905.4221055266971</v>
      </c>
      <c r="AC246" s="20">
        <f t="shared" ca="1" si="14"/>
        <v>6094.5778944733029</v>
      </c>
      <c r="AD246" s="19">
        <f t="shared" ca="1" si="15"/>
        <v>1215.2473557471001</v>
      </c>
    </row>
    <row r="247" spans="1:30" x14ac:dyDescent="0.25">
      <c r="A247" s="19">
        <v>243</v>
      </c>
      <c r="B247" s="31">
        <v>52994</v>
      </c>
      <c r="C247" s="19">
        <f ca="1">IF($A247-C$3&lt;2,0,OFFSET('FPSO1 Base'!C244,-'FPSO1 Otim'!C$3,0))</f>
        <v>815.31600000000003</v>
      </c>
      <c r="D247" s="19">
        <f ca="1">IF($A247-D$3&lt;2,0,OFFSET('FPSO1 Base'!D244,-'FPSO1 Otim'!D$3,0))</f>
        <v>134.41200000000001</v>
      </c>
      <c r="E247" s="19">
        <f ca="1">IF($A247-E$3&lt;2,0,OFFSET('FPSO1 Base'!E244,-'FPSO1 Otim'!E$3,0))</f>
        <v>372.666</v>
      </c>
      <c r="F247" s="19">
        <f ca="1">IF($A247-F$3&lt;2,0,OFFSET('FPSO1 Base'!F244,-'FPSO1 Otim'!F$3,0))</f>
        <v>394.30649999999997</v>
      </c>
      <c r="G247" s="19">
        <f ca="1">IF($A247-G$3&lt;2,0,OFFSET('FPSO1 Base'!G244,-'FPSO1 Otim'!G$3,0))</f>
        <v>148.90049999999999</v>
      </c>
      <c r="H247" s="19">
        <f ca="1">IF($A247-H$3&lt;2,0,OFFSET('FPSO1 Base'!H244,-'FPSO1 Otim'!H$3,0))</f>
        <v>603.5625</v>
      </c>
      <c r="I247" s="19">
        <f ca="1">IF($A247-I$3&lt;2,0,OFFSET('FPSO1 Base'!I244,-'FPSO1 Otim'!I$3,0))</f>
        <v>458.25</v>
      </c>
      <c r="J247" s="19">
        <f ca="1">IF($A247-J$3&lt;2,0,OFFSET('FPSO1 Base'!J244,-'FPSO1 Otim'!J$3,0))</f>
        <v>251.52449999999999</v>
      </c>
      <c r="K247" s="19">
        <f ca="1">IF($A247-K$3&lt;2,0,OFFSET('FPSO1 Base'!K244,-'FPSO1 Otim'!K$3,0))</f>
        <v>241.887</v>
      </c>
      <c r="L247" s="19">
        <f ca="1">IF($A247-L$3&lt;2,0,OFFSET('FPSO1 Base'!L244,-'FPSO1 Otim'!L$3,0))</f>
        <v>328.91250000000002</v>
      </c>
      <c r="M247" s="19">
        <f ca="1">IF($A247-M$3&lt;2,0,OFFSET('FPSO1 Base'!M244,-'FPSO1 Otim'!M$3,0))</f>
        <v>346.815</v>
      </c>
      <c r="N247" s="19">
        <f ca="1">IF($A247-N$3&lt;2,0,OFFSET('FPSO1 Base'!N244,-'FPSO1 Otim'!N$3,0))</f>
        <v>30.373394154665174</v>
      </c>
      <c r="O247" s="19">
        <f ca="1">IF($A247-O$3&lt;2,0,OFFSET('FPSO1 Base'!O244,-'FPSO1 Otim'!O$3,0))</f>
        <v>345.339</v>
      </c>
      <c r="P247" s="19">
        <f ca="1">IF($A247-P$3&lt;2,0,OFFSET('FPSO1 Base'!P244,-'FPSO1 Otim'!P$3,0))</f>
        <v>168.8475</v>
      </c>
      <c r="Q247" s="19">
        <f ca="1">IF($A247-Q$3&lt;2,0,OFFSET('FPSO1 Base'!Q244,-'FPSO1 Otim'!Q$3,0))</f>
        <v>384.10050000000001</v>
      </c>
      <c r="R247" s="19">
        <f ca="1">IF($A247-R$3&lt;2,0,OFFSET('FPSO1 Base'!R244,-'FPSO1 Otim'!R$3,0))</f>
        <v>53.907885316763632</v>
      </c>
      <c r="S247" s="19">
        <f ca="1">IF($A247-S$3&lt;2,0,OFFSET('FPSO1 Base'!S244,-'FPSO1 Otim'!S$3,0))</f>
        <v>335.33699999999999</v>
      </c>
      <c r="T247" s="19">
        <f ca="1">IF($A247-T$3&lt;2,0,OFFSET('FPSO1 Base'!T244,-'FPSO1 Otim'!T$3,0))</f>
        <v>574.83899999999994</v>
      </c>
      <c r="U247" s="19">
        <f ca="1">IF($A247-U$3&lt;2,0,OFFSET('FPSO1 Base'!U244,-'FPSO1 Otim'!U$3,0))</f>
        <v>499.24950000000001</v>
      </c>
      <c r="V247" s="19">
        <f ca="1">IF($A247-V$3&lt;2,0,OFFSET('FPSO1 Base'!V244,-'FPSO1 Otim'!V$3,0))</f>
        <v>430.01550000000003</v>
      </c>
      <c r="W247" s="19">
        <f ca="1">IF($A247-W$3&lt;2,0,OFFSET('FPSO1 Base'!W244,-'FPSO1 Otim'!W$3,0))</f>
        <v>249.339</v>
      </c>
      <c r="X247" s="19">
        <f ca="1">IF($A247-X$3&lt;2,0,OFFSET('FPSO1 Base'!X244,-'FPSO1 Otim'!X$3,0))</f>
        <v>826.52399999999989</v>
      </c>
      <c r="Y247" s="19">
        <f ca="1">IF($A247-Y$3&lt;2,0,OFFSET('FPSO1 Base'!Y244,-'FPSO1 Otim'!Y$3,0))</f>
        <v>462.71250000000003</v>
      </c>
      <c r="Z247" s="19">
        <f ca="1">IF($A247-Z$3&lt;2,0,OFFSET('FPSO1 Base'!Z244,-'FPSO1 Otim'!Z$3,0))</f>
        <v>410.37450000000001</v>
      </c>
      <c r="AA247" s="20">
        <v>15000</v>
      </c>
      <c r="AB247" s="19">
        <f t="shared" ca="1" si="13"/>
        <v>8867.5117794714297</v>
      </c>
      <c r="AC247" s="20">
        <f t="shared" ca="1" si="14"/>
        <v>6132.4882205285703</v>
      </c>
      <c r="AD247" s="19">
        <f t="shared" ca="1" si="15"/>
        <v>1200.0734433468911</v>
      </c>
    </row>
    <row r="248" spans="1:30" x14ac:dyDescent="0.25">
      <c r="A248" s="19">
        <v>244</v>
      </c>
      <c r="B248" s="31">
        <v>53022</v>
      </c>
      <c r="C248" s="19">
        <f ca="1">IF($A248-C$3&lt;2,0,OFFSET('FPSO1 Base'!C245,-'FPSO1 Otim'!C$3,0))</f>
        <v>803.94</v>
      </c>
      <c r="D248" s="19">
        <f ca="1">IF($A248-D$3&lt;2,0,OFFSET('FPSO1 Base'!D245,-'FPSO1 Otim'!D$3,0))</f>
        <v>133.70250000000001</v>
      </c>
      <c r="E248" s="19">
        <f ca="1">IF($A248-E$3&lt;2,0,OFFSET('FPSO1 Base'!E245,-'FPSO1 Otim'!E$3,0))</f>
        <v>370.81200000000001</v>
      </c>
      <c r="F248" s="19">
        <f ca="1">IF($A248-F$3&lt;2,0,OFFSET('FPSO1 Base'!F245,-'FPSO1 Otim'!F$3,0))</f>
        <v>392.44350000000003</v>
      </c>
      <c r="G248" s="19">
        <f ca="1">IF($A248-G$3&lt;2,0,OFFSET('FPSO1 Base'!G245,-'FPSO1 Otim'!G$3,0))</f>
        <v>148.35750000000002</v>
      </c>
      <c r="H248" s="19">
        <f ca="1">IF($A248-H$3&lt;2,0,OFFSET('FPSO1 Base'!H245,-'FPSO1 Otim'!H$3,0))</f>
        <v>602.80799999999999</v>
      </c>
      <c r="I248" s="19">
        <f ca="1">IF($A248-I$3&lt;2,0,OFFSET('FPSO1 Base'!I245,-'FPSO1 Otim'!I$3,0))</f>
        <v>457.59749999999997</v>
      </c>
      <c r="J248" s="19">
        <f ca="1">IF($A248-J$3&lt;2,0,OFFSET('FPSO1 Base'!J245,-'FPSO1 Otim'!J$3,0))</f>
        <v>251.10449999999997</v>
      </c>
      <c r="K248" s="19">
        <f ca="1">IF($A248-K$3&lt;2,0,OFFSET('FPSO1 Base'!K245,-'FPSO1 Otim'!K$3,0))</f>
        <v>240.339</v>
      </c>
      <c r="L248" s="19">
        <f ca="1">IF($A248-L$3&lt;2,0,OFFSET('FPSO1 Base'!L245,-'FPSO1 Otim'!L$3,0))</f>
        <v>327.738</v>
      </c>
      <c r="M248" s="19">
        <f ca="1">IF($A248-M$3&lt;2,0,OFFSET('FPSO1 Base'!M245,-'FPSO1 Otim'!M$3,0))</f>
        <v>345.423</v>
      </c>
      <c r="N248" s="19">
        <f ca="1">IF($A248-N$3&lt;2,0,OFFSET('FPSO1 Base'!N245,-'FPSO1 Otim'!N$3,0))</f>
        <v>30.069660213118521</v>
      </c>
      <c r="O248" s="19">
        <f ca="1">IF($A248-O$3&lt;2,0,OFFSET('FPSO1 Base'!O245,-'FPSO1 Otim'!O$3,0))</f>
        <v>343.6755</v>
      </c>
      <c r="P248" s="19">
        <f ca="1">IF($A248-P$3&lt;2,0,OFFSET('FPSO1 Base'!P245,-'FPSO1 Otim'!P$3,0))</f>
        <v>168</v>
      </c>
      <c r="Q248" s="19">
        <f ca="1">IF($A248-Q$3&lt;2,0,OFFSET('FPSO1 Base'!Q245,-'FPSO1 Otim'!Q$3,0))</f>
        <v>383.625</v>
      </c>
      <c r="R248" s="19">
        <f ca="1">IF($A248-R$3&lt;2,0,OFFSET('FPSO1 Base'!R245,-'FPSO1 Otim'!R$3,0))</f>
        <v>53.368806463595995</v>
      </c>
      <c r="S248" s="19">
        <f ca="1">IF($A248-S$3&lt;2,0,OFFSET('FPSO1 Base'!S245,-'FPSO1 Otim'!S$3,0))</f>
        <v>333.54449999999997</v>
      </c>
      <c r="T248" s="19">
        <f ca="1">IF($A248-T$3&lt;2,0,OFFSET('FPSO1 Base'!T245,-'FPSO1 Otim'!T$3,0))</f>
        <v>574.125</v>
      </c>
      <c r="U248" s="19">
        <f ca="1">IF($A248-U$3&lt;2,0,OFFSET('FPSO1 Base'!U245,-'FPSO1 Otim'!U$3,0))</f>
        <v>606.19350000000009</v>
      </c>
      <c r="V248" s="19">
        <f ca="1">IF($A248-V$3&lt;2,0,OFFSET('FPSO1 Base'!V245,-'FPSO1 Otim'!V$3,0))</f>
        <v>428.226</v>
      </c>
      <c r="W248" s="19">
        <f ca="1">IF($A248-W$3&lt;2,0,OFFSET('FPSO1 Base'!W245,-'FPSO1 Otim'!W$3,0))</f>
        <v>249</v>
      </c>
      <c r="X248" s="19">
        <f ca="1">IF($A248-X$3&lt;2,0,OFFSET('FPSO1 Base'!X245,-'FPSO1 Otim'!X$3,0))</f>
        <v>823.0440000000001</v>
      </c>
      <c r="Y248" s="19">
        <f ca="1">IF($A248-Y$3&lt;2,0,OFFSET('FPSO1 Base'!Y245,-'FPSO1 Otim'!Y$3,0))</f>
        <v>461.84249999999997</v>
      </c>
      <c r="Z248" s="19">
        <f ca="1">IF($A248-Z$3&lt;2,0,OFFSET('FPSO1 Base'!Z245,-'FPSO1 Otim'!Z$3,0))</f>
        <v>408.08399999999995</v>
      </c>
      <c r="AA248" s="20">
        <v>15000</v>
      </c>
      <c r="AB248" s="19">
        <f t="shared" ca="1" si="13"/>
        <v>8937.0639666767147</v>
      </c>
      <c r="AC248" s="20">
        <f t="shared" ca="1" si="14"/>
        <v>6062.9360333232853</v>
      </c>
      <c r="AD248" s="19">
        <f t="shared" ca="1" si="15"/>
        <v>1199.4904465374402</v>
      </c>
    </row>
    <row r="249" spans="1:30" x14ac:dyDescent="0.25">
      <c r="A249" s="19">
        <v>245</v>
      </c>
      <c r="B249" s="31">
        <v>53053</v>
      </c>
      <c r="C249" s="19">
        <f ca="1">IF($A249-C$3&lt;2,0,OFFSET('FPSO1 Base'!C246,-'FPSO1 Otim'!C$3,0))</f>
        <v>793.21349999999995</v>
      </c>
      <c r="D249" s="19">
        <f ca="1">IF($A249-D$3&lt;2,0,OFFSET('FPSO1 Base'!D246,-'FPSO1 Otim'!D$3,0))</f>
        <v>132.97050000000002</v>
      </c>
      <c r="E249" s="19">
        <f ca="1">IF($A249-E$3&lt;2,0,OFFSET('FPSO1 Base'!E246,-'FPSO1 Otim'!E$3,0))</f>
        <v>369.048</v>
      </c>
      <c r="F249" s="19">
        <f ca="1">IF($A249-F$3&lt;2,0,OFFSET('FPSO1 Base'!F246,-'FPSO1 Otim'!F$3,0))</f>
        <v>390.24149999999997</v>
      </c>
      <c r="G249" s="19">
        <f ca="1">IF($A249-G$3&lt;2,0,OFFSET('FPSO1 Base'!G246,-'FPSO1 Otim'!G$3,0))</f>
        <v>147.9435</v>
      </c>
      <c r="H249" s="19">
        <f ca="1">IF($A249-H$3&lt;2,0,OFFSET('FPSO1 Base'!H246,-'FPSO1 Otim'!H$3,0))</f>
        <v>602.02649999999994</v>
      </c>
      <c r="I249" s="19">
        <f ca="1">IF($A249-I$3&lt;2,0,OFFSET('FPSO1 Base'!I246,-'FPSO1 Otim'!I$3,0))</f>
        <v>457.18500000000006</v>
      </c>
      <c r="J249" s="19">
        <f ca="1">IF($A249-J$3&lt;2,0,OFFSET('FPSO1 Base'!J246,-'FPSO1 Otim'!J$3,0))</f>
        <v>250.62450000000001</v>
      </c>
      <c r="K249" s="19">
        <f ca="1">IF($A249-K$3&lt;2,0,OFFSET('FPSO1 Base'!K246,-'FPSO1 Otim'!K$3,0))</f>
        <v>239.14049999999997</v>
      </c>
      <c r="L249" s="19">
        <f ca="1">IF($A249-L$3&lt;2,0,OFFSET('FPSO1 Base'!L246,-'FPSO1 Otim'!L$3,0))</f>
        <v>326.4255</v>
      </c>
      <c r="M249" s="19">
        <f ca="1">IF($A249-M$3&lt;2,0,OFFSET('FPSO1 Base'!M246,-'FPSO1 Otim'!M$3,0))</f>
        <v>343.88849999999996</v>
      </c>
      <c r="N249" s="19">
        <f ca="1">IF($A249-N$3&lt;2,0,OFFSET('FPSO1 Base'!N246,-'FPSO1 Otim'!N$3,0))</f>
        <v>29.768963610987335</v>
      </c>
      <c r="O249" s="19">
        <f ca="1">IF($A249-O$3&lt;2,0,OFFSET('FPSO1 Base'!O246,-'FPSO1 Otim'!O$3,0))</f>
        <v>342.12149999999997</v>
      </c>
      <c r="P249" s="19">
        <f ca="1">IF($A249-P$3&lt;2,0,OFFSET('FPSO1 Base'!P246,-'FPSO1 Otim'!P$3,0))</f>
        <v>167.202</v>
      </c>
      <c r="Q249" s="19">
        <f ca="1">IF($A249-Q$3&lt;2,0,OFFSET('FPSO1 Base'!Q246,-'FPSO1 Otim'!Q$3,0))</f>
        <v>383.19</v>
      </c>
      <c r="R249" s="19">
        <f ca="1">IF($A249-R$3&lt;2,0,OFFSET('FPSO1 Base'!R246,-'FPSO1 Otim'!R$3,0))</f>
        <v>52.835118398960034</v>
      </c>
      <c r="S249" s="19">
        <f ca="1">IF($A249-S$3&lt;2,0,OFFSET('FPSO1 Base'!S246,-'FPSO1 Otim'!S$3,0))</f>
        <v>331.76549999999997</v>
      </c>
      <c r="T249" s="19">
        <f ca="1">IF($A249-T$3&lt;2,0,OFFSET('FPSO1 Base'!T246,-'FPSO1 Otim'!T$3,0))</f>
        <v>574.99649999999997</v>
      </c>
      <c r="U249" s="19">
        <f ca="1">IF($A249-U$3&lt;2,0,OFFSET('FPSO1 Base'!U246,-'FPSO1 Otim'!U$3,0))</f>
        <v>610.572</v>
      </c>
      <c r="V249" s="19">
        <f ca="1">IF($A249-V$3&lt;2,0,OFFSET('FPSO1 Base'!V246,-'FPSO1 Otim'!V$3,0))</f>
        <v>426.05399999999997</v>
      </c>
      <c r="W249" s="19">
        <f ca="1">IF($A249-W$3&lt;2,0,OFFSET('FPSO1 Base'!W246,-'FPSO1 Otim'!W$3,0))</f>
        <v>248.673</v>
      </c>
      <c r="X249" s="19">
        <f ca="1">IF($A249-X$3&lt;2,0,OFFSET('FPSO1 Base'!X246,-'FPSO1 Otim'!X$3,0))</f>
        <v>820.33049999999992</v>
      </c>
      <c r="Y249" s="19">
        <f ca="1">IF($A249-Y$3&lt;2,0,OFFSET('FPSO1 Base'!Y246,-'FPSO1 Otim'!Y$3,0))</f>
        <v>460.86300000000006</v>
      </c>
      <c r="Z249" s="19">
        <f ca="1">IF($A249-Z$3&lt;2,0,OFFSET('FPSO1 Base'!Z246,-'FPSO1 Otim'!Z$3,0))</f>
        <v>405.96749999999997</v>
      </c>
      <c r="AA249" s="20">
        <v>15000</v>
      </c>
      <c r="AB249" s="19">
        <f t="shared" ca="1" si="13"/>
        <v>8907.0470820099472</v>
      </c>
      <c r="AC249" s="20">
        <f t="shared" ca="1" si="14"/>
        <v>6092.9529179900528</v>
      </c>
      <c r="AD249" s="19">
        <f t="shared" ca="1" si="15"/>
        <v>1185.5818733355641</v>
      </c>
    </row>
    <row r="250" spans="1:30" x14ac:dyDescent="0.25">
      <c r="A250" s="19">
        <v>246</v>
      </c>
      <c r="B250" s="31">
        <v>53083</v>
      </c>
      <c r="C250" s="19">
        <f ca="1">IF($A250-C$3&lt;2,0,OFFSET('FPSO1 Base'!C247,-'FPSO1 Otim'!C$3,0))</f>
        <v>782.60400000000004</v>
      </c>
      <c r="D250" s="19">
        <f ca="1">IF($A250-D$3&lt;2,0,OFFSET('FPSO1 Base'!D247,-'FPSO1 Otim'!D$3,0))</f>
        <v>132.28799999999998</v>
      </c>
      <c r="E250" s="19">
        <f ca="1">IF($A250-E$3&lt;2,0,OFFSET('FPSO1 Base'!E247,-'FPSO1 Otim'!E$3,0))</f>
        <v>367.31849999999997</v>
      </c>
      <c r="F250" s="19">
        <f ca="1">IF($A250-F$3&lt;2,0,OFFSET('FPSO1 Base'!F247,-'FPSO1 Otim'!F$3,0))</f>
        <v>388.5</v>
      </c>
      <c r="G250" s="19">
        <f ca="1">IF($A250-G$3&lt;2,0,OFFSET('FPSO1 Base'!G247,-'FPSO1 Otim'!G$3,0))</f>
        <v>147.59550000000002</v>
      </c>
      <c r="H250" s="19">
        <f ca="1">IF($A250-H$3&lt;2,0,OFFSET('FPSO1 Base'!H247,-'FPSO1 Otim'!H$3,0))</f>
        <v>601.24800000000005</v>
      </c>
      <c r="I250" s="19">
        <f ca="1">IF($A250-I$3&lt;2,0,OFFSET('FPSO1 Base'!I247,-'FPSO1 Otim'!I$3,0))</f>
        <v>456.69600000000003</v>
      </c>
      <c r="J250" s="19">
        <f ca="1">IF($A250-J$3&lt;2,0,OFFSET('FPSO1 Base'!J247,-'FPSO1 Otim'!J$3,0))</f>
        <v>250.161</v>
      </c>
      <c r="K250" s="19">
        <f ca="1">IF($A250-K$3&lt;2,0,OFFSET('FPSO1 Base'!K247,-'FPSO1 Otim'!K$3,0))</f>
        <v>237.77549999999999</v>
      </c>
      <c r="L250" s="19">
        <f ca="1">IF($A250-L$3&lt;2,0,OFFSET('FPSO1 Base'!L247,-'FPSO1 Otim'!L$3,0))</f>
        <v>325.209</v>
      </c>
      <c r="M250" s="19">
        <f ca="1">IF($A250-M$3&lt;2,0,OFFSET('FPSO1 Base'!M247,-'FPSO1 Otim'!M$3,0))</f>
        <v>342.60449999999997</v>
      </c>
      <c r="N250" s="19">
        <f ca="1">IF($A250-N$3&lt;2,0,OFFSET('FPSO1 Base'!N247,-'FPSO1 Otim'!N$3,0))</f>
        <v>29.471273974877462</v>
      </c>
      <c r="O250" s="19">
        <f ca="1">IF($A250-O$3&lt;2,0,OFFSET('FPSO1 Base'!O247,-'FPSO1 Otim'!O$3,0))</f>
        <v>340.572</v>
      </c>
      <c r="P250" s="19">
        <f ca="1">IF($A250-P$3&lt;2,0,OFFSET('FPSO1 Base'!P247,-'FPSO1 Otim'!P$3,0))</f>
        <v>166.35000000000002</v>
      </c>
      <c r="Q250" s="19">
        <f ca="1">IF($A250-Q$3&lt;2,0,OFFSET('FPSO1 Base'!Q247,-'FPSO1 Otim'!Q$3,0))</f>
        <v>382.6995</v>
      </c>
      <c r="R250" s="19">
        <f ca="1">IF($A250-R$3&lt;2,0,OFFSET('FPSO1 Base'!R247,-'FPSO1 Otim'!R$3,0))</f>
        <v>52.306767214970435</v>
      </c>
      <c r="S250" s="19">
        <f ca="1">IF($A250-S$3&lt;2,0,OFFSET('FPSO1 Base'!S247,-'FPSO1 Otim'!S$3,0))</f>
        <v>329.88750000000005</v>
      </c>
      <c r="T250" s="19">
        <f ca="1">IF($A250-T$3&lt;2,0,OFFSET('FPSO1 Base'!T247,-'FPSO1 Otim'!T$3,0))</f>
        <v>575.601</v>
      </c>
      <c r="U250" s="19">
        <f ca="1">IF($A250-U$3&lt;2,0,OFFSET('FPSO1 Base'!U247,-'FPSO1 Otim'!U$3,0))</f>
        <v>606.25049999999999</v>
      </c>
      <c r="V250" s="19">
        <f ca="1">IF($A250-V$3&lt;2,0,OFFSET('FPSO1 Base'!V247,-'FPSO1 Otim'!V$3,0))</f>
        <v>424.35450000000003</v>
      </c>
      <c r="W250" s="19">
        <f ca="1">IF($A250-W$3&lt;2,0,OFFSET('FPSO1 Base'!W247,-'FPSO1 Otim'!W$3,0))</f>
        <v>248.3475</v>
      </c>
      <c r="X250" s="19">
        <f ca="1">IF($A250-X$3&lt;2,0,OFFSET('FPSO1 Base'!X247,-'FPSO1 Otim'!X$3,0))</f>
        <v>817.09949999999992</v>
      </c>
      <c r="Y250" s="19">
        <f ca="1">IF($A250-Y$3&lt;2,0,OFFSET('FPSO1 Base'!Y247,-'FPSO1 Otim'!Y$3,0))</f>
        <v>459.87150000000003</v>
      </c>
      <c r="Z250" s="19">
        <f ca="1">IF($A250-Z$3&lt;2,0,OFFSET('FPSO1 Base'!Z247,-'FPSO1 Otim'!Z$3,0))</f>
        <v>403.48649999999998</v>
      </c>
      <c r="AA250" s="20">
        <v>15000</v>
      </c>
      <c r="AB250" s="19">
        <f t="shared" ca="1" si="13"/>
        <v>8868.2980411898461</v>
      </c>
      <c r="AC250" s="20">
        <f t="shared" ca="1" si="14"/>
        <v>6131.7019588101539</v>
      </c>
      <c r="AD250" s="19">
        <f t="shared" ca="1" si="15"/>
        <v>1170.6685700704304</v>
      </c>
    </row>
    <row r="251" spans="1:30" x14ac:dyDescent="0.25">
      <c r="A251" s="19">
        <v>247</v>
      </c>
      <c r="B251" s="31">
        <v>53114</v>
      </c>
      <c r="C251" s="19">
        <f ca="1">IF($A251-C$3&lt;2,0,OFFSET('FPSO1 Base'!C248,-'FPSO1 Otim'!C$3,0))</f>
        <v>772.68000000000006</v>
      </c>
      <c r="D251" s="19">
        <f ca="1">IF($A251-D$3&lt;2,0,OFFSET('FPSO1 Base'!D248,-'FPSO1 Otim'!D$3,0))</f>
        <v>131.57550000000001</v>
      </c>
      <c r="E251" s="19">
        <f ca="1">IF($A251-E$3&lt;2,0,OFFSET('FPSO1 Base'!E248,-'FPSO1 Otim'!E$3,0))</f>
        <v>365.46299999999997</v>
      </c>
      <c r="F251" s="19">
        <f ca="1">IF($A251-F$3&lt;2,0,OFFSET('FPSO1 Base'!F248,-'FPSO1 Otim'!F$3,0))</f>
        <v>386.50049999999999</v>
      </c>
      <c r="G251" s="19">
        <f ca="1">IF($A251-G$3&lt;2,0,OFFSET('FPSO1 Base'!G248,-'FPSO1 Otim'!G$3,0))</f>
        <v>147.14400000000001</v>
      </c>
      <c r="H251" s="19">
        <f ca="1">IF($A251-H$3&lt;2,0,OFFSET('FPSO1 Base'!H248,-'FPSO1 Otim'!H$3,0))</f>
        <v>600.53700000000003</v>
      </c>
      <c r="I251" s="19">
        <f ca="1">IF($A251-I$3&lt;2,0,OFFSET('FPSO1 Base'!I248,-'FPSO1 Otim'!I$3,0))</f>
        <v>456.31499999999994</v>
      </c>
      <c r="J251" s="19">
        <f ca="1">IF($A251-J$3&lt;2,0,OFFSET('FPSO1 Base'!J248,-'FPSO1 Otim'!J$3,0))</f>
        <v>249.822</v>
      </c>
      <c r="K251" s="19">
        <f ca="1">IF($A251-K$3&lt;2,0,OFFSET('FPSO1 Base'!K248,-'FPSO1 Otim'!K$3,0))</f>
        <v>236.613</v>
      </c>
      <c r="L251" s="19">
        <f ca="1">IF($A251-L$3&lt;2,0,OFFSET('FPSO1 Base'!L248,-'FPSO1 Otim'!L$3,0))</f>
        <v>324.012</v>
      </c>
      <c r="M251" s="19">
        <f ca="1">IF($A251-M$3&lt;2,0,OFFSET('FPSO1 Base'!M248,-'FPSO1 Otim'!M$3,0))</f>
        <v>341.18700000000001</v>
      </c>
      <c r="N251" s="19">
        <f ca="1">IF($A251-N$3&lt;2,0,OFFSET('FPSO1 Base'!N248,-'FPSO1 Otim'!N$3,0))</f>
        <v>29.176561235128688</v>
      </c>
      <c r="O251" s="19">
        <f ca="1">IF($A251-O$3&lt;2,0,OFFSET('FPSO1 Base'!O248,-'FPSO1 Otim'!O$3,0))</f>
        <v>338.97450000000003</v>
      </c>
      <c r="P251" s="19">
        <f ca="1">IF($A251-P$3&lt;2,0,OFFSET('FPSO1 Base'!P248,-'FPSO1 Otim'!P$3,0))</f>
        <v>165.5565</v>
      </c>
      <c r="Q251" s="19">
        <f ca="1">IF($A251-Q$3&lt;2,0,OFFSET('FPSO1 Base'!Q248,-'FPSO1 Otim'!Q$3,0))</f>
        <v>382.476</v>
      </c>
      <c r="R251" s="19">
        <f ca="1">IF($A251-R$3&lt;2,0,OFFSET('FPSO1 Base'!R248,-'FPSO1 Otim'!R$3,0))</f>
        <v>51.783699542820727</v>
      </c>
      <c r="S251" s="19">
        <f ca="1">IF($A251-S$3&lt;2,0,OFFSET('FPSO1 Base'!S248,-'FPSO1 Otim'!S$3,0))</f>
        <v>328.197</v>
      </c>
      <c r="T251" s="19">
        <f ca="1">IF($A251-T$3&lt;2,0,OFFSET('FPSO1 Base'!T248,-'FPSO1 Otim'!T$3,0))</f>
        <v>576.85050000000001</v>
      </c>
      <c r="U251" s="19">
        <f ca="1">IF($A251-U$3&lt;2,0,OFFSET('FPSO1 Base'!U248,-'FPSO1 Otim'!U$3,0))</f>
        <v>602.49149999999997</v>
      </c>
      <c r="V251" s="19">
        <f ca="1">IF($A251-V$3&lt;2,0,OFFSET('FPSO1 Base'!V248,-'FPSO1 Otim'!V$3,0))</f>
        <v>422.40000000000003</v>
      </c>
      <c r="W251" s="19">
        <f ca="1">IF($A251-W$3&lt;2,0,OFFSET('FPSO1 Base'!W248,-'FPSO1 Otim'!W$3,0))</f>
        <v>247.98149999999998</v>
      </c>
      <c r="X251" s="19">
        <f ca="1">IF($A251-X$3&lt;2,0,OFFSET('FPSO1 Base'!X248,-'FPSO1 Otim'!X$3,0))</f>
        <v>814.40249999999992</v>
      </c>
      <c r="Y251" s="19">
        <f ca="1">IF($A251-Y$3&lt;2,0,OFFSET('FPSO1 Base'!Y248,-'FPSO1 Otim'!Y$3,0))</f>
        <v>458.93999999999994</v>
      </c>
      <c r="Z251" s="19">
        <f ca="1">IF($A251-Z$3&lt;2,0,OFFSET('FPSO1 Base'!Z248,-'FPSO1 Otim'!Z$3,0))</f>
        <v>401.553</v>
      </c>
      <c r="AA251" s="20">
        <v>15000</v>
      </c>
      <c r="AB251" s="19">
        <f t="shared" ca="1" si="13"/>
        <v>8832.6322607779493</v>
      </c>
      <c r="AC251" s="20">
        <f t="shared" ca="1" si="14"/>
        <v>6167.3677392220507</v>
      </c>
      <c r="AD251" s="19">
        <f t="shared" ca="1" si="15"/>
        <v>1156.324436018765</v>
      </c>
    </row>
    <row r="252" spans="1:30" x14ac:dyDescent="0.25">
      <c r="A252" s="19">
        <v>248</v>
      </c>
      <c r="B252" s="31">
        <v>53144</v>
      </c>
      <c r="C252" s="19">
        <f ca="1">IF($A252-C$3&lt;2,0,OFFSET('FPSO1 Base'!C249,-'FPSO1 Otim'!C$3,0))</f>
        <v>762.99450000000002</v>
      </c>
      <c r="D252" s="19">
        <f ca="1">IF($A252-D$3&lt;2,0,OFFSET('FPSO1 Base'!D249,-'FPSO1 Otim'!D$3,0))</f>
        <v>130.89599999999999</v>
      </c>
      <c r="E252" s="19">
        <f ca="1">IF($A252-E$3&lt;2,0,OFFSET('FPSO1 Base'!E249,-'FPSO1 Otim'!E$3,0))</f>
        <v>364.173</v>
      </c>
      <c r="F252" s="19">
        <f ca="1">IF($A252-F$3&lt;2,0,OFFSET('FPSO1 Base'!F249,-'FPSO1 Otim'!F$3,0))</f>
        <v>384.62849999999997</v>
      </c>
      <c r="G252" s="19">
        <f ca="1">IF($A252-G$3&lt;2,0,OFFSET('FPSO1 Base'!G249,-'FPSO1 Otim'!G$3,0))</f>
        <v>146.874</v>
      </c>
      <c r="H252" s="19">
        <f ca="1">IF($A252-H$3&lt;2,0,OFFSET('FPSO1 Base'!H249,-'FPSO1 Otim'!H$3,0))</f>
        <v>599.75850000000003</v>
      </c>
      <c r="I252" s="19">
        <f ca="1">IF($A252-I$3&lt;2,0,OFFSET('FPSO1 Base'!I249,-'FPSO1 Otim'!I$3,0))</f>
        <v>455.89949999999999</v>
      </c>
      <c r="J252" s="19">
        <f ca="1">IF($A252-J$3&lt;2,0,OFFSET('FPSO1 Base'!J249,-'FPSO1 Otim'!J$3,0))</f>
        <v>249.321</v>
      </c>
      <c r="K252" s="19">
        <f ca="1">IF($A252-K$3&lt;2,0,OFFSET('FPSO1 Base'!K249,-'FPSO1 Otim'!K$3,0))</f>
        <v>235.3005</v>
      </c>
      <c r="L252" s="19">
        <f ca="1">IF($A252-L$3&lt;2,0,OFFSET('FPSO1 Base'!L249,-'FPSO1 Otim'!L$3,0))</f>
        <v>322.72500000000002</v>
      </c>
      <c r="M252" s="19">
        <f ca="1">IF($A252-M$3&lt;2,0,OFFSET('FPSO1 Base'!M249,-'FPSO1 Otim'!M$3,0))</f>
        <v>339.93150000000003</v>
      </c>
      <c r="N252" s="19">
        <f ca="1">IF($A252-N$3&lt;2,0,OFFSET('FPSO1 Base'!N249,-'FPSO1 Otim'!N$3,0))</f>
        <v>28.8847956227774</v>
      </c>
      <c r="O252" s="19">
        <f ca="1">IF($A252-O$3&lt;2,0,OFFSET('FPSO1 Base'!O249,-'FPSO1 Otim'!O$3,0))</f>
        <v>337.548</v>
      </c>
      <c r="P252" s="19">
        <f ca="1">IF($A252-P$3&lt;2,0,OFFSET('FPSO1 Base'!P249,-'FPSO1 Otim'!P$3,0))</f>
        <v>164.67449999999999</v>
      </c>
      <c r="Q252" s="19">
        <f ca="1">IF($A252-Q$3&lt;2,0,OFFSET('FPSO1 Base'!Q249,-'FPSO1 Otim'!Q$3,0))</f>
        <v>382.03800000000001</v>
      </c>
      <c r="R252" s="19">
        <f ca="1">IF($A252-R$3&lt;2,0,OFFSET('FPSO1 Base'!R249,-'FPSO1 Otim'!R$3,0))</f>
        <v>51.265862547392523</v>
      </c>
      <c r="S252" s="19">
        <f ca="1">IF($A252-S$3&lt;2,0,OFFSET('FPSO1 Base'!S249,-'FPSO1 Otim'!S$3,0))</f>
        <v>326.36249999999995</v>
      </c>
      <c r="T252" s="19">
        <f ca="1">IF($A252-T$3&lt;2,0,OFFSET('FPSO1 Base'!T249,-'FPSO1 Otim'!T$3,0))</f>
        <v>578.31000000000006</v>
      </c>
      <c r="U252" s="19">
        <f ca="1">IF($A252-U$3&lt;2,0,OFFSET('FPSO1 Base'!U249,-'FPSO1 Otim'!U$3,0))</f>
        <v>599.32500000000005</v>
      </c>
      <c r="V252" s="19">
        <f ca="1">IF($A252-V$3&lt;2,0,OFFSET('FPSO1 Base'!V249,-'FPSO1 Otim'!V$3,0))</f>
        <v>420.58050000000003</v>
      </c>
      <c r="W252" s="19">
        <f ca="1">IF($A252-W$3&lt;2,0,OFFSET('FPSO1 Base'!W249,-'FPSO1 Otim'!W$3,0))</f>
        <v>247.69349999999997</v>
      </c>
      <c r="X252" s="19">
        <f ca="1">IF($A252-X$3&lt;2,0,OFFSET('FPSO1 Base'!X249,-'FPSO1 Otim'!X$3,0))</f>
        <v>811.30049999999994</v>
      </c>
      <c r="Y252" s="19">
        <f ca="1">IF($A252-Y$3&lt;2,0,OFFSET('FPSO1 Base'!Y249,-'FPSO1 Otim'!Y$3,0))</f>
        <v>457.8075</v>
      </c>
      <c r="Z252" s="19">
        <f ca="1">IF($A252-Z$3&lt;2,0,OFFSET('FPSO1 Base'!Z249,-'FPSO1 Otim'!Z$3,0))</f>
        <v>399.29999999999995</v>
      </c>
      <c r="AA252" s="20">
        <v>15000</v>
      </c>
      <c r="AB252" s="19">
        <f t="shared" ca="1" si="13"/>
        <v>8797.5926581701697</v>
      </c>
      <c r="AC252" s="20">
        <f t="shared" ca="1" si="14"/>
        <v>6202.4073418298303</v>
      </c>
      <c r="AD252" s="19">
        <f t="shared" ca="1" si="15"/>
        <v>1142.2187354594439</v>
      </c>
    </row>
    <row r="253" spans="1:30" x14ac:dyDescent="0.25">
      <c r="A253" s="19">
        <v>249</v>
      </c>
      <c r="B253" s="31">
        <v>53175</v>
      </c>
      <c r="C253" s="19">
        <f ca="1">IF($A253-C$3&lt;2,0,OFFSET('FPSO1 Base'!C250,-'FPSO1 Otim'!C$3,0))</f>
        <v>753.85050000000001</v>
      </c>
      <c r="D253" s="19">
        <f ca="1">IF($A253-D$3&lt;2,0,OFFSET('FPSO1 Base'!D250,-'FPSO1 Otim'!D$3,0))</f>
        <v>130.19400000000002</v>
      </c>
      <c r="E253" s="19">
        <f ca="1">IF($A253-E$3&lt;2,0,OFFSET('FPSO1 Base'!E250,-'FPSO1 Otim'!E$3,0))</f>
        <v>362.4255</v>
      </c>
      <c r="F253" s="19">
        <f ca="1">IF($A253-F$3&lt;2,0,OFFSET('FPSO1 Base'!F250,-'FPSO1 Otim'!F$3,0))</f>
        <v>382.65</v>
      </c>
      <c r="G253" s="19">
        <f ca="1">IF($A253-G$3&lt;2,0,OFFSET('FPSO1 Base'!G250,-'FPSO1 Otim'!G$3,0))</f>
        <v>146.649</v>
      </c>
      <c r="H253" s="19">
        <f ca="1">IF($A253-H$3&lt;2,0,OFFSET('FPSO1 Base'!H250,-'FPSO1 Otim'!H$3,0))</f>
        <v>599.02350000000001</v>
      </c>
      <c r="I253" s="19">
        <f ca="1">IF($A253-I$3&lt;2,0,OFFSET('FPSO1 Base'!I250,-'FPSO1 Otim'!I$3,0))</f>
        <v>455.49149999999997</v>
      </c>
      <c r="J253" s="19">
        <f ca="1">IF($A253-J$3&lt;2,0,OFFSET('FPSO1 Base'!J250,-'FPSO1 Otim'!J$3,0))</f>
        <v>248.952</v>
      </c>
      <c r="K253" s="19">
        <f ca="1">IF($A253-K$3&lt;2,0,OFFSET('FPSO1 Base'!K250,-'FPSO1 Otim'!K$3,0))</f>
        <v>234.2055</v>
      </c>
      <c r="L253" s="19">
        <f ca="1">IF($A253-L$3&lt;2,0,OFFSET('FPSO1 Base'!L250,-'FPSO1 Otim'!L$3,0))</f>
        <v>321.55650000000003</v>
      </c>
      <c r="M253" s="19">
        <f ca="1">IF($A253-M$3&lt;2,0,OFFSET('FPSO1 Base'!M250,-'FPSO1 Otim'!M$3,0))</f>
        <v>338.57550000000003</v>
      </c>
      <c r="N253" s="19">
        <f ca="1">IF($A253-N$3&lt;2,0,OFFSET('FPSO1 Base'!N250,-'FPSO1 Otim'!N$3,0))</f>
        <v>28.595947666549627</v>
      </c>
      <c r="O253" s="19">
        <f ca="1">IF($A253-O$3&lt;2,0,OFFSET('FPSO1 Base'!O250,-'FPSO1 Otim'!O$3,0))</f>
        <v>335.97450000000003</v>
      </c>
      <c r="P253" s="19">
        <f ca="1">IF($A253-P$3&lt;2,0,OFFSET('FPSO1 Base'!P250,-'FPSO1 Otim'!P$3,0))</f>
        <v>163.02775499999998</v>
      </c>
      <c r="Q253" s="19">
        <f ca="1">IF($A253-Q$3&lt;2,0,OFFSET('FPSO1 Base'!Q250,-'FPSO1 Otim'!Q$3,0))</f>
        <v>381.387</v>
      </c>
      <c r="R253" s="19">
        <f ca="1">IF($A253-R$3&lt;2,0,OFFSET('FPSO1 Base'!R250,-'FPSO1 Otim'!R$3,0))</f>
        <v>50.753203921918598</v>
      </c>
      <c r="S253" s="19">
        <f ca="1">IF($A253-S$3&lt;2,0,OFFSET('FPSO1 Base'!S250,-'FPSO1 Otim'!S$3,0))</f>
        <v>324.65250000000003</v>
      </c>
      <c r="T253" s="19">
        <f ca="1">IF($A253-T$3&lt;2,0,OFFSET('FPSO1 Base'!T250,-'FPSO1 Otim'!T$3,0))</f>
        <v>579.72450000000003</v>
      </c>
      <c r="U253" s="19">
        <f ca="1">IF($A253-U$3&lt;2,0,OFFSET('FPSO1 Base'!U250,-'FPSO1 Otim'!U$3,0))</f>
        <v>596.51549999999997</v>
      </c>
      <c r="V253" s="19">
        <f ca="1">IF($A253-V$3&lt;2,0,OFFSET('FPSO1 Base'!V250,-'FPSO1 Otim'!V$3,0))</f>
        <v>418.60050000000001</v>
      </c>
      <c r="W253" s="19">
        <f ca="1">IF($A253-W$3&lt;2,0,OFFSET('FPSO1 Base'!W250,-'FPSO1 Otim'!W$3,0))</f>
        <v>247.3005</v>
      </c>
      <c r="X253" s="19">
        <f ca="1">IF($A253-X$3&lt;2,0,OFFSET('FPSO1 Base'!X250,-'FPSO1 Otim'!X$3,0))</f>
        <v>808.548</v>
      </c>
      <c r="Y253" s="19">
        <f ca="1">IF($A253-Y$3&lt;2,0,OFFSET('FPSO1 Base'!Y250,-'FPSO1 Otim'!Y$3,0))</f>
        <v>456.90750000000003</v>
      </c>
      <c r="Z253" s="19">
        <f ca="1">IF($A253-Z$3&lt;2,0,OFFSET('FPSO1 Base'!Z250,-'FPSO1 Otim'!Z$3,0))</f>
        <v>397.27049999999997</v>
      </c>
      <c r="AA253" s="20">
        <v>15000</v>
      </c>
      <c r="AB253" s="19">
        <f t="shared" ca="1" si="13"/>
        <v>8762.8314065884697</v>
      </c>
      <c r="AC253" s="20">
        <f t="shared" ca="1" si="14"/>
        <v>6237.1685934115303</v>
      </c>
      <c r="AD253" s="19">
        <f t="shared" ca="1" si="15"/>
        <v>1128.303048966605</v>
      </c>
    </row>
    <row r="254" spans="1:30" x14ac:dyDescent="0.25">
      <c r="A254" s="19">
        <v>250</v>
      </c>
      <c r="B254" s="31">
        <v>53206</v>
      </c>
      <c r="C254" s="19">
        <f ca="1">IF($A254-C$3&lt;2,0,OFFSET('FPSO1 Base'!C251,-'FPSO1 Otim'!C$3,0))</f>
        <v>745.50749999999994</v>
      </c>
      <c r="D254" s="19">
        <f ca="1">IF($A254-D$3&lt;2,0,OFFSET('FPSO1 Base'!D251,-'FPSO1 Otim'!D$3,0))</f>
        <v>129.4965</v>
      </c>
      <c r="E254" s="19">
        <f ca="1">IF($A254-E$3&lt;2,0,OFFSET('FPSO1 Base'!E251,-'FPSO1 Otim'!E$3,0))</f>
        <v>360.27750000000003</v>
      </c>
      <c r="F254" s="19">
        <f ca="1">IF($A254-F$3&lt;2,0,OFFSET('FPSO1 Base'!F251,-'FPSO1 Otim'!F$3,0))</f>
        <v>380.80650000000003</v>
      </c>
      <c r="G254" s="19">
        <f ca="1">IF($A254-G$3&lt;2,0,OFFSET('FPSO1 Base'!G251,-'FPSO1 Otim'!G$3,0))</f>
        <v>146.01749999999998</v>
      </c>
      <c r="H254" s="19">
        <f ca="1">IF($A254-H$3&lt;2,0,OFFSET('FPSO1 Base'!H251,-'FPSO1 Otim'!H$3,0))</f>
        <v>598.24649999999997</v>
      </c>
      <c r="I254" s="19">
        <f ca="1">IF($A254-I$3&lt;2,0,OFFSET('FPSO1 Base'!I251,-'FPSO1 Otim'!I$3,0))</f>
        <v>454.99950000000001</v>
      </c>
      <c r="J254" s="19">
        <f ca="1">IF($A254-J$3&lt;2,0,OFFSET('FPSO1 Base'!J251,-'FPSO1 Otim'!J$3,0))</f>
        <v>248.54999999999998</v>
      </c>
      <c r="K254" s="19">
        <f ca="1">IF($A254-K$3&lt;2,0,OFFSET('FPSO1 Base'!K251,-'FPSO1 Otim'!K$3,0))</f>
        <v>232.92449999999997</v>
      </c>
      <c r="L254" s="19">
        <f ca="1">IF($A254-L$3&lt;2,0,OFFSET('FPSO1 Base'!L251,-'FPSO1 Otim'!L$3,0))</f>
        <v>320.262</v>
      </c>
      <c r="M254" s="19">
        <f ca="1">IF($A254-M$3&lt;2,0,OFFSET('FPSO1 Base'!M251,-'FPSO1 Otim'!M$3,0))</f>
        <v>411.99149999999997</v>
      </c>
      <c r="N254" s="19">
        <f ca="1">IF($A254-N$3&lt;2,0,OFFSET('FPSO1 Base'!N251,-'FPSO1 Otim'!N$3,0))</f>
        <v>28.30998818988413</v>
      </c>
      <c r="O254" s="19">
        <f ca="1">IF($A254-O$3&lt;2,0,OFFSET('FPSO1 Base'!O251,-'FPSO1 Otim'!O$3,0))</f>
        <v>319.572</v>
      </c>
      <c r="P254" s="19">
        <f ca="1">IF($A254-P$3&lt;2,0,OFFSET('FPSO1 Base'!P251,-'FPSO1 Otim'!P$3,0))</f>
        <v>161.39747745</v>
      </c>
      <c r="Q254" s="19">
        <f ca="1">IF($A254-Q$3&lt;2,0,OFFSET('FPSO1 Base'!Q251,-'FPSO1 Otim'!Q$3,0))</f>
        <v>380.952</v>
      </c>
      <c r="R254" s="19">
        <f ca="1">IF($A254-R$3&lt;2,0,OFFSET('FPSO1 Base'!R251,-'FPSO1 Otim'!R$3,0))</f>
        <v>50.245671882699412</v>
      </c>
      <c r="S254" s="19">
        <f ca="1">IF($A254-S$3&lt;2,0,OFFSET('FPSO1 Base'!S251,-'FPSO1 Otim'!S$3,0))</f>
        <v>323.06849999999997</v>
      </c>
      <c r="T254" s="19">
        <f ca="1">IF($A254-T$3&lt;2,0,OFFSET('FPSO1 Base'!T251,-'FPSO1 Otim'!T$3,0))</f>
        <v>580.37850000000003</v>
      </c>
      <c r="U254" s="19">
        <f ca="1">IF($A254-U$3&lt;2,0,OFFSET('FPSO1 Base'!U251,-'FPSO1 Otim'!U$3,0))</f>
        <v>593.80649999999991</v>
      </c>
      <c r="V254" s="19">
        <f ca="1">IF($A254-V$3&lt;2,0,OFFSET('FPSO1 Base'!V251,-'FPSO1 Otim'!V$3,0))</f>
        <v>416.80649999999997</v>
      </c>
      <c r="W254" s="19">
        <f ca="1">IF($A254-W$3&lt;2,0,OFFSET('FPSO1 Base'!W251,-'FPSO1 Otim'!W$3,0))</f>
        <v>246.9915</v>
      </c>
      <c r="X254" s="19">
        <f ca="1">IF($A254-X$3&lt;2,0,OFFSET('FPSO1 Base'!X251,-'FPSO1 Otim'!X$3,0))</f>
        <v>805.83899999999994</v>
      </c>
      <c r="Y254" s="19">
        <f ca="1">IF($A254-Y$3&lt;2,0,OFFSET('FPSO1 Base'!Y251,-'FPSO1 Otim'!Y$3,0))</f>
        <v>455.82449999999994</v>
      </c>
      <c r="Z254" s="19">
        <f ca="1">IF($A254-Z$3&lt;2,0,OFFSET('FPSO1 Base'!Z251,-'FPSO1 Otim'!Z$3,0))</f>
        <v>395.09999999999997</v>
      </c>
      <c r="AA254" s="20">
        <v>15000</v>
      </c>
      <c r="AB254" s="19">
        <f t="shared" ca="1" si="13"/>
        <v>8787.3716375225849</v>
      </c>
      <c r="AC254" s="20">
        <f t="shared" ca="1" si="14"/>
        <v>6212.6283624774151</v>
      </c>
      <c r="AD254" s="19">
        <f t="shared" ca="1" si="15"/>
        <v>1122.1119189003612</v>
      </c>
    </row>
    <row r="255" spans="1:30" x14ac:dyDescent="0.25">
      <c r="A255" s="19">
        <v>251</v>
      </c>
      <c r="B255" s="31">
        <v>53236</v>
      </c>
      <c r="C255" s="19">
        <f ca="1">IF($A255-C$3&lt;2,0,OFFSET('FPSO1 Base'!C252,-'FPSO1 Otim'!C$3,0))</f>
        <v>737.43000000000006</v>
      </c>
      <c r="D255" s="19">
        <f ca="1">IF($A255-D$3&lt;2,0,OFFSET('FPSO1 Base'!D252,-'FPSO1 Otim'!D$3,0))</f>
        <v>128.89350000000002</v>
      </c>
      <c r="E255" s="19">
        <f ca="1">IF($A255-E$3&lt;2,0,OFFSET('FPSO1 Base'!E252,-'FPSO1 Otim'!E$3,0))</f>
        <v>358.572</v>
      </c>
      <c r="F255" s="19">
        <f ca="1">IF($A255-F$3&lt;2,0,OFFSET('FPSO1 Base'!F252,-'FPSO1 Otim'!F$3,0))</f>
        <v>378.96750000000003</v>
      </c>
      <c r="G255" s="19">
        <f ca="1">IF($A255-G$3&lt;2,0,OFFSET('FPSO1 Base'!G252,-'FPSO1 Otim'!G$3,0))</f>
        <v>145.45650000000001</v>
      </c>
      <c r="H255" s="19">
        <f ca="1">IF($A255-H$3&lt;2,0,OFFSET('FPSO1 Base'!H252,-'FPSO1 Otim'!H$3,0))</f>
        <v>583.24350000000004</v>
      </c>
      <c r="I255" s="19">
        <f ca="1">IF($A255-I$3&lt;2,0,OFFSET('FPSO1 Base'!I252,-'FPSO1 Otim'!I$3,0))</f>
        <v>454.572</v>
      </c>
      <c r="J255" s="19">
        <f ca="1">IF($A255-J$3&lt;2,0,OFFSET('FPSO1 Base'!J252,-'FPSO1 Otim'!J$3,0))</f>
        <v>248.12850000000003</v>
      </c>
      <c r="K255" s="19">
        <f ca="1">IF($A255-K$3&lt;2,0,OFFSET('FPSO1 Base'!K252,-'FPSO1 Otim'!K$3,0))</f>
        <v>291.072</v>
      </c>
      <c r="L255" s="19">
        <f ca="1">IF($A255-L$3&lt;2,0,OFFSET('FPSO1 Base'!L252,-'FPSO1 Otim'!L$3,0))</f>
        <v>319.077</v>
      </c>
      <c r="M255" s="19">
        <f ca="1">IF($A255-M$3&lt;2,0,OFFSET('FPSO1 Base'!M252,-'FPSO1 Otim'!M$3,0))</f>
        <v>417.59249999999997</v>
      </c>
      <c r="N255" s="19">
        <f ca="1">IF($A255-N$3&lt;2,0,OFFSET('FPSO1 Base'!N252,-'FPSO1 Otim'!N$3,0))</f>
        <v>28.026888307985288</v>
      </c>
      <c r="O255" s="19">
        <f ca="1">IF($A255-O$3&lt;2,0,OFFSET('FPSO1 Base'!O252,-'FPSO1 Otim'!O$3,0))</f>
        <v>316.64550000000003</v>
      </c>
      <c r="P255" s="19">
        <f ca="1">IF($A255-P$3&lt;2,0,OFFSET('FPSO1 Base'!P252,-'FPSO1 Otim'!P$3,0))</f>
        <v>159.78350267549999</v>
      </c>
      <c r="Q255" s="19">
        <f ca="1">IF($A255-Q$3&lt;2,0,OFFSET('FPSO1 Base'!Q252,-'FPSO1 Otim'!Q$3,0))</f>
        <v>380.44349999999997</v>
      </c>
      <c r="R255" s="19">
        <f ca="1">IF($A255-R$3&lt;2,0,OFFSET('FPSO1 Base'!R252,-'FPSO1 Otim'!R$3,0))</f>
        <v>49.743215163872421</v>
      </c>
      <c r="S255" s="19">
        <f ca="1">IF($A255-S$3&lt;2,0,OFFSET('FPSO1 Base'!S252,-'FPSO1 Otim'!S$3,0))</f>
        <v>321.17400000000004</v>
      </c>
      <c r="T255" s="19">
        <f ca="1">IF($A255-T$3&lt;2,0,OFFSET('FPSO1 Base'!T252,-'FPSO1 Otim'!T$3,0))</f>
        <v>580.452</v>
      </c>
      <c r="U255" s="19">
        <f ca="1">IF($A255-U$3&lt;2,0,OFFSET('FPSO1 Base'!U252,-'FPSO1 Otim'!U$3,0))</f>
        <v>590.3309999999999</v>
      </c>
      <c r="V255" s="19">
        <f ca="1">IF($A255-V$3&lt;2,0,OFFSET('FPSO1 Base'!V252,-'FPSO1 Otim'!V$3,0))</f>
        <v>414.91949999999997</v>
      </c>
      <c r="W255" s="19">
        <f ca="1">IF($A255-W$3&lt;2,0,OFFSET('FPSO1 Base'!W252,-'FPSO1 Otim'!W$3,0))</f>
        <v>246.64949999999999</v>
      </c>
      <c r="X255" s="19">
        <f ca="1">IF($A255-X$3&lt;2,0,OFFSET('FPSO1 Base'!X252,-'FPSO1 Otim'!X$3,0))</f>
        <v>802.94999999999993</v>
      </c>
      <c r="Y255" s="19">
        <f ca="1">IF($A255-Y$3&lt;2,0,OFFSET('FPSO1 Base'!Y252,-'FPSO1 Otim'!Y$3,0))</f>
        <v>455.10450000000003</v>
      </c>
      <c r="Z255" s="19">
        <f ca="1">IF($A255-Z$3&lt;2,0,OFFSET('FPSO1 Base'!Z252,-'FPSO1 Otim'!Z$3,0))</f>
        <v>393.09749999999997</v>
      </c>
      <c r="AA255" s="20">
        <v>15000</v>
      </c>
      <c r="AB255" s="19">
        <f t="shared" ca="1" si="13"/>
        <v>8802.3256061473585</v>
      </c>
      <c r="AC255" s="20">
        <f t="shared" ca="1" si="14"/>
        <v>6197.6743938526415</v>
      </c>
      <c r="AD255" s="19">
        <f t="shared" ca="1" si="15"/>
        <v>1114.7320466626409</v>
      </c>
    </row>
    <row r="256" spans="1:30" x14ac:dyDescent="0.25">
      <c r="A256" s="19">
        <v>252</v>
      </c>
      <c r="B256" s="31">
        <v>53267</v>
      </c>
      <c r="C256" s="19">
        <f ca="1">IF($A256-C$3&lt;2,0,OFFSET('FPSO1 Base'!C253,-'FPSO1 Otim'!C$3,0))</f>
        <v>730.10249999999996</v>
      </c>
      <c r="D256" s="19">
        <f ca="1">IF($A256-D$3&lt;2,0,OFFSET('FPSO1 Base'!D253,-'FPSO1 Otim'!D$3,0))</f>
        <v>128.23349999999999</v>
      </c>
      <c r="E256" s="19">
        <f ca="1">IF($A256-E$3&lt;2,0,OFFSET('FPSO1 Base'!E253,-'FPSO1 Otim'!E$3,0))</f>
        <v>356.75400000000002</v>
      </c>
      <c r="F256" s="19">
        <f ca="1">IF($A256-F$3&lt;2,0,OFFSET('FPSO1 Base'!F253,-'FPSO1 Otim'!F$3,0))</f>
        <v>376.99950000000001</v>
      </c>
      <c r="G256" s="19">
        <f ca="1">IF($A256-G$3&lt;2,0,OFFSET('FPSO1 Base'!G253,-'FPSO1 Otim'!G$3,0))</f>
        <v>145.49099999999999</v>
      </c>
      <c r="H256" s="19">
        <f ca="1">IF($A256-H$3&lt;2,0,OFFSET('FPSO1 Base'!H253,-'FPSO1 Otim'!H$3,0))</f>
        <v>582.90750000000003</v>
      </c>
      <c r="I256" s="19">
        <f ca="1">IF($A256-I$3&lt;2,0,OFFSET('FPSO1 Base'!I253,-'FPSO1 Otim'!I$3,0))</f>
        <v>454.089</v>
      </c>
      <c r="J256" s="19">
        <f ca="1">IF($A256-J$3&lt;2,0,OFFSET('FPSO1 Base'!J253,-'FPSO1 Otim'!J$3,0))</f>
        <v>247.72500000000002</v>
      </c>
      <c r="K256" s="19">
        <f ca="1">IF($A256-K$3&lt;2,0,OFFSET('FPSO1 Base'!K253,-'FPSO1 Otim'!K$3,0))</f>
        <v>294.786</v>
      </c>
      <c r="L256" s="19">
        <f ca="1">IF($A256-L$3&lt;2,0,OFFSET('FPSO1 Base'!L253,-'FPSO1 Otim'!L$3,0))</f>
        <v>317.94</v>
      </c>
      <c r="M256" s="19">
        <f ca="1">IF($A256-M$3&lt;2,0,OFFSET('FPSO1 Base'!M253,-'FPSO1 Otim'!M$3,0))</f>
        <v>414.98700000000002</v>
      </c>
      <c r="N256" s="19">
        <f ca="1">IF($A256-N$3&lt;2,0,OFFSET('FPSO1 Base'!N253,-'FPSO1 Otim'!N$3,0))</f>
        <v>27.746619424905436</v>
      </c>
      <c r="O256" s="19">
        <f ca="1">IF($A256-O$3&lt;2,0,OFFSET('FPSO1 Base'!O253,-'FPSO1 Otim'!O$3,0))</f>
        <v>315.23250000000002</v>
      </c>
      <c r="P256" s="19">
        <f ca="1">IF($A256-P$3&lt;2,0,OFFSET('FPSO1 Base'!P253,-'FPSO1 Otim'!P$3,0))</f>
        <v>158.18566764874498</v>
      </c>
      <c r="Q256" s="19">
        <f ca="1">IF($A256-Q$3&lt;2,0,OFFSET('FPSO1 Base'!Q253,-'FPSO1 Otim'!Q$3,0))</f>
        <v>380.02050000000003</v>
      </c>
      <c r="R256" s="19">
        <f ca="1">IF($A256-R$3&lt;2,0,OFFSET('FPSO1 Base'!R253,-'FPSO1 Otim'!R$3,0))</f>
        <v>49.245783012233694</v>
      </c>
      <c r="S256" s="19">
        <f ca="1">IF($A256-S$3&lt;2,0,OFFSET('FPSO1 Base'!S253,-'FPSO1 Otim'!S$3,0))</f>
        <v>319.68150000000003</v>
      </c>
      <c r="T256" s="19">
        <f ca="1">IF($A256-T$3&lt;2,0,OFFSET('FPSO1 Base'!T253,-'FPSO1 Otim'!T$3,0))</f>
        <v>580.59300000000007</v>
      </c>
      <c r="U256" s="19">
        <f ca="1">IF($A256-U$3&lt;2,0,OFFSET('FPSO1 Base'!U253,-'FPSO1 Otim'!U$3,0))</f>
        <v>587.46749999999997</v>
      </c>
      <c r="V256" s="19">
        <f ca="1">IF($A256-V$3&lt;2,0,OFFSET('FPSO1 Base'!V253,-'FPSO1 Otim'!V$3,0))</f>
        <v>412.95000000000005</v>
      </c>
      <c r="W256" s="19">
        <f ca="1">IF($A256-W$3&lt;2,0,OFFSET('FPSO1 Base'!W253,-'FPSO1 Otim'!W$3,0))</f>
        <v>246.26549999999997</v>
      </c>
      <c r="X256" s="19">
        <f ca="1">IF($A256-X$3&lt;2,0,OFFSET('FPSO1 Base'!X253,-'FPSO1 Otim'!X$3,0))</f>
        <v>799.88700000000006</v>
      </c>
      <c r="Y256" s="19">
        <f ca="1">IF($A256-Y$3&lt;2,0,OFFSET('FPSO1 Base'!Y253,-'FPSO1 Otim'!Y$3,0))</f>
        <v>454.58699999999999</v>
      </c>
      <c r="Z256" s="19">
        <f ca="1">IF($A256-Z$3&lt;2,0,OFFSET('FPSO1 Base'!Z253,-'FPSO1 Otim'!Z$3,0))</f>
        <v>391.101</v>
      </c>
      <c r="AA256" s="20">
        <v>15000</v>
      </c>
      <c r="AB256" s="19">
        <f t="shared" ca="1" si="13"/>
        <v>8772.9785700858847</v>
      </c>
      <c r="AC256" s="20">
        <f t="shared" ca="1" si="14"/>
        <v>6227.0214299141153</v>
      </c>
      <c r="AD256" s="19">
        <f t="shared" ca="1" si="15"/>
        <v>1101.8335731296618</v>
      </c>
    </row>
    <row r="257" spans="1:30" x14ac:dyDescent="0.25">
      <c r="A257" s="19">
        <v>253</v>
      </c>
      <c r="B257" s="31">
        <v>53297</v>
      </c>
      <c r="C257" s="19">
        <f ca="1">IF($A257-C$3&lt;2,0,OFFSET('FPSO1 Base'!C254,-'FPSO1 Otim'!C$3,0))</f>
        <v>723.06600000000003</v>
      </c>
      <c r="D257" s="19">
        <f ca="1">IF($A257-D$3&lt;2,0,OFFSET('FPSO1 Base'!D254,-'FPSO1 Otim'!D$3,0))</f>
        <v>127.563</v>
      </c>
      <c r="E257" s="19">
        <f ca="1">IF($A257-E$3&lt;2,0,OFFSET('FPSO1 Base'!E254,-'FPSO1 Otim'!E$3,0))</f>
        <v>355.185</v>
      </c>
      <c r="F257" s="19">
        <f ca="1">IF($A257-F$3&lt;2,0,OFFSET('FPSO1 Base'!F254,-'FPSO1 Otim'!F$3,0))</f>
        <v>375.702</v>
      </c>
      <c r="G257" s="19">
        <f ca="1">IF($A257-G$3&lt;2,0,OFFSET('FPSO1 Base'!G254,-'FPSO1 Otim'!G$3,0))</f>
        <v>145.27350000000001</v>
      </c>
      <c r="H257" s="19">
        <f ca="1">IF($A257-H$3&lt;2,0,OFFSET('FPSO1 Base'!H254,-'FPSO1 Otim'!H$3,0))</f>
        <v>582.34649999999999</v>
      </c>
      <c r="I257" s="19">
        <f ca="1">IF($A257-I$3&lt;2,0,OFFSET('FPSO1 Base'!I254,-'FPSO1 Otim'!I$3,0))</f>
        <v>453.55050000000006</v>
      </c>
      <c r="J257" s="19">
        <f ca="1">IF($A257-J$3&lt;2,0,OFFSET('FPSO1 Base'!J254,-'FPSO1 Otim'!J$3,0))</f>
        <v>247.35449999999997</v>
      </c>
      <c r="K257" s="19">
        <f ca="1">IF($A257-K$3&lt;2,0,OFFSET('FPSO1 Base'!K254,-'FPSO1 Otim'!K$3,0))</f>
        <v>288.5505</v>
      </c>
      <c r="L257" s="19">
        <f ca="1">IF($A257-L$3&lt;2,0,OFFSET('FPSO1 Base'!L254,-'FPSO1 Otim'!L$3,0))</f>
        <v>316.59300000000002</v>
      </c>
      <c r="M257" s="19">
        <f ca="1">IF($A257-M$3&lt;2,0,OFFSET('FPSO1 Base'!M254,-'FPSO1 Otim'!M$3,0))</f>
        <v>413.02049999999997</v>
      </c>
      <c r="N257" s="19">
        <f ca="1">IF($A257-N$3&lt;2,0,OFFSET('FPSO1 Base'!N254,-'FPSO1 Otim'!N$3,0))</f>
        <v>27.469153230656381</v>
      </c>
      <c r="O257" s="19">
        <f ca="1">IF($A257-O$3&lt;2,0,OFFSET('FPSO1 Base'!O254,-'FPSO1 Otim'!O$3,0))</f>
        <v>314.15250000000003</v>
      </c>
      <c r="P257" s="19">
        <f ca="1">IF($A257-P$3&lt;2,0,OFFSET('FPSO1 Base'!P254,-'FPSO1 Otim'!P$3,0))</f>
        <v>156.60381097225752</v>
      </c>
      <c r="Q257" s="19">
        <f ca="1">IF($A257-Q$3&lt;2,0,OFFSET('FPSO1 Base'!Q254,-'FPSO1 Otim'!Q$3,0))</f>
        <v>379.54949999999997</v>
      </c>
      <c r="R257" s="19">
        <f ca="1">IF($A257-R$3&lt;2,0,OFFSET('FPSO1 Base'!R254,-'FPSO1 Otim'!R$3,0))</f>
        <v>48.753325182111354</v>
      </c>
      <c r="S257" s="19">
        <f ca="1">IF($A257-S$3&lt;2,0,OFFSET('FPSO1 Base'!S254,-'FPSO1 Otim'!S$3,0))</f>
        <v>317.93700000000001</v>
      </c>
      <c r="T257" s="19">
        <f ca="1">IF($A257-T$3&lt;2,0,OFFSET('FPSO1 Base'!T254,-'FPSO1 Otim'!T$3,0))</f>
        <v>580.66949999999997</v>
      </c>
      <c r="U257" s="19">
        <f ca="1">IF($A257-U$3&lt;2,0,OFFSET('FPSO1 Base'!U254,-'FPSO1 Otim'!U$3,0))</f>
        <v>584.14949999999999</v>
      </c>
      <c r="V257" s="19">
        <f ca="1">IF($A257-V$3&lt;2,0,OFFSET('FPSO1 Base'!V254,-'FPSO1 Otim'!V$3,0))</f>
        <v>411.58050000000003</v>
      </c>
      <c r="W257" s="19">
        <f ca="1">IF($A257-W$3&lt;2,0,OFFSET('FPSO1 Base'!W254,-'FPSO1 Otim'!W$3,0))</f>
        <v>245.928</v>
      </c>
      <c r="X257" s="19">
        <f ca="1">IF($A257-X$3&lt;2,0,OFFSET('FPSO1 Base'!X254,-'FPSO1 Otim'!X$3,0))</f>
        <v>797.80049999999994</v>
      </c>
      <c r="Y257" s="19">
        <f ca="1">IF($A257-Y$3&lt;2,0,OFFSET('FPSO1 Base'!Y254,-'FPSO1 Otim'!Y$3,0))</f>
        <v>454.089</v>
      </c>
      <c r="Z257" s="19">
        <f ca="1">IF($A257-Z$3&lt;2,0,OFFSET('FPSO1 Base'!Z254,-'FPSO1 Otim'!Z$3,0))</f>
        <v>389.07449999999994</v>
      </c>
      <c r="AA257" s="20">
        <v>15000</v>
      </c>
      <c r="AB257" s="19">
        <f t="shared" ca="1" si="13"/>
        <v>8735.9617893850263</v>
      </c>
      <c r="AC257" s="20">
        <f t="shared" ca="1" si="14"/>
        <v>6264.0382106149737</v>
      </c>
      <c r="AD257" s="19">
        <f t="shared" ca="1" si="15"/>
        <v>1088.1168467518155</v>
      </c>
    </row>
    <row r="258" spans="1:30" x14ac:dyDescent="0.25">
      <c r="A258" s="19">
        <v>254</v>
      </c>
      <c r="B258" s="31">
        <v>53328</v>
      </c>
      <c r="C258" s="19">
        <f ca="1">IF($A258-C$3&lt;2,0,OFFSET('FPSO1 Base'!C255,-'FPSO1 Otim'!C$3,0))</f>
        <v>716.52149999999995</v>
      </c>
      <c r="D258" s="19">
        <f ca="1">IF($A258-D$3&lt;2,0,OFFSET('FPSO1 Base'!D255,-'FPSO1 Otim'!D$3,0))</f>
        <v>126.88649999999998</v>
      </c>
      <c r="E258" s="19">
        <f ca="1">IF($A258-E$3&lt;2,0,OFFSET('FPSO1 Base'!E255,-'FPSO1 Otim'!E$3,0))</f>
        <v>353.50049999999999</v>
      </c>
      <c r="F258" s="19">
        <f ca="1">IF($A258-F$3&lt;2,0,OFFSET('FPSO1 Base'!F255,-'FPSO1 Otim'!F$3,0))</f>
        <v>373.79999999999995</v>
      </c>
      <c r="G258" s="19">
        <f ca="1">IF($A258-G$3&lt;2,0,OFFSET('FPSO1 Base'!G255,-'FPSO1 Otim'!G$3,0))</f>
        <v>145.07399999999998</v>
      </c>
      <c r="H258" s="19">
        <f ca="1">IF($A258-H$3&lt;2,0,OFFSET('FPSO1 Base'!H255,-'FPSO1 Otim'!H$3,0))</f>
        <v>581.78700000000003</v>
      </c>
      <c r="I258" s="19">
        <f ca="1">IF($A258-I$3&lt;2,0,OFFSET('FPSO1 Base'!I255,-'FPSO1 Otim'!I$3,0))</f>
        <v>453</v>
      </c>
      <c r="J258" s="19">
        <f ca="1">IF($A258-J$3&lt;2,0,OFFSET('FPSO1 Base'!J255,-'FPSO1 Otim'!J$3,0))</f>
        <v>246.94349999999997</v>
      </c>
      <c r="K258" s="19">
        <f ca="1">IF($A258-K$3&lt;2,0,OFFSET('FPSO1 Base'!K255,-'FPSO1 Otim'!K$3,0))</f>
        <v>284.90250000000003</v>
      </c>
      <c r="L258" s="19">
        <f ca="1">IF($A258-L$3&lt;2,0,OFFSET('FPSO1 Base'!L255,-'FPSO1 Otim'!L$3,0))</f>
        <v>315.50850000000003</v>
      </c>
      <c r="M258" s="19">
        <f ca="1">IF($A258-M$3&lt;2,0,OFFSET('FPSO1 Base'!M255,-'FPSO1 Otim'!M$3,0))</f>
        <v>410.54999999999995</v>
      </c>
      <c r="N258" s="19">
        <f ca="1">IF($A258-N$3&lt;2,0,OFFSET('FPSO1 Base'!N255,-'FPSO1 Otim'!N$3,0))</f>
        <v>27.194461698349816</v>
      </c>
      <c r="O258" s="19">
        <f ca="1">IF($A258-O$3&lt;2,0,OFFSET('FPSO1 Base'!O255,-'FPSO1 Otim'!O$3,0))</f>
        <v>312.9255</v>
      </c>
      <c r="P258" s="19">
        <f ca="1">IF($A258-P$3&lt;2,0,OFFSET('FPSO1 Base'!P255,-'FPSO1 Otim'!P$3,0))</f>
        <v>155.03777286253495</v>
      </c>
      <c r="Q258" s="19">
        <f ca="1">IF($A258-Q$3&lt;2,0,OFFSET('FPSO1 Base'!Q255,-'FPSO1 Otim'!Q$3,0))</f>
        <v>379.125</v>
      </c>
      <c r="R258" s="19">
        <f ca="1">IF($A258-R$3&lt;2,0,OFFSET('FPSO1 Base'!R255,-'FPSO1 Otim'!R$3,0))</f>
        <v>48.265791930290241</v>
      </c>
      <c r="S258" s="19">
        <f ca="1">IF($A258-S$3&lt;2,0,OFFSET('FPSO1 Base'!S255,-'FPSO1 Otim'!S$3,0))</f>
        <v>316.37850000000003</v>
      </c>
      <c r="T258" s="19">
        <f ca="1">IF($A258-T$3&lt;2,0,OFFSET('FPSO1 Base'!T255,-'FPSO1 Otim'!T$3,0))</f>
        <v>580.75049999999999</v>
      </c>
      <c r="U258" s="19">
        <f ca="1">IF($A258-U$3&lt;2,0,OFFSET('FPSO1 Base'!U255,-'FPSO1 Otim'!U$3,0))</f>
        <v>581.10450000000003</v>
      </c>
      <c r="V258" s="19">
        <f ca="1">IF($A258-V$3&lt;2,0,OFFSET('FPSO1 Base'!V255,-'FPSO1 Otim'!V$3,0))</f>
        <v>409.79999999999995</v>
      </c>
      <c r="W258" s="19">
        <f ca="1">IF($A258-W$3&lt;2,0,OFFSET('FPSO1 Base'!W255,-'FPSO1 Otim'!W$3,0))</f>
        <v>245.57550000000003</v>
      </c>
      <c r="X258" s="19">
        <f ca="1">IF($A258-X$3&lt;2,0,OFFSET('FPSO1 Base'!X255,-'FPSO1 Otim'!X$3,0))</f>
        <v>796.25850000000014</v>
      </c>
      <c r="Y258" s="19">
        <f ca="1">IF($A258-Y$3&lt;2,0,OFFSET('FPSO1 Base'!Y255,-'FPSO1 Otim'!Y$3,0))</f>
        <v>453.59249999999997</v>
      </c>
      <c r="Z258" s="19">
        <f ca="1">IF($A258-Z$3&lt;2,0,OFFSET('FPSO1 Base'!Z255,-'FPSO1 Otim'!Z$3,0))</f>
        <v>387.25349999999997</v>
      </c>
      <c r="AA258" s="20">
        <v>15000</v>
      </c>
      <c r="AB258" s="19">
        <f t="shared" ca="1" si="13"/>
        <v>8701.7360264911767</v>
      </c>
      <c r="AC258" s="20">
        <f t="shared" ca="1" si="14"/>
        <v>6298.2639735088233</v>
      </c>
      <c r="AD258" s="19">
        <f t="shared" ca="1" si="15"/>
        <v>1074.8963515045518</v>
      </c>
    </row>
    <row r="259" spans="1:30" x14ac:dyDescent="0.25">
      <c r="A259" s="19">
        <v>255</v>
      </c>
      <c r="B259" s="31">
        <v>53359</v>
      </c>
      <c r="C259" s="19">
        <f ca="1">IF($A259-C$3&lt;2,0,OFFSET('FPSO1 Base'!C256,-'FPSO1 Otim'!C$3,0))</f>
        <v>710.75249999999994</v>
      </c>
      <c r="D259" s="19">
        <f ca="1">IF($A259-D$3&lt;2,0,OFFSET('FPSO1 Base'!D256,-'FPSO1 Otim'!D$3,0))</f>
        <v>126.27000000000001</v>
      </c>
      <c r="E259" s="19">
        <f ca="1">IF($A259-E$3&lt;2,0,OFFSET('FPSO1 Base'!E256,-'FPSO1 Otim'!E$3,0))</f>
        <v>351.90749999999997</v>
      </c>
      <c r="F259" s="19">
        <f ca="1">IF($A259-F$3&lt;2,0,OFFSET('FPSO1 Base'!F256,-'FPSO1 Otim'!F$3,0))</f>
        <v>371.613</v>
      </c>
      <c r="G259" s="19">
        <f ca="1">IF($A259-G$3&lt;2,0,OFFSET('FPSO1 Base'!G256,-'FPSO1 Otim'!G$3,0))</f>
        <v>144.24</v>
      </c>
      <c r="H259" s="19">
        <f ca="1">IF($A259-H$3&lt;2,0,OFFSET('FPSO1 Base'!H256,-'FPSO1 Otim'!H$3,0))</f>
        <v>581.23649999999998</v>
      </c>
      <c r="I259" s="19">
        <f ca="1">IF($A259-I$3&lt;2,0,OFFSET('FPSO1 Base'!I256,-'FPSO1 Otim'!I$3,0))</f>
        <v>452.42550000000006</v>
      </c>
      <c r="J259" s="19">
        <f ca="1">IF($A259-J$3&lt;2,0,OFFSET('FPSO1 Base'!J256,-'FPSO1 Otim'!J$3,0))</f>
        <v>246.52499999999998</v>
      </c>
      <c r="K259" s="19">
        <f ca="1">IF($A259-K$3&lt;2,0,OFFSET('FPSO1 Base'!K256,-'FPSO1 Otim'!K$3,0))</f>
        <v>282.21299999999997</v>
      </c>
      <c r="L259" s="19">
        <f ca="1">IF($A259-L$3&lt;2,0,OFFSET('FPSO1 Base'!L256,-'FPSO1 Otim'!L$3,0))</f>
        <v>314.238</v>
      </c>
      <c r="M259" s="19">
        <f ca="1">IF($A259-M$3&lt;2,0,OFFSET('FPSO1 Base'!M256,-'FPSO1 Otim'!M$3,0))</f>
        <v>407.80649999999997</v>
      </c>
      <c r="N259" s="19">
        <f ca="1">IF($A259-N$3&lt;2,0,OFFSET('FPSO1 Base'!N256,-'FPSO1 Otim'!N$3,0))</f>
        <v>26.922517081366319</v>
      </c>
      <c r="O259" s="19">
        <f ca="1">IF($A259-O$3&lt;2,0,OFFSET('FPSO1 Base'!O256,-'FPSO1 Otim'!O$3,0))</f>
        <v>311.85449999999997</v>
      </c>
      <c r="P259" s="19">
        <f ca="1">IF($A259-P$3&lt;2,0,OFFSET('FPSO1 Base'!P256,-'FPSO1 Otim'!P$3,0))</f>
        <v>153.48739513390959</v>
      </c>
      <c r="Q259" s="19">
        <f ca="1">IF($A259-Q$3&lt;2,0,OFFSET('FPSO1 Base'!Q256,-'FPSO1 Otim'!Q$3,0))</f>
        <v>378.68700000000001</v>
      </c>
      <c r="R259" s="19">
        <f ca="1">IF($A259-R$3&lt;2,0,OFFSET('FPSO1 Base'!R256,-'FPSO1 Otim'!R$3,0))</f>
        <v>47.783134010987339</v>
      </c>
      <c r="S259" s="19">
        <f ca="1">IF($A259-S$3&lt;2,0,OFFSET('FPSO1 Base'!S256,-'FPSO1 Otim'!S$3,0))</f>
        <v>314.66250000000002</v>
      </c>
      <c r="T259" s="19">
        <f ca="1">IF($A259-T$3&lt;2,0,OFFSET('FPSO1 Base'!T256,-'FPSO1 Otim'!T$3,0))</f>
        <v>580.74149999999997</v>
      </c>
      <c r="U259" s="19">
        <f ca="1">IF($A259-U$3&lt;2,0,OFFSET('FPSO1 Base'!U256,-'FPSO1 Otim'!U$3,0))</f>
        <v>577.95000000000005</v>
      </c>
      <c r="V259" s="19">
        <f ca="1">IF($A259-V$3&lt;2,0,OFFSET('FPSO1 Base'!V256,-'FPSO1 Otim'!V$3,0))</f>
        <v>407.46749999999997</v>
      </c>
      <c r="W259" s="19">
        <f ca="1">IF($A259-W$3&lt;2,0,OFFSET('FPSO1 Base'!W256,-'FPSO1 Otim'!W$3,0))</f>
        <v>245.274</v>
      </c>
      <c r="X259" s="19">
        <f ca="1">IF($A259-X$3&lt;2,0,OFFSET('FPSO1 Base'!X256,-'FPSO1 Otim'!X$3,0))</f>
        <v>795</v>
      </c>
      <c r="Y259" s="19">
        <f ca="1">IF($A259-Y$3&lt;2,0,OFFSET('FPSO1 Base'!Y256,-'FPSO1 Otim'!Y$3,0))</f>
        <v>453.01199999999994</v>
      </c>
      <c r="Z259" s="19">
        <f ca="1">IF($A259-Z$3&lt;2,0,OFFSET('FPSO1 Base'!Z256,-'FPSO1 Otim'!Z$3,0))</f>
        <v>385.24950000000001</v>
      </c>
      <c r="AA259" s="20">
        <v>15000</v>
      </c>
      <c r="AB259" s="19">
        <f t="shared" ca="1" si="13"/>
        <v>8667.3190462262628</v>
      </c>
      <c r="AC259" s="20">
        <f t="shared" ca="1" si="14"/>
        <v>6332.6809537737372</v>
      </c>
      <c r="AD259" s="19">
        <f t="shared" ca="1" si="15"/>
        <v>1061.7966317630323</v>
      </c>
    </row>
    <row r="260" spans="1:30" x14ac:dyDescent="0.25">
      <c r="A260" s="19">
        <v>256</v>
      </c>
      <c r="B260" s="31">
        <v>53387</v>
      </c>
      <c r="C260" s="19">
        <f ca="1">IF($A260-C$3&lt;2,0,OFFSET('FPSO1 Base'!C257,-'FPSO1 Otim'!C$3,0))</f>
        <v>705.01499999999999</v>
      </c>
      <c r="D260" s="19">
        <f ca="1">IF($A260-D$3&lt;2,0,OFFSET('FPSO1 Base'!D257,-'FPSO1 Otim'!D$3,0))</f>
        <v>125.62200000000001</v>
      </c>
      <c r="E260" s="19">
        <f ca="1">IF($A260-E$3&lt;2,0,OFFSET('FPSO1 Base'!E257,-'FPSO1 Otim'!E$3,0))</f>
        <v>350.238</v>
      </c>
      <c r="F260" s="19">
        <f ca="1">IF($A260-F$3&lt;2,0,OFFSET('FPSO1 Base'!F257,-'FPSO1 Otim'!F$3,0))</f>
        <v>369.89550000000003</v>
      </c>
      <c r="G260" s="19">
        <f ca="1">IF($A260-G$3&lt;2,0,OFFSET('FPSO1 Base'!G257,-'FPSO1 Otim'!G$3,0))</f>
        <v>144.26249999999999</v>
      </c>
      <c r="H260" s="19">
        <f ca="1">IF($A260-H$3&lt;2,0,OFFSET('FPSO1 Base'!H257,-'FPSO1 Otim'!H$3,0))</f>
        <v>580.6155</v>
      </c>
      <c r="I260" s="19">
        <f ca="1">IF($A260-I$3&lt;2,0,OFFSET('FPSO1 Base'!I257,-'FPSO1 Otim'!I$3,0))</f>
        <v>451.76550000000003</v>
      </c>
      <c r="J260" s="19">
        <f ca="1">IF($A260-J$3&lt;2,0,OFFSET('FPSO1 Base'!J257,-'FPSO1 Otim'!J$3,0))</f>
        <v>246.1695</v>
      </c>
      <c r="K260" s="19">
        <f ca="1">IF($A260-K$3&lt;2,0,OFFSET('FPSO1 Base'!K257,-'FPSO1 Otim'!K$3,0))</f>
        <v>280.089</v>
      </c>
      <c r="L260" s="19">
        <f ca="1">IF($A260-L$3&lt;2,0,OFFSET('FPSO1 Base'!L257,-'FPSO1 Otim'!L$3,0))</f>
        <v>313.065</v>
      </c>
      <c r="M260" s="19">
        <f ca="1">IF($A260-M$3&lt;2,0,OFFSET('FPSO1 Base'!M257,-'FPSO1 Otim'!M$3,0))</f>
        <v>405.411</v>
      </c>
      <c r="N260" s="19">
        <f ca="1">IF($A260-N$3&lt;2,0,OFFSET('FPSO1 Base'!N257,-'FPSO1 Otim'!N$3,0))</f>
        <v>26.653291910552657</v>
      </c>
      <c r="O260" s="19">
        <f ca="1">IF($A260-O$3&lt;2,0,OFFSET('FPSO1 Base'!O257,-'FPSO1 Otim'!O$3,0))</f>
        <v>310.6995</v>
      </c>
      <c r="P260" s="19">
        <f ca="1">IF($A260-P$3&lt;2,0,OFFSET('FPSO1 Base'!P257,-'FPSO1 Otim'!P$3,0))</f>
        <v>151.95252118257048</v>
      </c>
      <c r="Q260" s="19">
        <f ca="1">IF($A260-Q$3&lt;2,0,OFFSET('FPSO1 Base'!Q257,-'FPSO1 Otim'!Q$3,0))</f>
        <v>378.48450000000003</v>
      </c>
      <c r="R260" s="19">
        <f ca="1">IF($A260-R$3&lt;2,0,OFFSET('FPSO1 Base'!R257,-'FPSO1 Otim'!R$3,0))</f>
        <v>47.305302670877467</v>
      </c>
      <c r="S260" s="19">
        <f ca="1">IF($A260-S$3&lt;2,0,OFFSET('FPSO1 Base'!S257,-'FPSO1 Otim'!S$3,0))</f>
        <v>313.089</v>
      </c>
      <c r="T260" s="19">
        <f ca="1">IF($A260-T$3&lt;2,0,OFFSET('FPSO1 Base'!T257,-'FPSO1 Otim'!T$3,0))</f>
        <v>580.65000000000009</v>
      </c>
      <c r="U260" s="19">
        <f ca="1">IF($A260-U$3&lt;2,0,OFFSET('FPSO1 Base'!U257,-'FPSO1 Otim'!U$3,0))</f>
        <v>575.03250000000003</v>
      </c>
      <c r="V260" s="19">
        <f ca="1">IF($A260-V$3&lt;2,0,OFFSET('FPSO1 Base'!V257,-'FPSO1 Otim'!V$3,0))</f>
        <v>405.726</v>
      </c>
      <c r="W260" s="19">
        <f ca="1">IF($A260-W$3&lt;2,0,OFFSET('FPSO1 Base'!W257,-'FPSO1 Otim'!W$3,0))</f>
        <v>244.875</v>
      </c>
      <c r="X260" s="19">
        <f ca="1">IF($A260-X$3&lt;2,0,OFFSET('FPSO1 Base'!X257,-'FPSO1 Otim'!X$3,0))</f>
        <v>793.55399999999986</v>
      </c>
      <c r="Y260" s="19">
        <f ca="1">IF($A260-Y$3&lt;2,0,OFFSET('FPSO1 Base'!Y257,-'FPSO1 Otim'!Y$3,0))</f>
        <v>452.35949999999997</v>
      </c>
      <c r="Z260" s="19">
        <f ca="1">IF($A260-Z$3&lt;2,0,OFFSET('FPSO1 Base'!Z257,-'FPSO1 Otim'!Z$3,0))</f>
        <v>383.41949999999997</v>
      </c>
      <c r="AA260" s="20">
        <v>15000</v>
      </c>
      <c r="AB260" s="19">
        <f t="shared" ca="1" si="13"/>
        <v>8635.9491157640023</v>
      </c>
      <c r="AC260" s="20">
        <f t="shared" ca="1" si="14"/>
        <v>6364.0508842359977</v>
      </c>
      <c r="AD260" s="19">
        <f t="shared" ca="1" si="15"/>
        <v>1049.2102156748017</v>
      </c>
    </row>
    <row r="261" spans="1:30" x14ac:dyDescent="0.25">
      <c r="A261" s="19">
        <v>257</v>
      </c>
      <c r="B261" s="31">
        <v>53418</v>
      </c>
      <c r="C261" s="19">
        <f ca="1">IF($A261-C$3&lt;2,0,OFFSET('FPSO1 Base'!C258,-'FPSO1 Otim'!C$3,0))</f>
        <v>699.78</v>
      </c>
      <c r="D261" s="19">
        <f ca="1">IF($A261-D$3&lt;2,0,OFFSET('FPSO1 Base'!D258,-'FPSO1 Otim'!D$3,0))</f>
        <v>124.9725</v>
      </c>
      <c r="E261" s="19">
        <f ca="1">IF($A261-E$3&lt;2,0,OFFSET('FPSO1 Base'!E258,-'FPSO1 Otim'!E$3,0))</f>
        <v>389.274</v>
      </c>
      <c r="F261" s="19">
        <f ca="1">IF($A261-F$3&lt;2,0,OFFSET('FPSO1 Base'!F258,-'FPSO1 Otim'!F$3,0))</f>
        <v>368.01749999999998</v>
      </c>
      <c r="G261" s="19">
        <f ca="1">IF($A261-G$3&lt;2,0,OFFSET('FPSO1 Base'!G258,-'FPSO1 Otim'!G$3,0))</f>
        <v>143.685</v>
      </c>
      <c r="H261" s="19">
        <f ca="1">IF($A261-H$3&lt;2,0,OFFSET('FPSO1 Base'!H258,-'FPSO1 Otim'!H$3,0))</f>
        <v>580.07849999999996</v>
      </c>
      <c r="I261" s="19">
        <f ca="1">IF($A261-I$3&lt;2,0,OFFSET('FPSO1 Base'!I258,-'FPSO1 Otim'!I$3,0))</f>
        <v>451.23449999999997</v>
      </c>
      <c r="J261" s="19">
        <f ca="1">IF($A261-J$3&lt;2,0,OFFSET('FPSO1 Base'!J258,-'FPSO1 Otim'!J$3,0))</f>
        <v>245.72550000000001</v>
      </c>
      <c r="K261" s="19">
        <f ca="1">IF($A261-K$3&lt;2,0,OFFSET('FPSO1 Base'!K258,-'FPSO1 Otim'!K$3,0))</f>
        <v>278.50350000000003</v>
      </c>
      <c r="L261" s="19">
        <f ca="1">IF($A261-L$3&lt;2,0,OFFSET('FPSO1 Base'!L258,-'FPSO1 Otim'!L$3,0))</f>
        <v>311.78700000000003</v>
      </c>
      <c r="M261" s="19">
        <f ca="1">IF($A261-M$3&lt;2,0,OFFSET('FPSO1 Base'!M258,-'FPSO1 Otim'!M$3,0))</f>
        <v>402.88350000000003</v>
      </c>
      <c r="N261" s="19">
        <f ca="1">IF($A261-N$3&lt;2,0,OFFSET('FPSO1 Base'!N258,-'FPSO1 Otim'!N$3,0))</f>
        <v>26.386758991447131</v>
      </c>
      <c r="O261" s="19">
        <f ca="1">IF($A261-O$3&lt;2,0,OFFSET('FPSO1 Base'!O258,-'FPSO1 Otim'!O$3,0))</f>
        <v>309.58050000000003</v>
      </c>
      <c r="P261" s="19">
        <f ca="1">IF($A261-P$3&lt;2,0,OFFSET('FPSO1 Base'!P258,-'FPSO1 Otim'!P$3,0))</f>
        <v>150.43299597074477</v>
      </c>
      <c r="Q261" s="19">
        <f ca="1">IF($A261-Q$3&lt;2,0,OFFSET('FPSO1 Base'!Q258,-'FPSO1 Otim'!Q$3,0))</f>
        <v>378.64049999999997</v>
      </c>
      <c r="R261" s="19">
        <f ca="1">IF($A261-R$3&lt;2,0,OFFSET('FPSO1 Base'!R258,-'FPSO1 Otim'!R$3,0))</f>
        <v>46.832249644168691</v>
      </c>
      <c r="S261" s="19">
        <f ca="1">IF($A261-S$3&lt;2,0,OFFSET('FPSO1 Base'!S258,-'FPSO1 Otim'!S$3,0))</f>
        <v>311.51549999999997</v>
      </c>
      <c r="T261" s="19">
        <f ca="1">IF($A261-T$3&lt;2,0,OFFSET('FPSO1 Base'!T258,-'FPSO1 Otim'!T$3,0))</f>
        <v>580.524</v>
      </c>
      <c r="U261" s="19">
        <f ca="1">IF($A261-U$3&lt;2,0,OFFSET('FPSO1 Base'!U258,-'FPSO1 Otim'!U$3,0))</f>
        <v>572.25</v>
      </c>
      <c r="V261" s="19">
        <f ca="1">IF($A261-V$3&lt;2,0,OFFSET('FPSO1 Base'!V258,-'FPSO1 Otim'!V$3,0))</f>
        <v>403.75800000000004</v>
      </c>
      <c r="W261" s="19">
        <f ca="1">IF($A261-W$3&lt;2,0,OFFSET('FPSO1 Base'!W258,-'FPSO1 Otim'!W$3,0))</f>
        <v>244.4025</v>
      </c>
      <c r="X261" s="19">
        <f ca="1">IF($A261-X$3&lt;2,0,OFFSET('FPSO1 Base'!X258,-'FPSO1 Otim'!X$3,0))</f>
        <v>791.952</v>
      </c>
      <c r="Y261" s="19">
        <f ca="1">IF($A261-Y$3&lt;2,0,OFFSET('FPSO1 Base'!Y258,-'FPSO1 Otim'!Y$3,0))</f>
        <v>451.61249999999995</v>
      </c>
      <c r="Z261" s="19">
        <f ca="1">IF($A261-Z$3&lt;2,0,OFFSET('FPSO1 Base'!Z258,-'FPSO1 Otim'!Z$3,0))</f>
        <v>381.714</v>
      </c>
      <c r="AA261" s="20">
        <v>15000</v>
      </c>
      <c r="AB261" s="19">
        <f t="shared" ca="1" si="13"/>
        <v>8645.5430046063593</v>
      </c>
      <c r="AC261" s="20">
        <f t="shared" ca="1" si="14"/>
        <v>6354.4569953936407</v>
      </c>
      <c r="AD261" s="19">
        <f t="shared" ca="1" si="15"/>
        <v>1041.6950173664009</v>
      </c>
    </row>
    <row r="262" spans="1:30" x14ac:dyDescent="0.25">
      <c r="A262" s="19">
        <v>258</v>
      </c>
      <c r="B262" s="31">
        <v>53448</v>
      </c>
      <c r="C262" s="19">
        <f ca="1">IF($A262-C$3&lt;2,0,OFFSET('FPSO1 Base'!C259,-'FPSO1 Otim'!C$3,0))</f>
        <v>694.71449999999993</v>
      </c>
      <c r="D262" s="19">
        <f ca="1">IF($A262-D$3&lt;2,0,OFFSET('FPSO1 Base'!D259,-'FPSO1 Otim'!D$3,0))</f>
        <v>124.34100000000001</v>
      </c>
      <c r="E262" s="19">
        <f ca="1">IF($A262-E$3&lt;2,0,OFFSET('FPSO1 Base'!E259,-'FPSO1 Otim'!E$3,0))</f>
        <v>391.56000000000006</v>
      </c>
      <c r="F262" s="19">
        <f ca="1">IF($A262-F$3&lt;2,0,OFFSET('FPSO1 Base'!F259,-'FPSO1 Otim'!F$3,0))</f>
        <v>366.435</v>
      </c>
      <c r="G262" s="19">
        <f ca="1">IF($A262-G$3&lt;2,0,OFFSET('FPSO1 Base'!G259,-'FPSO1 Otim'!G$3,0))</f>
        <v>143.1885</v>
      </c>
      <c r="H262" s="19">
        <f ca="1">IF($A262-H$3&lt;2,0,OFFSET('FPSO1 Base'!H259,-'FPSO1 Otim'!H$3,0))</f>
        <v>579.41700000000003</v>
      </c>
      <c r="I262" s="19">
        <f ca="1">IF($A262-I$3&lt;2,0,OFFSET('FPSO1 Base'!I259,-'FPSO1 Otim'!I$3,0))</f>
        <v>450.48150000000004</v>
      </c>
      <c r="J262" s="19">
        <f ca="1">IF($A262-J$3&lt;2,0,OFFSET('FPSO1 Base'!J259,-'FPSO1 Otim'!J$3,0))</f>
        <v>245.37149999999997</v>
      </c>
      <c r="K262" s="19">
        <f ca="1">IF($A262-K$3&lt;2,0,OFFSET('FPSO1 Base'!K259,-'FPSO1 Otim'!K$3,0))</f>
        <v>276.40199999999999</v>
      </c>
      <c r="L262" s="19">
        <f ca="1">IF($A262-L$3&lt;2,0,OFFSET('FPSO1 Base'!L259,-'FPSO1 Otim'!L$3,0))</f>
        <v>310.584</v>
      </c>
      <c r="M262" s="19">
        <f ca="1">IF($A262-M$3&lt;2,0,OFFSET('FPSO1 Base'!M259,-'FPSO1 Otim'!M$3,0))</f>
        <v>401.02049999999997</v>
      </c>
      <c r="N262" s="19">
        <f ca="1">IF($A262-N$3&lt;2,0,OFFSET('FPSO1 Base'!N259,-'FPSO1 Otim'!N$3,0))</f>
        <v>26.122891401532659</v>
      </c>
      <c r="O262" s="19">
        <f ca="1">IF($A262-O$3&lt;2,0,OFFSET('FPSO1 Base'!O259,-'FPSO1 Otim'!O$3,0))</f>
        <v>308.49149999999997</v>
      </c>
      <c r="P262" s="19">
        <f ca="1">IF($A262-P$3&lt;2,0,OFFSET('FPSO1 Base'!P259,-'FPSO1 Otim'!P$3,0))</f>
        <v>148.92866601103731</v>
      </c>
      <c r="Q262" s="19">
        <f ca="1">IF($A262-Q$3&lt;2,0,OFFSET('FPSO1 Base'!Q259,-'FPSO1 Otim'!Q$3,0))</f>
        <v>378.97500000000002</v>
      </c>
      <c r="R262" s="19">
        <f ca="1">IF($A262-R$3&lt;2,0,OFFSET('FPSO1 Base'!R259,-'FPSO1 Otim'!R$3,0))</f>
        <v>46.363927147727004</v>
      </c>
      <c r="S262" s="19">
        <f ca="1">IF($A262-S$3&lt;2,0,OFFSET('FPSO1 Base'!S259,-'FPSO1 Otim'!S$3,0))</f>
        <v>309.89999999999998</v>
      </c>
      <c r="T262" s="19">
        <f ca="1">IF($A262-T$3&lt;2,0,OFFSET('FPSO1 Base'!T259,-'FPSO1 Otim'!T$3,0))</f>
        <v>580.30649999999991</v>
      </c>
      <c r="U262" s="19">
        <f ca="1">IF($A262-U$3&lt;2,0,OFFSET('FPSO1 Base'!U259,-'FPSO1 Otim'!U$3,0))</f>
        <v>569.42550000000006</v>
      </c>
      <c r="V262" s="19">
        <f ca="1">IF($A262-V$3&lt;2,0,OFFSET('FPSO1 Base'!V259,-'FPSO1 Otim'!V$3,0))</f>
        <v>402.14549999999997</v>
      </c>
      <c r="W262" s="19">
        <f ca="1">IF($A262-W$3&lt;2,0,OFFSET('FPSO1 Base'!W259,-'FPSO1 Otim'!W$3,0))</f>
        <v>244.01549999999997</v>
      </c>
      <c r="X262" s="19">
        <f ca="1">IF($A262-X$3&lt;2,0,OFFSET('FPSO1 Base'!X259,-'FPSO1 Otim'!X$3,0))</f>
        <v>790.09949999999992</v>
      </c>
      <c r="Y262" s="19">
        <f ca="1">IF($A262-Y$3&lt;2,0,OFFSET('FPSO1 Base'!Y259,-'FPSO1 Otim'!Y$3,0))</f>
        <v>450.87150000000003</v>
      </c>
      <c r="Z262" s="19">
        <f ca="1">IF($A262-Z$3&lt;2,0,OFFSET('FPSO1 Base'!Z259,-'FPSO1 Otim'!Z$3,0))</f>
        <v>379.6875</v>
      </c>
      <c r="AA262" s="20">
        <v>15000</v>
      </c>
      <c r="AB262" s="19">
        <f t="shared" ca="1" si="13"/>
        <v>8618.8489845602962</v>
      </c>
      <c r="AC262" s="20">
        <f t="shared" ca="1" si="14"/>
        <v>6381.1510154397038</v>
      </c>
      <c r="AD262" s="19">
        <f t="shared" ca="1" si="15"/>
        <v>1029.8962064476252</v>
      </c>
    </row>
    <row r="263" spans="1:30" x14ac:dyDescent="0.25">
      <c r="A263" s="19">
        <v>259</v>
      </c>
      <c r="B263" s="31">
        <v>53479</v>
      </c>
      <c r="C263" s="19">
        <f ca="1">IF($A263-C$3&lt;2,0,OFFSET('FPSO1 Base'!C260,-'FPSO1 Otim'!C$3,0))</f>
        <v>690.11249999999995</v>
      </c>
      <c r="D263" s="19">
        <f ca="1">IF($A263-D$3&lt;2,0,OFFSET('FPSO1 Base'!D260,-'FPSO1 Otim'!D$3,0))</f>
        <v>123.708</v>
      </c>
      <c r="E263" s="19">
        <f ca="1">IF($A263-E$3&lt;2,0,OFFSET('FPSO1 Base'!E260,-'FPSO1 Otim'!E$3,0))</f>
        <v>390.21299999999997</v>
      </c>
      <c r="F263" s="19">
        <f ca="1">IF($A263-F$3&lt;2,0,OFFSET('FPSO1 Base'!F260,-'FPSO1 Otim'!F$3,0))</f>
        <v>364.72500000000002</v>
      </c>
      <c r="G263" s="19">
        <f ca="1">IF($A263-G$3&lt;2,0,OFFSET('FPSO1 Base'!G260,-'FPSO1 Otim'!G$3,0))</f>
        <v>143.1705</v>
      </c>
      <c r="H263" s="19">
        <f ca="1">IF($A263-H$3&lt;2,0,OFFSET('FPSO1 Base'!H260,-'FPSO1 Otim'!H$3,0))</f>
        <v>578.88149999999996</v>
      </c>
      <c r="I263" s="19">
        <f ca="1">IF($A263-I$3&lt;2,0,OFFSET('FPSO1 Base'!I260,-'FPSO1 Otim'!I$3,0))</f>
        <v>449.87849999999997</v>
      </c>
      <c r="J263" s="19">
        <f ca="1">IF($A263-J$3&lt;2,0,OFFSET('FPSO1 Base'!J260,-'FPSO1 Otim'!J$3,0))</f>
        <v>244.98450000000003</v>
      </c>
      <c r="K263" s="19">
        <f ca="1">IF($A263-K$3&lt;2,0,OFFSET('FPSO1 Base'!K260,-'FPSO1 Otim'!K$3,0))</f>
        <v>274.71750000000003</v>
      </c>
      <c r="L263" s="19">
        <f ca="1">IF($A263-L$3&lt;2,0,OFFSET('FPSO1 Base'!L260,-'FPSO1 Otim'!L$3,0))</f>
        <v>309.399</v>
      </c>
      <c r="M263" s="19">
        <f ca="1">IF($A263-M$3&lt;2,0,OFFSET('FPSO1 Base'!M260,-'FPSO1 Otim'!M$3,0))</f>
        <v>398.93700000000001</v>
      </c>
      <c r="N263" s="19">
        <f ca="1">IF($A263-N$3&lt;2,0,OFFSET('FPSO1 Base'!N260,-'FPSO1 Otim'!N$3,0))</f>
        <v>25.861662487517332</v>
      </c>
      <c r="O263" s="19">
        <f ca="1">IF($A263-O$3&lt;2,0,OFFSET('FPSO1 Base'!O260,-'FPSO1 Otim'!O$3,0))</f>
        <v>307.24950000000001</v>
      </c>
      <c r="P263" s="19">
        <f ca="1">IF($A263-P$3&lt;2,0,OFFSET('FPSO1 Base'!P260,-'FPSO1 Otim'!P$3,0))</f>
        <v>147.43937935092694</v>
      </c>
      <c r="Q263" s="19">
        <f ca="1">IF($A263-Q$3&lt;2,0,OFFSET('FPSO1 Base'!Q260,-'FPSO1 Otim'!Q$3,0))</f>
        <v>379.40250000000003</v>
      </c>
      <c r="R263" s="19">
        <f ca="1">IF($A263-R$3&lt;2,0,OFFSET('FPSO1 Base'!R260,-'FPSO1 Otim'!R$3,0))</f>
        <v>45.900287876249735</v>
      </c>
      <c r="S263" s="19">
        <f ca="1">IF($A263-S$3&lt;2,0,OFFSET('FPSO1 Base'!S260,-'FPSO1 Otim'!S$3,0))</f>
        <v>308.41949999999997</v>
      </c>
      <c r="T263" s="19">
        <f ca="1">IF($A263-T$3&lt;2,0,OFFSET('FPSO1 Base'!T260,-'FPSO1 Otim'!T$3,0))</f>
        <v>579.92550000000006</v>
      </c>
      <c r="U263" s="19">
        <f ca="1">IF($A263-U$3&lt;2,0,OFFSET('FPSO1 Base'!U260,-'FPSO1 Otim'!U$3,0))</f>
        <v>593.63699999999994</v>
      </c>
      <c r="V263" s="19">
        <f ca="1">IF($A263-V$3&lt;2,0,OFFSET('FPSO1 Base'!V260,-'FPSO1 Otim'!V$3,0))</f>
        <v>400.34999999999997</v>
      </c>
      <c r="W263" s="19">
        <f ca="1">IF($A263-W$3&lt;2,0,OFFSET('FPSO1 Base'!W260,-'FPSO1 Otim'!W$3,0))</f>
        <v>243.62099999999998</v>
      </c>
      <c r="X263" s="19">
        <f ca="1">IF($A263-X$3&lt;2,0,OFFSET('FPSO1 Base'!X260,-'FPSO1 Otim'!X$3,0))</f>
        <v>788.03250000000003</v>
      </c>
      <c r="Y263" s="19">
        <f ca="1">IF($A263-Y$3&lt;2,0,OFFSET('FPSO1 Base'!Y260,-'FPSO1 Otim'!Y$3,0))</f>
        <v>450.08399999999995</v>
      </c>
      <c r="Z263" s="19">
        <f ca="1">IF($A263-Z$3&lt;2,0,OFFSET('FPSO1 Base'!Z260,-'FPSO1 Otim'!Z$3,0))</f>
        <v>378.072</v>
      </c>
      <c r="AA263" s="20">
        <v>15000</v>
      </c>
      <c r="AB263" s="19">
        <f t="shared" ref="AB263:AB326" ca="1" si="16">SUM(C263:Z263)</f>
        <v>8616.7218297146937</v>
      </c>
      <c r="AC263" s="20">
        <f t="shared" ref="AC263:AC326" ca="1" si="17">AA263-AB263</f>
        <v>6383.2781702853063</v>
      </c>
      <c r="AD263" s="19">
        <f t="shared" ref="AD263:AD326" ca="1" si="18">AB263/(1+$AD$2)^(A263-2)</f>
        <v>1021.1325870997053</v>
      </c>
    </row>
    <row r="264" spans="1:30" x14ac:dyDescent="0.25">
      <c r="A264" s="19">
        <v>260</v>
      </c>
      <c r="B264" s="31">
        <v>53509</v>
      </c>
      <c r="C264" s="19">
        <f ca="1">IF($A264-C$3&lt;2,0,OFFSET('FPSO1 Base'!C261,-'FPSO1 Otim'!C$3,0))</f>
        <v>685.428</v>
      </c>
      <c r="D264" s="19">
        <f ca="1">IF($A264-D$3&lt;2,0,OFFSET('FPSO1 Base'!D261,-'FPSO1 Otim'!D$3,0))</f>
        <v>123.09599999999999</v>
      </c>
      <c r="E264" s="19">
        <f ca="1">IF($A264-E$3&lt;2,0,OFFSET('FPSO1 Base'!E261,-'FPSO1 Otim'!E$3,0))</f>
        <v>389.274</v>
      </c>
      <c r="F264" s="19">
        <f ca="1">IF($A264-F$3&lt;2,0,OFFSET('FPSO1 Base'!F261,-'FPSO1 Otim'!F$3,0))</f>
        <v>363.072</v>
      </c>
      <c r="G264" s="19">
        <f ca="1">IF($A264-G$3&lt;2,0,OFFSET('FPSO1 Base'!G261,-'FPSO1 Otim'!G$3,0))</f>
        <v>142.6215</v>
      </c>
      <c r="H264" s="19">
        <f ca="1">IF($A264-H$3&lt;2,0,OFFSET('FPSO1 Base'!H261,-'FPSO1 Otim'!H$3,0))</f>
        <v>578.28300000000002</v>
      </c>
      <c r="I264" s="19">
        <f ca="1">IF($A264-I$3&lt;2,0,OFFSET('FPSO1 Base'!I261,-'FPSO1 Otim'!I$3,0))</f>
        <v>449.14949999999999</v>
      </c>
      <c r="J264" s="19">
        <f ca="1">IF($A264-J$3&lt;2,0,OFFSET('FPSO1 Base'!J261,-'FPSO1 Otim'!J$3,0))</f>
        <v>244.554</v>
      </c>
      <c r="K264" s="19">
        <f ca="1">IF($A264-K$3&lt;2,0,OFFSET('FPSO1 Base'!K261,-'FPSO1 Otim'!K$3,0))</f>
        <v>272.76300000000003</v>
      </c>
      <c r="L264" s="19">
        <f ca="1">IF($A264-L$3&lt;2,0,OFFSET('FPSO1 Base'!L261,-'FPSO1 Otim'!L$3,0))</f>
        <v>308.12549999999999</v>
      </c>
      <c r="M264" s="19">
        <f ca="1">IF($A264-M$3&lt;2,0,OFFSET('FPSO1 Base'!M261,-'FPSO1 Otim'!M$3,0))</f>
        <v>397.125</v>
      </c>
      <c r="N264" s="19">
        <f ca="1">IF($A264-N$3&lt;2,0,OFFSET('FPSO1 Base'!N261,-'FPSO1 Otim'!N$3,0))</f>
        <v>25.603045862642158</v>
      </c>
      <c r="O264" s="19">
        <f ca="1">IF($A264-O$3&lt;2,0,OFFSET('FPSO1 Base'!O261,-'FPSO1 Otim'!O$3,0))</f>
        <v>306.16949999999997</v>
      </c>
      <c r="P264" s="19">
        <f ca="1">IF($A264-P$3&lt;2,0,OFFSET('FPSO1 Base'!P261,-'FPSO1 Otim'!P$3,0))</f>
        <v>145.96498555741766</v>
      </c>
      <c r="Q264" s="19">
        <f ca="1">IF($A264-Q$3&lt;2,0,OFFSET('FPSO1 Base'!Q261,-'FPSO1 Otim'!Q$3,0))</f>
        <v>379.75049999999999</v>
      </c>
      <c r="R264" s="19">
        <f ca="1">IF($A264-R$3&lt;2,0,OFFSET('FPSO1 Base'!R261,-'FPSO1 Otim'!R$3,0))</f>
        <v>45.441284997487237</v>
      </c>
      <c r="S264" s="19">
        <f ca="1">IF($A264-S$3&lt;2,0,OFFSET('FPSO1 Base'!S261,-'FPSO1 Otim'!S$3,0))</f>
        <v>306.81299999999999</v>
      </c>
      <c r="T264" s="19">
        <f ca="1">IF($A264-T$3&lt;2,0,OFFSET('FPSO1 Base'!T261,-'FPSO1 Otim'!T$3,0))</f>
        <v>579.41100000000006</v>
      </c>
      <c r="U264" s="19">
        <f ca="1">IF($A264-U$3&lt;2,0,OFFSET('FPSO1 Base'!U261,-'FPSO1 Otim'!U$3,0))</f>
        <v>594.87450000000001</v>
      </c>
      <c r="V264" s="19">
        <f ca="1">IF($A264-V$3&lt;2,0,OFFSET('FPSO1 Base'!V261,-'FPSO1 Otim'!V$3,0))</f>
        <v>398.70899999999995</v>
      </c>
      <c r="W264" s="19">
        <f ca="1">IF($A264-W$3&lt;2,0,OFFSET('FPSO1 Base'!W261,-'FPSO1 Otim'!W$3,0))</f>
        <v>243.2415</v>
      </c>
      <c r="X264" s="19">
        <f ca="1">IF($A264-X$3&lt;2,0,OFFSET('FPSO1 Base'!X261,-'FPSO1 Otim'!X$3,0))</f>
        <v>785.65050000000008</v>
      </c>
      <c r="Y264" s="19">
        <f ca="1">IF($A264-Y$3&lt;2,0,OFFSET('FPSO1 Base'!Y261,-'FPSO1 Otim'!Y$3,0))</f>
        <v>449.19900000000001</v>
      </c>
      <c r="Z264" s="19">
        <f ca="1">IF($A264-Z$3&lt;2,0,OFFSET('FPSO1 Base'!Z261,-'FPSO1 Otim'!Z$3,0))</f>
        <v>376.20000000000005</v>
      </c>
      <c r="AA264" s="20">
        <v>15000</v>
      </c>
      <c r="AB264" s="19">
        <f t="shared" ca="1" si="16"/>
        <v>8590.5193164175489</v>
      </c>
      <c r="AC264" s="20">
        <f t="shared" ca="1" si="17"/>
        <v>6409.4806835824511</v>
      </c>
      <c r="AD264" s="19">
        <f t="shared" ca="1" si="18"/>
        <v>1009.6139841675894</v>
      </c>
    </row>
    <row r="265" spans="1:30" x14ac:dyDescent="0.25">
      <c r="A265" s="19">
        <v>261</v>
      </c>
      <c r="B265" s="31">
        <v>53540</v>
      </c>
      <c r="C265" s="19">
        <f ca="1">IF($A265-C$3&lt;2,0,OFFSET('FPSO1 Base'!C262,-'FPSO1 Otim'!C$3,0))</f>
        <v>680.60849999999994</v>
      </c>
      <c r="D265" s="19">
        <f ca="1">IF($A265-D$3&lt;2,0,OFFSET('FPSO1 Base'!D262,-'FPSO1 Otim'!D$3,0))</f>
        <v>122.4915</v>
      </c>
      <c r="E265" s="19">
        <f ca="1">IF($A265-E$3&lt;2,0,OFFSET('FPSO1 Base'!E262,-'FPSO1 Otim'!E$3,0))</f>
        <v>388.15049999999997</v>
      </c>
      <c r="F265" s="19">
        <f ca="1">IF($A265-F$3&lt;2,0,OFFSET('FPSO1 Base'!F262,-'FPSO1 Otim'!F$3,0))</f>
        <v>361.37549999999999</v>
      </c>
      <c r="G265" s="19">
        <f ca="1">IF($A265-G$3&lt;2,0,OFFSET('FPSO1 Base'!G262,-'FPSO1 Otim'!G$3,0))</f>
        <v>142.46850000000001</v>
      </c>
      <c r="H265" s="19">
        <f ca="1">IF($A265-H$3&lt;2,0,OFFSET('FPSO1 Base'!H262,-'FPSO1 Otim'!H$3,0))</f>
        <v>577.68600000000004</v>
      </c>
      <c r="I265" s="19">
        <f ca="1">IF($A265-I$3&lt;2,0,OFFSET('FPSO1 Base'!I262,-'FPSO1 Otim'!I$3,0))</f>
        <v>448.428</v>
      </c>
      <c r="J265" s="19">
        <f ca="1">IF($A265-J$3&lt;2,0,OFFSET('FPSO1 Base'!J262,-'FPSO1 Otim'!J$3,0))</f>
        <v>244.209</v>
      </c>
      <c r="K265" s="19">
        <f ca="1">IF($A265-K$3&lt;2,0,OFFSET('FPSO1 Base'!K262,-'FPSO1 Otim'!K$3,0))</f>
        <v>271.089</v>
      </c>
      <c r="L265" s="19">
        <f ca="1">IF($A265-L$3&lt;2,0,OFFSET('FPSO1 Base'!L262,-'FPSO1 Otim'!L$3,0))</f>
        <v>307.22249999999997</v>
      </c>
      <c r="M265" s="19">
        <f ca="1">IF($A265-M$3&lt;2,0,OFFSET('FPSO1 Base'!M262,-'FPSO1 Otim'!M$3,0))</f>
        <v>395.21250000000003</v>
      </c>
      <c r="N265" s="19">
        <f ca="1">IF($A265-N$3&lt;2,0,OFFSET('FPSO1 Base'!N262,-'FPSO1 Otim'!N$3,0))</f>
        <v>25.347015404015735</v>
      </c>
      <c r="O265" s="19">
        <f ca="1">IF($A265-O$3&lt;2,0,OFFSET('FPSO1 Base'!O262,-'FPSO1 Otim'!O$3,0))</f>
        <v>304.92449999999997</v>
      </c>
      <c r="P265" s="19">
        <f ca="1">IF($A265-P$3&lt;2,0,OFFSET('FPSO1 Base'!P262,-'FPSO1 Otim'!P$3,0))</f>
        <v>144.50533570184348</v>
      </c>
      <c r="Q265" s="19">
        <f ca="1">IF($A265-Q$3&lt;2,0,OFFSET('FPSO1 Base'!Q262,-'FPSO1 Otim'!Q$3,0))</f>
        <v>380.10449999999997</v>
      </c>
      <c r="R265" s="19">
        <f ca="1">IF($A265-R$3&lt;2,0,OFFSET('FPSO1 Base'!R262,-'FPSO1 Otim'!R$3,0))</f>
        <v>44.986872147512365</v>
      </c>
      <c r="S265" s="19">
        <f ca="1">IF($A265-S$3&lt;2,0,OFFSET('FPSO1 Base'!S262,-'FPSO1 Otim'!S$3,0))</f>
        <v>305.334</v>
      </c>
      <c r="T265" s="19">
        <f ca="1">IF($A265-T$3&lt;2,0,OFFSET('FPSO1 Base'!T262,-'FPSO1 Otim'!T$3,0))</f>
        <v>578.89949999999999</v>
      </c>
      <c r="U265" s="19">
        <f ca="1">IF($A265-U$3&lt;2,0,OFFSET('FPSO1 Base'!U262,-'FPSO1 Otim'!U$3,0))</f>
        <v>593.58899999999994</v>
      </c>
      <c r="V265" s="19">
        <f ca="1">IF($A265-V$3&lt;2,0,OFFSET('FPSO1 Base'!V262,-'FPSO1 Otim'!V$3,0))</f>
        <v>396.90000000000003</v>
      </c>
      <c r="W265" s="19">
        <f ca="1">IF($A265-W$3&lt;2,0,OFFSET('FPSO1 Base'!W262,-'FPSO1 Otim'!W$3,0))</f>
        <v>242.89949999999999</v>
      </c>
      <c r="X265" s="19">
        <f ca="1">IF($A265-X$3&lt;2,0,OFFSET('FPSO1 Base'!X262,-'FPSO1 Otim'!X$3,0))</f>
        <v>783.19350000000009</v>
      </c>
      <c r="Y265" s="19">
        <f ca="1">IF($A265-Y$3&lt;2,0,OFFSET('FPSO1 Base'!Y262,-'FPSO1 Otim'!Y$3,0))</f>
        <v>448.41600000000005</v>
      </c>
      <c r="Z265" s="19">
        <f ca="1">IF($A265-Z$3&lt;2,0,OFFSET('FPSO1 Base'!Z262,-'FPSO1 Otim'!Z$3,0))</f>
        <v>374.553</v>
      </c>
      <c r="AA265" s="20">
        <v>15000</v>
      </c>
      <c r="AB265" s="19">
        <f t="shared" ca="1" si="16"/>
        <v>8562.5942232533707</v>
      </c>
      <c r="AC265" s="20">
        <f t="shared" ca="1" si="17"/>
        <v>6437.4057767466293</v>
      </c>
      <c r="AD265" s="19">
        <f t="shared" ca="1" si="18"/>
        <v>998.01525092181919</v>
      </c>
    </row>
    <row r="266" spans="1:30" x14ac:dyDescent="0.25">
      <c r="A266" s="19">
        <v>262</v>
      </c>
      <c r="B266" s="31">
        <v>53571</v>
      </c>
      <c r="C266" s="19">
        <f ca="1">IF($A266-C$3&lt;2,0,OFFSET('FPSO1 Base'!C263,-'FPSO1 Otim'!C$3,0))</f>
        <v>675.12149999999997</v>
      </c>
      <c r="D266" s="19">
        <f ca="1">IF($A266-D$3&lt;2,0,OFFSET('FPSO1 Base'!D263,-'FPSO1 Otim'!D$3,0))</f>
        <v>121.90049999999999</v>
      </c>
      <c r="E266" s="19">
        <f ca="1">IF($A266-E$3&lt;2,0,OFFSET('FPSO1 Base'!E263,-'FPSO1 Otim'!E$3,0))</f>
        <v>387.22950000000003</v>
      </c>
      <c r="F266" s="19">
        <f ca="1">IF($A266-F$3&lt;2,0,OFFSET('FPSO1 Base'!F263,-'FPSO1 Otim'!F$3,0))</f>
        <v>431.202</v>
      </c>
      <c r="G266" s="19">
        <f ca="1">IF($A266-G$3&lt;2,0,OFFSET('FPSO1 Base'!G263,-'FPSO1 Otim'!G$3,0))</f>
        <v>142.155</v>
      </c>
      <c r="H266" s="19">
        <f ca="1">IF($A266-H$3&lt;2,0,OFFSET('FPSO1 Base'!H263,-'FPSO1 Otim'!H$3,0))</f>
        <v>577.101</v>
      </c>
      <c r="I266" s="19">
        <f ca="1">IF($A266-I$3&lt;2,0,OFFSET('FPSO1 Base'!I263,-'FPSO1 Otim'!I$3,0))</f>
        <v>447.70049999999998</v>
      </c>
      <c r="J266" s="19">
        <f ca="1">IF($A266-J$3&lt;2,0,OFFSET('FPSO1 Base'!J263,-'FPSO1 Otim'!J$3,0))</f>
        <v>243.79949999999997</v>
      </c>
      <c r="K266" s="19">
        <f ca="1">IF($A266-K$3&lt;2,0,OFFSET('FPSO1 Base'!K263,-'FPSO1 Otim'!K$3,0))</f>
        <v>269.18700000000001</v>
      </c>
      <c r="L266" s="19">
        <f ca="1">IF($A266-L$3&lt;2,0,OFFSET('FPSO1 Base'!L263,-'FPSO1 Otim'!L$3,0))</f>
        <v>306.012</v>
      </c>
      <c r="M266" s="19">
        <f ca="1">IF($A266-M$3&lt;2,0,OFFSET('FPSO1 Base'!M263,-'FPSO1 Otim'!M$3,0))</f>
        <v>393.45899999999995</v>
      </c>
      <c r="N266" s="19">
        <f ca="1">IF($A266-N$3&lt;2,0,OFFSET('FPSO1 Base'!N263,-'FPSO1 Otim'!N$3,0))</f>
        <v>25.093545249975577</v>
      </c>
      <c r="O266" s="19">
        <f ca="1">IF($A266-O$3&lt;2,0,OFFSET('FPSO1 Base'!O263,-'FPSO1 Otim'!O$3,0))</f>
        <v>303.726</v>
      </c>
      <c r="P266" s="19">
        <f ca="1">IF($A266-P$3&lt;2,0,OFFSET('FPSO1 Base'!P263,-'FPSO1 Otim'!P$3,0))</f>
        <v>143.06028234482505</v>
      </c>
      <c r="Q266" s="19">
        <f ca="1">IF($A266-Q$3&lt;2,0,OFFSET('FPSO1 Base'!Q263,-'FPSO1 Otim'!Q$3,0))</f>
        <v>380.43150000000003</v>
      </c>
      <c r="R266" s="19">
        <f ca="1">IF($A266-R$3&lt;2,0,OFFSET('FPSO1 Base'!R263,-'FPSO1 Otim'!R$3,0))</f>
        <v>44.537003426037238</v>
      </c>
      <c r="S266" s="19">
        <f ca="1">IF($A266-S$3&lt;2,0,OFFSET('FPSO1 Base'!S263,-'FPSO1 Otim'!S$3,0))</f>
        <v>303.94349999999997</v>
      </c>
      <c r="T266" s="19">
        <f ca="1">IF($A266-T$3&lt;2,0,OFFSET('FPSO1 Base'!T263,-'FPSO1 Otim'!T$3,0))</f>
        <v>578.34749999999997</v>
      </c>
      <c r="U266" s="19">
        <f ca="1">IF($A266-U$3&lt;2,0,OFFSET('FPSO1 Base'!U263,-'FPSO1 Otim'!U$3,0))</f>
        <v>592.13699999999994</v>
      </c>
      <c r="V266" s="19">
        <f ca="1">IF($A266-V$3&lt;2,0,OFFSET('FPSO1 Base'!V263,-'FPSO1 Otim'!V$3,0))</f>
        <v>488.661</v>
      </c>
      <c r="W266" s="19">
        <f ca="1">IF($A266-W$3&lt;2,0,OFFSET('FPSO1 Base'!W263,-'FPSO1 Otim'!W$3,0))</f>
        <v>242.541</v>
      </c>
      <c r="X266" s="19">
        <f ca="1">IF($A266-X$3&lt;2,0,OFFSET('FPSO1 Base'!X263,-'FPSO1 Otim'!X$3,0))</f>
        <v>780.62850000000003</v>
      </c>
      <c r="Y266" s="19">
        <f ca="1">IF($A266-Y$3&lt;2,0,OFFSET('FPSO1 Base'!Y263,-'FPSO1 Otim'!Y$3,0))</f>
        <v>447.52500000000003</v>
      </c>
      <c r="Z266" s="19">
        <f ca="1">IF($A266-Z$3&lt;2,0,OFFSET('FPSO1 Base'!Z263,-'FPSO1 Otim'!Z$3,0))</f>
        <v>372.738</v>
      </c>
      <c r="AA266" s="20">
        <v>15000</v>
      </c>
      <c r="AB266" s="19">
        <f t="shared" ca="1" si="16"/>
        <v>8698.2373310208368</v>
      </c>
      <c r="AC266" s="20">
        <f t="shared" ca="1" si="17"/>
        <v>6301.7626689791632</v>
      </c>
      <c r="AD266" s="19">
        <f t="shared" ca="1" si="18"/>
        <v>1005.4464459343845</v>
      </c>
    </row>
    <row r="267" spans="1:30" x14ac:dyDescent="0.25">
      <c r="A267" s="19">
        <v>263</v>
      </c>
      <c r="B267" s="31">
        <v>53601</v>
      </c>
      <c r="C267" s="19">
        <f ca="1">IF($A267-C$3&lt;2,0,OFFSET('FPSO1 Base'!C264,-'FPSO1 Otim'!C$3,0))</f>
        <v>668.96100000000001</v>
      </c>
      <c r="D267" s="19">
        <f ca="1">IF($A267-D$3&lt;2,0,OFFSET('FPSO1 Base'!D264,-'FPSO1 Otim'!D$3,0))</f>
        <v>121.34699999999999</v>
      </c>
      <c r="E267" s="19">
        <f ca="1">IF($A267-E$3&lt;2,0,OFFSET('FPSO1 Base'!E264,-'FPSO1 Otim'!E$3,0))</f>
        <v>386.35949999999997</v>
      </c>
      <c r="F267" s="19">
        <f ca="1">IF($A267-F$3&lt;2,0,OFFSET('FPSO1 Base'!F264,-'FPSO1 Otim'!F$3,0))</f>
        <v>435.29100000000005</v>
      </c>
      <c r="G267" s="19">
        <f ca="1">IF($A267-G$3&lt;2,0,OFFSET('FPSO1 Base'!G264,-'FPSO1 Otim'!G$3,0))</f>
        <v>141.8475</v>
      </c>
      <c r="H267" s="19">
        <f ca="1">IF($A267-H$3&lt;2,0,OFFSET('FPSO1 Base'!H264,-'FPSO1 Otim'!H$3,0))</f>
        <v>576.51</v>
      </c>
      <c r="I267" s="19">
        <f ca="1">IF($A267-I$3&lt;2,0,OFFSET('FPSO1 Base'!I264,-'FPSO1 Otim'!I$3,0))</f>
        <v>446.952</v>
      </c>
      <c r="J267" s="19">
        <f ca="1">IF($A267-J$3&lt;2,0,OFFSET('FPSO1 Base'!J264,-'FPSO1 Otim'!J$3,0))</f>
        <v>243.411</v>
      </c>
      <c r="K267" s="19">
        <f ca="1">IF($A267-K$3&lt;2,0,OFFSET('FPSO1 Base'!K264,-'FPSO1 Otim'!K$3,0))</f>
        <v>267.375</v>
      </c>
      <c r="L267" s="19">
        <f ca="1">IF($A267-L$3&lt;2,0,OFFSET('FPSO1 Base'!L264,-'FPSO1 Otim'!L$3,0))</f>
        <v>304.536</v>
      </c>
      <c r="M267" s="19">
        <f ca="1">IF($A267-M$3&lt;2,0,OFFSET('FPSO1 Base'!M264,-'FPSO1 Otim'!M$3,0))</f>
        <v>391.74149999999997</v>
      </c>
      <c r="N267" s="19">
        <f ca="1">IF($A267-N$3&lt;2,0,OFFSET('FPSO1 Base'!N264,-'FPSO1 Otim'!N$3,0))</f>
        <v>24.84260979747582</v>
      </c>
      <c r="O267" s="19">
        <f ca="1">IF($A267-O$3&lt;2,0,OFFSET('FPSO1 Base'!O264,-'FPSO1 Otim'!O$3,0))</f>
        <v>302.685</v>
      </c>
      <c r="P267" s="19">
        <f ca="1">IF($A267-P$3&lt;2,0,OFFSET('FPSO1 Base'!P264,-'FPSO1 Otim'!P$3,0))</f>
        <v>141.6296795213768</v>
      </c>
      <c r="Q267" s="19">
        <f ca="1">IF($A267-Q$3&lt;2,0,OFFSET('FPSO1 Base'!Q264,-'FPSO1 Otim'!Q$3,0))</f>
        <v>380.77200000000005</v>
      </c>
      <c r="R267" s="19">
        <f ca="1">IF($A267-R$3&lt;2,0,OFFSET('FPSO1 Base'!R264,-'FPSO1 Otim'!R$3,0))</f>
        <v>44.091633391776867</v>
      </c>
      <c r="S267" s="19">
        <f ca="1">IF($A267-S$3&lt;2,0,OFFSET('FPSO1 Base'!S264,-'FPSO1 Otim'!S$3,0))</f>
        <v>302.30399999999997</v>
      </c>
      <c r="T267" s="19">
        <f ca="1">IF($A267-T$3&lt;2,0,OFFSET('FPSO1 Base'!T264,-'FPSO1 Otim'!T$3,0))</f>
        <v>577.93500000000006</v>
      </c>
      <c r="U267" s="19">
        <f ca="1">IF($A267-U$3&lt;2,0,OFFSET('FPSO1 Base'!U264,-'FPSO1 Otim'!U$3,0))</f>
        <v>590.5440000000001</v>
      </c>
      <c r="V267" s="19">
        <f ca="1">IF($A267-V$3&lt;2,0,OFFSET('FPSO1 Base'!V264,-'FPSO1 Otim'!V$3,0))</f>
        <v>490.74149999999997</v>
      </c>
      <c r="W267" s="19">
        <f ca="1">IF($A267-W$3&lt;2,0,OFFSET('FPSO1 Base'!W264,-'FPSO1 Otim'!W$3,0))</f>
        <v>242.17499999999998</v>
      </c>
      <c r="X267" s="19">
        <f ca="1">IF($A267-X$3&lt;2,0,OFFSET('FPSO1 Base'!X264,-'FPSO1 Otim'!X$3,0))</f>
        <v>777.70049999999992</v>
      </c>
      <c r="Y267" s="19">
        <f ca="1">IF($A267-Y$3&lt;2,0,OFFSET('FPSO1 Base'!Y264,-'FPSO1 Otim'!Y$3,0))</f>
        <v>446.72249999999997</v>
      </c>
      <c r="Z267" s="19">
        <f ca="1">IF($A267-Z$3&lt;2,0,OFFSET('FPSO1 Base'!Z264,-'FPSO1 Otim'!Z$3,0))</f>
        <v>371.03249999999997</v>
      </c>
      <c r="AA267" s="20">
        <v>15000</v>
      </c>
      <c r="AB267" s="19">
        <f t="shared" ca="1" si="16"/>
        <v>8677.5074227106288</v>
      </c>
      <c r="AC267" s="20">
        <f t="shared" ca="1" si="17"/>
        <v>6322.4925772893712</v>
      </c>
      <c r="AD267" s="19">
        <f t="shared" ca="1" si="18"/>
        <v>994.76056349583018</v>
      </c>
    </row>
    <row r="268" spans="1:30" x14ac:dyDescent="0.25">
      <c r="A268" s="19">
        <v>264</v>
      </c>
      <c r="B268" s="31">
        <v>53632</v>
      </c>
      <c r="C268" s="19">
        <f ca="1">IF($A268-C$3&lt;2,0,OFFSET('FPSO1 Base'!C265,-'FPSO1 Otim'!C$3,0))</f>
        <v>663.37950000000001</v>
      </c>
      <c r="D268" s="19">
        <f ca="1">IF($A268-D$3&lt;2,0,OFFSET('FPSO1 Base'!D265,-'FPSO1 Otim'!D$3,0))</f>
        <v>120.744</v>
      </c>
      <c r="E268" s="19">
        <f ca="1">IF($A268-E$3&lt;2,0,OFFSET('FPSO1 Base'!E265,-'FPSO1 Otim'!E$3,0))</f>
        <v>385.21800000000002</v>
      </c>
      <c r="F268" s="19">
        <f ca="1">IF($A268-F$3&lt;2,0,OFFSET('FPSO1 Base'!F265,-'FPSO1 Otim'!F$3,0))</f>
        <v>432.62549999999999</v>
      </c>
      <c r="G268" s="19">
        <f ca="1">IF($A268-G$3&lt;2,0,OFFSET('FPSO1 Base'!G265,-'FPSO1 Otim'!G$3,0))</f>
        <v>141.39599999999999</v>
      </c>
      <c r="H268" s="19">
        <f ca="1">IF($A268-H$3&lt;2,0,OFFSET('FPSO1 Base'!H265,-'FPSO1 Otim'!H$3,0))</f>
        <v>575.97149999999999</v>
      </c>
      <c r="I268" s="19">
        <f ca="1">IF($A268-I$3&lt;2,0,OFFSET('FPSO1 Base'!I265,-'FPSO1 Otim'!I$3,0))</f>
        <v>446.202</v>
      </c>
      <c r="J268" s="19">
        <f ca="1">IF($A268-J$3&lt;2,0,OFFSET('FPSO1 Base'!J265,-'FPSO1 Otim'!J$3,0))</f>
        <v>243</v>
      </c>
      <c r="K268" s="19">
        <f ca="1">IF($A268-K$3&lt;2,0,OFFSET('FPSO1 Base'!K265,-'FPSO1 Otim'!K$3,0))</f>
        <v>265.59749999999997</v>
      </c>
      <c r="L268" s="19">
        <f ca="1">IF($A268-L$3&lt;2,0,OFFSET('FPSO1 Base'!L265,-'FPSO1 Otim'!L$3,0))</f>
        <v>303.363</v>
      </c>
      <c r="M268" s="19">
        <f ca="1">IF($A268-M$3&lt;2,0,OFFSET('FPSO1 Base'!M265,-'FPSO1 Otim'!M$3,0))</f>
        <v>390.01199999999994</v>
      </c>
      <c r="N268" s="19">
        <f ca="1">IF($A268-N$3&lt;2,0,OFFSET('FPSO1 Base'!N265,-'FPSO1 Otim'!N$3,0))</f>
        <v>24.594183699501063</v>
      </c>
      <c r="O268" s="19">
        <f ca="1">IF($A268-O$3&lt;2,0,OFFSET('FPSO1 Base'!O265,-'FPSO1 Otim'!O$3,0))</f>
        <v>301.33949999999999</v>
      </c>
      <c r="P268" s="19">
        <f ca="1">IF($A268-P$3&lt;2,0,OFFSET('FPSO1 Base'!P265,-'FPSO1 Otim'!P$3,0))</f>
        <v>140.21338272616302</v>
      </c>
      <c r="Q268" s="19">
        <f ca="1">IF($A268-Q$3&lt;2,0,OFFSET('FPSO1 Base'!Q265,-'FPSO1 Otim'!Q$3,0))</f>
        <v>380.988</v>
      </c>
      <c r="R268" s="19">
        <f ca="1">IF($A268-R$3&lt;2,0,OFFSET('FPSO1 Base'!R265,-'FPSO1 Otim'!R$3,0))</f>
        <v>43.650717057859097</v>
      </c>
      <c r="S268" s="19">
        <f ca="1">IF($A268-S$3&lt;2,0,OFFSET('FPSO1 Base'!S265,-'FPSO1 Otim'!S$3,0))</f>
        <v>301.00350000000003</v>
      </c>
      <c r="T268" s="19">
        <f ca="1">IF($A268-T$3&lt;2,0,OFFSET('FPSO1 Base'!T265,-'FPSO1 Otim'!T$3,0))</f>
        <v>577.71449999999993</v>
      </c>
      <c r="U268" s="19">
        <f ca="1">IF($A268-U$3&lt;2,0,OFFSET('FPSO1 Base'!U265,-'FPSO1 Otim'!U$3,0))</f>
        <v>589.23450000000003</v>
      </c>
      <c r="V268" s="19">
        <f ca="1">IF($A268-V$3&lt;2,0,OFFSET('FPSO1 Base'!V265,-'FPSO1 Otim'!V$3,0))</f>
        <v>486.90000000000003</v>
      </c>
      <c r="W268" s="19">
        <f ca="1">IF($A268-W$3&lt;2,0,OFFSET('FPSO1 Base'!W265,-'FPSO1 Otim'!W$3,0))</f>
        <v>241.76549999999997</v>
      </c>
      <c r="X268" s="19">
        <f ca="1">IF($A268-X$3&lt;2,0,OFFSET('FPSO1 Base'!X265,-'FPSO1 Otim'!X$3,0))</f>
        <v>775.01549999999997</v>
      </c>
      <c r="Y268" s="19">
        <f ca="1">IF($A268-Y$3&lt;2,0,OFFSET('FPSO1 Base'!Y265,-'FPSO1 Otim'!Y$3,0))</f>
        <v>445.83750000000003</v>
      </c>
      <c r="Z268" s="19">
        <f ca="1">IF($A268-Z$3&lt;2,0,OFFSET('FPSO1 Base'!Z265,-'FPSO1 Otim'!Z$3,0))</f>
        <v>369.351</v>
      </c>
      <c r="AA268" s="20">
        <v>15000</v>
      </c>
      <c r="AB268" s="19">
        <f t="shared" ca="1" si="16"/>
        <v>8645.1167834835214</v>
      </c>
      <c r="AC268" s="20">
        <f t="shared" ca="1" si="17"/>
        <v>6354.8832165164786</v>
      </c>
      <c r="AD268" s="19">
        <f t="shared" ca="1" si="18"/>
        <v>982.85693399340755</v>
      </c>
    </row>
    <row r="269" spans="1:30" x14ac:dyDescent="0.25">
      <c r="A269" s="19">
        <v>265</v>
      </c>
      <c r="B269" s="31">
        <v>53662</v>
      </c>
      <c r="C269" s="19">
        <f ca="1">IF($A269-C$3&lt;2,0,OFFSET('FPSO1 Base'!C266,-'FPSO1 Otim'!C$3,0))</f>
        <v>657.88049999999998</v>
      </c>
      <c r="D269" s="19">
        <f ca="1">IF($A269-D$3&lt;2,0,OFFSET('FPSO1 Base'!D266,-'FPSO1 Otim'!D$3,0))</f>
        <v>120.16650000000001</v>
      </c>
      <c r="E269" s="19">
        <f ca="1">IF($A269-E$3&lt;2,0,OFFSET('FPSO1 Base'!E266,-'FPSO1 Otim'!E$3,0))</f>
        <v>384.26550000000003</v>
      </c>
      <c r="F269" s="19">
        <f ca="1">IF($A269-F$3&lt;2,0,OFFSET('FPSO1 Base'!F266,-'FPSO1 Otim'!F$3,0))</f>
        <v>430.86300000000006</v>
      </c>
      <c r="G269" s="19">
        <f ca="1">IF($A269-G$3&lt;2,0,OFFSET('FPSO1 Base'!G266,-'FPSO1 Otim'!G$3,0))</f>
        <v>141.14999999999998</v>
      </c>
      <c r="H269" s="19">
        <f ca="1">IF($A269-H$3&lt;2,0,OFFSET('FPSO1 Base'!H266,-'FPSO1 Otim'!H$3,0))</f>
        <v>575.37599999999998</v>
      </c>
      <c r="I269" s="19">
        <f ca="1">IF($A269-I$3&lt;2,0,OFFSET('FPSO1 Base'!I266,-'FPSO1 Otim'!I$3,0))</f>
        <v>445.39949999999999</v>
      </c>
      <c r="J269" s="19">
        <f ca="1">IF($A269-J$3&lt;2,0,OFFSET('FPSO1 Base'!J266,-'FPSO1 Otim'!J$3,0))</f>
        <v>242.637</v>
      </c>
      <c r="K269" s="19">
        <f ca="1">IF($A269-K$3&lt;2,0,OFFSET('FPSO1 Base'!K266,-'FPSO1 Otim'!K$3,0))</f>
        <v>263.85000000000002</v>
      </c>
      <c r="L269" s="19">
        <f ca="1">IF($A269-L$3&lt;2,0,OFFSET('FPSO1 Base'!L266,-'FPSO1 Otim'!L$3,0))</f>
        <v>302.09550000000002</v>
      </c>
      <c r="M269" s="19">
        <f ca="1">IF($A269-M$3&lt;2,0,OFFSET('FPSO1 Base'!M266,-'FPSO1 Otim'!M$3,0))</f>
        <v>399.375</v>
      </c>
      <c r="N269" s="19">
        <f ca="1">IF($A269-N$3&lt;2,0,OFFSET('FPSO1 Base'!N266,-'FPSO1 Otim'!N$3,0))</f>
        <v>24.34824186250605</v>
      </c>
      <c r="O269" s="19">
        <f ca="1">IF($A269-O$3&lt;2,0,OFFSET('FPSO1 Base'!O266,-'FPSO1 Otim'!O$3,0))</f>
        <v>300.26549999999997</v>
      </c>
      <c r="P269" s="19">
        <f ca="1">IF($A269-P$3&lt;2,0,OFFSET('FPSO1 Base'!P266,-'FPSO1 Otim'!P$3,0))</f>
        <v>138.8112488989014</v>
      </c>
      <c r="Q269" s="19">
        <f ca="1">IF($A269-Q$3&lt;2,0,OFFSET('FPSO1 Base'!Q266,-'FPSO1 Otim'!Q$3,0))</f>
        <v>381.1995</v>
      </c>
      <c r="R269" s="19">
        <f ca="1">IF($A269-R$3&lt;2,0,OFFSET('FPSO1 Base'!R266,-'FPSO1 Otim'!R$3,0))</f>
        <v>43.214209887280504</v>
      </c>
      <c r="S269" s="19">
        <f ca="1">IF($A269-S$3&lt;2,0,OFFSET('FPSO1 Base'!S266,-'FPSO1 Otim'!S$3,0))</f>
        <v>299.51250000000005</v>
      </c>
      <c r="T269" s="19">
        <f ca="1">IF($A269-T$3&lt;2,0,OFFSET('FPSO1 Base'!T266,-'FPSO1 Otim'!T$3,0))</f>
        <v>577.452</v>
      </c>
      <c r="U269" s="19">
        <f ca="1">IF($A269-U$3&lt;2,0,OFFSET('FPSO1 Base'!U266,-'FPSO1 Otim'!U$3,0))</f>
        <v>587.67450000000008</v>
      </c>
      <c r="V269" s="19">
        <f ca="1">IF($A269-V$3&lt;2,0,OFFSET('FPSO1 Base'!V266,-'FPSO1 Otim'!V$3,0))</f>
        <v>482.178</v>
      </c>
      <c r="W269" s="19">
        <f ca="1">IF($A269-W$3&lt;2,0,OFFSET('FPSO1 Base'!W266,-'FPSO1 Otim'!W$3,0))</f>
        <v>241.3305</v>
      </c>
      <c r="X269" s="19">
        <f ca="1">IF($A269-X$3&lt;2,0,OFFSET('FPSO1 Base'!X266,-'FPSO1 Otim'!X$3,0))</f>
        <v>771.94950000000006</v>
      </c>
      <c r="Y269" s="19">
        <f ca="1">IF($A269-Y$3&lt;2,0,OFFSET('FPSO1 Base'!Y266,-'FPSO1 Otim'!Y$3,0))</f>
        <v>445.00349999999997</v>
      </c>
      <c r="Z269" s="19">
        <f ca="1">IF($A269-Z$3&lt;2,0,OFFSET('FPSO1 Base'!Z266,-'FPSO1 Otim'!Z$3,0))</f>
        <v>367.57500000000005</v>
      </c>
      <c r="AA269" s="20">
        <v>15000</v>
      </c>
      <c r="AB269" s="19">
        <f t="shared" ca="1" si="16"/>
        <v>8623.5727006486904</v>
      </c>
      <c r="AC269" s="20">
        <f t="shared" ca="1" si="17"/>
        <v>6376.4272993513096</v>
      </c>
      <c r="AD269" s="19">
        <f t="shared" ca="1" si="18"/>
        <v>972.30506097313105</v>
      </c>
    </row>
    <row r="270" spans="1:30" x14ac:dyDescent="0.25">
      <c r="A270" s="19">
        <v>266</v>
      </c>
      <c r="B270" s="31">
        <v>53693</v>
      </c>
      <c r="C270" s="19">
        <f ca="1">IF($A270-C$3&lt;2,0,OFFSET('FPSO1 Base'!C267,-'FPSO1 Otim'!C$3,0))</f>
        <v>652.63499999999999</v>
      </c>
      <c r="D270" s="19">
        <f ca="1">IF($A270-D$3&lt;2,0,OFFSET('FPSO1 Base'!D267,-'FPSO1 Otim'!D$3,0))</f>
        <v>119.57399999999998</v>
      </c>
      <c r="E270" s="19">
        <f ca="1">IF($A270-E$3&lt;2,0,OFFSET('FPSO1 Base'!E267,-'FPSO1 Otim'!E$3,0))</f>
        <v>383.0745</v>
      </c>
      <c r="F270" s="19">
        <f ca="1">IF($A270-F$3&lt;2,0,OFFSET('FPSO1 Base'!F267,-'FPSO1 Otim'!F$3,0))</f>
        <v>428.59950000000003</v>
      </c>
      <c r="G270" s="19">
        <f ca="1">IF($A270-G$3&lt;2,0,OFFSET('FPSO1 Base'!G267,-'FPSO1 Otim'!G$3,0))</f>
        <v>140.93700000000001</v>
      </c>
      <c r="H270" s="19">
        <f ca="1">IF($A270-H$3&lt;2,0,OFFSET('FPSO1 Base'!H267,-'FPSO1 Otim'!H$3,0))</f>
        <v>574.80449999999996</v>
      </c>
      <c r="I270" s="19">
        <f ca="1">IF($A270-I$3&lt;2,0,OFFSET('FPSO1 Base'!I267,-'FPSO1 Otim'!I$3,0))</f>
        <v>444.58050000000003</v>
      </c>
      <c r="J270" s="19">
        <f ca="1">IF($A270-J$3&lt;2,0,OFFSET('FPSO1 Base'!J267,-'FPSO1 Otim'!J$3,0))</f>
        <v>242.202</v>
      </c>
      <c r="K270" s="19">
        <f ca="1">IF($A270-K$3&lt;2,0,OFFSET('FPSO1 Base'!K267,-'FPSO1 Otim'!K$3,0))</f>
        <v>276.666</v>
      </c>
      <c r="L270" s="19">
        <f ca="1">IF($A270-L$3&lt;2,0,OFFSET('FPSO1 Base'!L267,-'FPSO1 Otim'!L$3,0))</f>
        <v>300.99149999999997</v>
      </c>
      <c r="M270" s="19">
        <f ca="1">IF($A270-M$3&lt;2,0,OFFSET('FPSO1 Base'!M267,-'FPSO1 Otim'!M$3,0))</f>
        <v>399.67499999999995</v>
      </c>
      <c r="N270" s="19">
        <f ca="1">IF($A270-N$3&lt;2,0,OFFSET('FPSO1 Base'!N267,-'FPSO1 Otim'!N$3,0))</f>
        <v>24.10475944388099</v>
      </c>
      <c r="O270" s="19">
        <f ca="1">IF($A270-O$3&lt;2,0,OFFSET('FPSO1 Base'!O267,-'FPSO1 Otim'!O$3,0))</f>
        <v>298.97550000000001</v>
      </c>
      <c r="P270" s="19">
        <f ca="1">IF($A270-P$3&lt;2,0,OFFSET('FPSO1 Base'!P267,-'FPSO1 Otim'!P$3,0))</f>
        <v>137.42313640991239</v>
      </c>
      <c r="Q270" s="19">
        <f ca="1">IF($A270-Q$3&lt;2,0,OFFSET('FPSO1 Base'!Q267,-'FPSO1 Otim'!Q$3,0))</f>
        <v>381.351</v>
      </c>
      <c r="R270" s="19">
        <f ca="1">IF($A270-R$3&lt;2,0,OFFSET('FPSO1 Base'!R267,-'FPSO1 Otim'!R$3,0))</f>
        <v>42.782067788407701</v>
      </c>
      <c r="S270" s="19">
        <f ca="1">IF($A270-S$3&lt;2,0,OFFSET('FPSO1 Base'!S267,-'FPSO1 Otim'!S$3,0))</f>
        <v>298.149</v>
      </c>
      <c r="T270" s="19">
        <f ca="1">IF($A270-T$3&lt;2,0,OFFSET('FPSO1 Base'!T267,-'FPSO1 Otim'!T$3,0))</f>
        <v>577.07549999999992</v>
      </c>
      <c r="U270" s="19">
        <f ca="1">IF($A270-U$3&lt;2,0,OFFSET('FPSO1 Base'!U267,-'FPSO1 Otim'!U$3,0))</f>
        <v>586.20899999999995</v>
      </c>
      <c r="V270" s="19">
        <f ca="1">IF($A270-V$3&lt;2,0,OFFSET('FPSO1 Base'!V267,-'FPSO1 Otim'!V$3,0))</f>
        <v>478.5</v>
      </c>
      <c r="W270" s="19">
        <f ca="1">IF($A270-W$3&lt;2,0,OFFSET('FPSO1 Base'!W267,-'FPSO1 Otim'!W$3,0))</f>
        <v>240.89999999999998</v>
      </c>
      <c r="X270" s="19">
        <f ca="1">IF($A270-X$3&lt;2,0,OFFSET('FPSO1 Base'!X267,-'FPSO1 Otim'!X$3,0))</f>
        <v>768.96749999999997</v>
      </c>
      <c r="Y270" s="19">
        <f ca="1">IF($A270-Y$3&lt;2,0,OFFSET('FPSO1 Base'!Y267,-'FPSO1 Otim'!Y$3,0))</f>
        <v>444.19350000000003</v>
      </c>
      <c r="Z270" s="19">
        <f ca="1">IF($A270-Z$3&lt;2,0,OFFSET('FPSO1 Base'!Z267,-'FPSO1 Otim'!Z$3,0))</f>
        <v>365.952</v>
      </c>
      <c r="AA270" s="20">
        <v>15000</v>
      </c>
      <c r="AB270" s="19">
        <f t="shared" ca="1" si="16"/>
        <v>8608.3224636422001</v>
      </c>
      <c r="AC270" s="20">
        <f t="shared" ca="1" si="17"/>
        <v>6391.6775363577999</v>
      </c>
      <c r="AD270" s="19">
        <f t="shared" ca="1" si="18"/>
        <v>962.56423302480539</v>
      </c>
    </row>
    <row r="271" spans="1:30" x14ac:dyDescent="0.25">
      <c r="A271" s="19">
        <v>267</v>
      </c>
      <c r="B271" s="31">
        <v>53724</v>
      </c>
      <c r="C271" s="19">
        <f ca="1">IF($A271-C$3&lt;2,0,OFFSET('FPSO1 Base'!C268,-'FPSO1 Otim'!C$3,0))</f>
        <v>648.14099999999996</v>
      </c>
      <c r="D271" s="19">
        <f ca="1">IF($A271-D$3&lt;2,0,OFFSET('FPSO1 Base'!D268,-'FPSO1 Otim'!D$3,0))</f>
        <v>119.00699999999999</v>
      </c>
      <c r="E271" s="19">
        <f ca="1">IF($A271-E$3&lt;2,0,OFFSET('FPSO1 Base'!E268,-'FPSO1 Otim'!E$3,0))</f>
        <v>381.93150000000003</v>
      </c>
      <c r="F271" s="19">
        <f ca="1">IF($A271-F$3&lt;2,0,OFFSET('FPSO1 Base'!F268,-'FPSO1 Otim'!F$3,0))</f>
        <v>426.024</v>
      </c>
      <c r="G271" s="19">
        <f ca="1">IF($A271-G$3&lt;2,0,OFFSET('FPSO1 Base'!G268,-'FPSO1 Otim'!G$3,0))</f>
        <v>140.29949999999999</v>
      </c>
      <c r="H271" s="19">
        <f ca="1">IF($A271-H$3&lt;2,0,OFFSET('FPSO1 Base'!H268,-'FPSO1 Otim'!H$3,0))</f>
        <v>574.21949999999993</v>
      </c>
      <c r="I271" s="19">
        <f ca="1">IF($A271-I$3&lt;2,0,OFFSET('FPSO1 Base'!I268,-'FPSO1 Otim'!I$3,0))</f>
        <v>443.72550000000001</v>
      </c>
      <c r="J271" s="19">
        <f ca="1">IF($A271-J$3&lt;2,0,OFFSET('FPSO1 Base'!J268,-'FPSO1 Otim'!J$3,0))</f>
        <v>241.79999999999998</v>
      </c>
      <c r="K271" s="19">
        <f ca="1">IF($A271-K$3&lt;2,0,OFFSET('FPSO1 Base'!K268,-'FPSO1 Otim'!K$3,0))</f>
        <v>277.03800000000001</v>
      </c>
      <c r="L271" s="19">
        <f ca="1">IF($A271-L$3&lt;2,0,OFFSET('FPSO1 Base'!L268,-'FPSO1 Otim'!L$3,0))</f>
        <v>299.76300000000003</v>
      </c>
      <c r="M271" s="19">
        <f ca="1">IF($A271-M$3&lt;2,0,OFFSET('FPSO1 Base'!M268,-'FPSO1 Otim'!M$3,0))</f>
        <v>398.661</v>
      </c>
      <c r="N271" s="19">
        <f ca="1">IF($A271-N$3&lt;2,0,OFFSET('FPSO1 Base'!N268,-'FPSO1 Otim'!N$3,0))</f>
        <v>23.863711849442179</v>
      </c>
      <c r="O271" s="19">
        <f ca="1">IF($A271-O$3&lt;2,0,OFFSET('FPSO1 Base'!O268,-'FPSO1 Otim'!O$3,0))</f>
        <v>297.822</v>
      </c>
      <c r="P271" s="19">
        <f ca="1">IF($A271-P$3&lt;2,0,OFFSET('FPSO1 Base'!P268,-'FPSO1 Otim'!P$3,0))</f>
        <v>136.04890504581326</v>
      </c>
      <c r="Q271" s="19">
        <f ca="1">IF($A271-Q$3&lt;2,0,OFFSET('FPSO1 Base'!Q268,-'FPSO1 Otim'!Q$3,0))</f>
        <v>381.42449999999997</v>
      </c>
      <c r="R271" s="19">
        <f ca="1">IF($A271-R$3&lt;2,0,OFFSET('FPSO1 Base'!R268,-'FPSO1 Otim'!R$3,0))</f>
        <v>42.354247110523623</v>
      </c>
      <c r="S271" s="19">
        <f ca="1">IF($A271-S$3&lt;2,0,OFFSET('FPSO1 Base'!S268,-'FPSO1 Otim'!S$3,0))</f>
        <v>296.66250000000002</v>
      </c>
      <c r="T271" s="19">
        <f ca="1">IF($A271-T$3&lt;2,0,OFFSET('FPSO1 Base'!T268,-'FPSO1 Otim'!T$3,0))</f>
        <v>576.65250000000003</v>
      </c>
      <c r="U271" s="19">
        <f ca="1">IF($A271-U$3&lt;2,0,OFFSET('FPSO1 Base'!U268,-'FPSO1 Otim'!U$3,0))</f>
        <v>584.65049999999997</v>
      </c>
      <c r="V271" s="19">
        <f ca="1">IF($A271-V$3&lt;2,0,OFFSET('FPSO1 Base'!V268,-'FPSO1 Otim'!V$3,0))</f>
        <v>475.64549999999997</v>
      </c>
      <c r="W271" s="19">
        <f ca="1">IF($A271-W$3&lt;2,0,OFFSET('FPSO1 Base'!W268,-'FPSO1 Otim'!W$3,0))</f>
        <v>240.5085</v>
      </c>
      <c r="X271" s="19">
        <f ca="1">IF($A271-X$3&lt;2,0,OFFSET('FPSO1 Base'!X268,-'FPSO1 Otim'!X$3,0))</f>
        <v>766.16100000000006</v>
      </c>
      <c r="Y271" s="19">
        <f ca="1">IF($A271-Y$3&lt;2,0,OFFSET('FPSO1 Base'!Y268,-'FPSO1 Otim'!Y$3,0))</f>
        <v>443.36249999999995</v>
      </c>
      <c r="Z271" s="19">
        <f ca="1">IF($A271-Z$3&lt;2,0,OFFSET('FPSO1 Base'!Z268,-'FPSO1 Otim'!Z$3,0))</f>
        <v>364.21199999999999</v>
      </c>
      <c r="AA271" s="20">
        <v>15000</v>
      </c>
      <c r="AB271" s="19">
        <f t="shared" ca="1" si="16"/>
        <v>8579.9783640057776</v>
      </c>
      <c r="AC271" s="20">
        <f t="shared" ca="1" si="17"/>
        <v>6420.0216359942224</v>
      </c>
      <c r="AD271" s="19">
        <f t="shared" ca="1" si="18"/>
        <v>951.46597322793673</v>
      </c>
    </row>
    <row r="272" spans="1:30" x14ac:dyDescent="0.25">
      <c r="A272" s="19">
        <v>268</v>
      </c>
      <c r="B272" s="31">
        <v>53752</v>
      </c>
      <c r="C272" s="19">
        <f ca="1">IF($A272-C$3&lt;2,0,OFFSET('FPSO1 Base'!C269,-'FPSO1 Otim'!C$3,0))</f>
        <v>643.39649999999995</v>
      </c>
      <c r="D272" s="19">
        <f ca="1">IF($A272-D$3&lt;2,0,OFFSET('FPSO1 Base'!D269,-'FPSO1 Otim'!D$3,0))</f>
        <v>118.416</v>
      </c>
      <c r="E272" s="19">
        <f ca="1">IF($A272-E$3&lt;2,0,OFFSET('FPSO1 Base'!E269,-'FPSO1 Otim'!E$3,0))</f>
        <v>380.625</v>
      </c>
      <c r="F272" s="19">
        <f ca="1">IF($A272-F$3&lt;2,0,OFFSET('FPSO1 Base'!F269,-'FPSO1 Otim'!F$3,0))</f>
        <v>423.65250000000003</v>
      </c>
      <c r="G272" s="19">
        <f ca="1">IF($A272-G$3&lt;2,0,OFFSET('FPSO1 Base'!G269,-'FPSO1 Otim'!G$3,0))</f>
        <v>139.422</v>
      </c>
      <c r="H272" s="19">
        <f ca="1">IF($A272-H$3&lt;2,0,OFFSET('FPSO1 Base'!H269,-'FPSO1 Otim'!H$3,0))</f>
        <v>573.68100000000004</v>
      </c>
      <c r="I272" s="19">
        <f ca="1">IF($A272-I$3&lt;2,0,OFFSET('FPSO1 Base'!I269,-'FPSO1 Otim'!I$3,0))</f>
        <v>431.05649999999997</v>
      </c>
      <c r="J272" s="19">
        <f ca="1">IF($A272-J$3&lt;2,0,OFFSET('FPSO1 Base'!J269,-'FPSO1 Otim'!J$3,0))</f>
        <v>241.4025</v>
      </c>
      <c r="K272" s="19">
        <f ca="1">IF($A272-K$3&lt;2,0,OFFSET('FPSO1 Base'!K269,-'FPSO1 Otim'!K$3,0))</f>
        <v>275.553</v>
      </c>
      <c r="L272" s="19">
        <f ca="1">IF($A272-L$3&lt;2,0,OFFSET('FPSO1 Base'!L269,-'FPSO1 Otim'!L$3,0))</f>
        <v>298.64550000000003</v>
      </c>
      <c r="M272" s="19">
        <f ca="1">IF($A272-M$3&lt;2,0,OFFSET('FPSO1 Base'!M269,-'FPSO1 Otim'!M$3,0))</f>
        <v>397.524</v>
      </c>
      <c r="N272" s="19">
        <f ca="1">IF($A272-N$3&lt;2,0,OFFSET('FPSO1 Base'!N269,-'FPSO1 Otim'!N$3,0))</f>
        <v>23.625074730947759</v>
      </c>
      <c r="O272" s="19">
        <f ca="1">IF($A272-O$3&lt;2,0,OFFSET('FPSO1 Base'!O269,-'FPSO1 Otim'!O$3,0))</f>
        <v>296.54999999999995</v>
      </c>
      <c r="P272" s="19">
        <f ca="1">IF($A272-P$3&lt;2,0,OFFSET('FPSO1 Base'!P269,-'FPSO1 Otim'!P$3,0))</f>
        <v>134.68841599535511</v>
      </c>
      <c r="Q272" s="19">
        <f ca="1">IF($A272-Q$3&lt;2,0,OFFSET('FPSO1 Base'!Q269,-'FPSO1 Otim'!Q$3,0))</f>
        <v>381.459</v>
      </c>
      <c r="R272" s="19">
        <f ca="1">IF($A272-R$3&lt;2,0,OFFSET('FPSO1 Base'!R269,-'FPSO1 Otim'!R$3,0))</f>
        <v>41.930704639418387</v>
      </c>
      <c r="S272" s="19">
        <f ca="1">IF($A272-S$3&lt;2,0,OFFSET('FPSO1 Base'!S269,-'FPSO1 Otim'!S$3,0))</f>
        <v>295.28249999999997</v>
      </c>
      <c r="T272" s="19">
        <f ca="1">IF($A272-T$3&lt;2,0,OFFSET('FPSO1 Base'!T269,-'FPSO1 Otim'!T$3,0))</f>
        <v>576.15000000000009</v>
      </c>
      <c r="U272" s="19">
        <f ca="1">IF($A272-U$3&lt;2,0,OFFSET('FPSO1 Base'!U269,-'FPSO1 Otim'!U$3,0))</f>
        <v>583.13699999999994</v>
      </c>
      <c r="V272" s="19">
        <f ca="1">IF($A272-V$3&lt;2,0,OFFSET('FPSO1 Base'!V269,-'FPSO1 Otim'!V$3,0))</f>
        <v>473.08050000000003</v>
      </c>
      <c r="W272" s="19">
        <f ca="1">IF($A272-W$3&lt;2,0,OFFSET('FPSO1 Base'!W269,-'FPSO1 Otim'!W$3,0))</f>
        <v>240.10050000000001</v>
      </c>
      <c r="X272" s="19">
        <f ca="1">IF($A272-X$3&lt;2,0,OFFSET('FPSO1 Base'!X269,-'FPSO1 Otim'!X$3,0))</f>
        <v>762.8565000000001</v>
      </c>
      <c r="Y272" s="19">
        <f ca="1">IF($A272-Y$3&lt;2,0,OFFSET('FPSO1 Base'!Y269,-'FPSO1 Otim'!Y$3,0))</f>
        <v>442.59749999999997</v>
      </c>
      <c r="Z272" s="19">
        <f ca="1">IF($A272-Z$3&lt;2,0,OFFSET('FPSO1 Base'!Z269,-'FPSO1 Otim'!Z$3,0))</f>
        <v>362.601</v>
      </c>
      <c r="AA272" s="20">
        <v>15000</v>
      </c>
      <c r="AB272" s="19">
        <f t="shared" ca="1" si="16"/>
        <v>8537.433195365722</v>
      </c>
      <c r="AC272" s="20">
        <f t="shared" ca="1" si="17"/>
        <v>6462.566804634278</v>
      </c>
      <c r="AD272" s="19">
        <f t="shared" ca="1" si="18"/>
        <v>938.92361647471137</v>
      </c>
    </row>
    <row r="273" spans="1:30" x14ac:dyDescent="0.25">
      <c r="A273" s="19">
        <v>269</v>
      </c>
      <c r="B273" s="31">
        <v>53783</v>
      </c>
      <c r="C273" s="19">
        <f ca="1">IF($A273-C$3&lt;2,0,OFFSET('FPSO1 Base'!C270,-'FPSO1 Otim'!C$3,0))</f>
        <v>639.06299999999999</v>
      </c>
      <c r="D273" s="19">
        <f ca="1">IF($A273-D$3&lt;2,0,OFFSET('FPSO1 Base'!D270,-'FPSO1 Otim'!D$3,0))</f>
        <v>117.82499999999999</v>
      </c>
      <c r="E273" s="19">
        <f ca="1">IF($A273-E$3&lt;2,0,OFFSET('FPSO1 Base'!E270,-'FPSO1 Otim'!E$3,0))</f>
        <v>379.33050000000003</v>
      </c>
      <c r="F273" s="19">
        <f ca="1">IF($A273-F$3&lt;2,0,OFFSET('FPSO1 Base'!F270,-'FPSO1 Otim'!F$3,0))</f>
        <v>421.01849999999996</v>
      </c>
      <c r="G273" s="19">
        <f ca="1">IF($A273-G$3&lt;2,0,OFFSET('FPSO1 Base'!G270,-'FPSO1 Otim'!G$3,0))</f>
        <v>139.125</v>
      </c>
      <c r="H273" s="19">
        <f ca="1">IF($A273-H$3&lt;2,0,OFFSET('FPSO1 Base'!H270,-'FPSO1 Otim'!H$3,0))</f>
        <v>573.06150000000002</v>
      </c>
      <c r="I273" s="19">
        <f ca="1">IF($A273-I$3&lt;2,0,OFFSET('FPSO1 Base'!I270,-'FPSO1 Otim'!I$3,0))</f>
        <v>428.73449999999997</v>
      </c>
      <c r="J273" s="19">
        <f ca="1">IF($A273-J$3&lt;2,0,OFFSET('FPSO1 Base'!J270,-'FPSO1 Otim'!J$3,0))</f>
        <v>241.00049999999999</v>
      </c>
      <c r="K273" s="19">
        <f ca="1">IF($A273-K$3&lt;2,0,OFFSET('FPSO1 Base'!K270,-'FPSO1 Otim'!K$3,0))</f>
        <v>273.798</v>
      </c>
      <c r="L273" s="19">
        <f ca="1">IF($A273-L$3&lt;2,0,OFFSET('FPSO1 Base'!L270,-'FPSO1 Otim'!L$3,0))</f>
        <v>297.41250000000002</v>
      </c>
      <c r="M273" s="19">
        <f ca="1">IF($A273-M$3&lt;2,0,OFFSET('FPSO1 Base'!M270,-'FPSO1 Otim'!M$3,0))</f>
        <v>396.4425</v>
      </c>
      <c r="N273" s="19">
        <f ca="1">IF($A273-N$3&lt;2,0,OFFSET('FPSO1 Base'!N270,-'FPSO1 Otim'!N$3,0))</f>
        <v>23.388823983638282</v>
      </c>
      <c r="O273" s="19">
        <f ca="1">IF($A273-O$3&lt;2,0,OFFSET('FPSO1 Base'!O270,-'FPSO1 Otim'!O$3,0))</f>
        <v>295.28249999999997</v>
      </c>
      <c r="P273" s="19">
        <f ca="1">IF($A273-P$3&lt;2,0,OFFSET('FPSO1 Base'!P270,-'FPSO1 Otim'!P$3,0))</f>
        <v>133.34153183540155</v>
      </c>
      <c r="Q273" s="19">
        <f ca="1">IF($A273-Q$3&lt;2,0,OFFSET('FPSO1 Base'!Q270,-'FPSO1 Otim'!Q$3,0))</f>
        <v>381.459</v>
      </c>
      <c r="R273" s="19">
        <f ca="1">IF($A273-R$3&lt;2,0,OFFSET('FPSO1 Base'!R270,-'FPSO1 Otim'!R$3,0))</f>
        <v>41.511397593024206</v>
      </c>
      <c r="S273" s="19">
        <f ca="1">IF($A273-S$3&lt;2,0,OFFSET('FPSO1 Base'!S270,-'FPSO1 Otim'!S$3,0))</f>
        <v>293.90250000000003</v>
      </c>
      <c r="T273" s="19">
        <f ca="1">IF($A273-T$3&lt;2,0,OFFSET('FPSO1 Base'!T270,-'FPSO1 Otim'!T$3,0))</f>
        <v>575.54100000000005</v>
      </c>
      <c r="U273" s="19">
        <f ca="1">IF($A273-U$3&lt;2,0,OFFSET('FPSO1 Base'!U270,-'FPSO1 Otim'!U$3,0))</f>
        <v>581.70899999999995</v>
      </c>
      <c r="V273" s="19">
        <f ca="1">IF($A273-V$3&lt;2,0,OFFSET('FPSO1 Base'!V270,-'FPSO1 Otim'!V$3,0))</f>
        <v>470.19600000000003</v>
      </c>
      <c r="W273" s="19">
        <f ca="1">IF($A273-W$3&lt;2,0,OFFSET('FPSO1 Base'!W270,-'FPSO1 Otim'!W$3,0))</f>
        <v>239.661</v>
      </c>
      <c r="X273" s="19">
        <f ca="1">IF($A273-X$3&lt;2,0,OFFSET('FPSO1 Base'!X270,-'FPSO1 Otim'!X$3,0))</f>
        <v>760.20899999999995</v>
      </c>
      <c r="Y273" s="19">
        <f ca="1">IF($A273-Y$3&lt;2,0,OFFSET('FPSO1 Base'!Y270,-'FPSO1 Otim'!Y$3,0))</f>
        <v>441.79950000000002</v>
      </c>
      <c r="Z273" s="19">
        <f ca="1">IF($A273-Z$3&lt;2,0,OFFSET('FPSO1 Base'!Z270,-'FPSO1 Otim'!Z$3,0))</f>
        <v>361.065</v>
      </c>
      <c r="AA273" s="20">
        <v>15000</v>
      </c>
      <c r="AB273" s="19">
        <f t="shared" ca="1" si="16"/>
        <v>8505.8777534120654</v>
      </c>
      <c r="AC273" s="20">
        <f t="shared" ca="1" si="17"/>
        <v>6494.1222465879346</v>
      </c>
      <c r="AD273" s="19">
        <f t="shared" ca="1" si="18"/>
        <v>927.72221656658542</v>
      </c>
    </row>
    <row r="274" spans="1:30" x14ac:dyDescent="0.25">
      <c r="A274" s="19">
        <v>270</v>
      </c>
      <c r="B274" s="31">
        <v>53813</v>
      </c>
      <c r="C274" s="19">
        <f ca="1">IF($A274-C$3&lt;2,0,OFFSET('FPSO1 Base'!C271,-'FPSO1 Otim'!C$3,0))</f>
        <v>634.70249999999999</v>
      </c>
      <c r="D274" s="19">
        <f ca="1">IF($A274-D$3&lt;2,0,OFFSET('FPSO1 Base'!D271,-'FPSO1 Otim'!D$3,0))</f>
        <v>117.285</v>
      </c>
      <c r="E274" s="19">
        <f ca="1">IF($A274-E$3&lt;2,0,OFFSET('FPSO1 Base'!E271,-'FPSO1 Otim'!E$3,0))</f>
        <v>378.012</v>
      </c>
      <c r="F274" s="19">
        <f ca="1">IF($A274-F$3&lt;2,0,OFFSET('FPSO1 Base'!F271,-'FPSO1 Otim'!F$3,0))</f>
        <v>418.95899999999995</v>
      </c>
      <c r="G274" s="19">
        <f ca="1">IF($A274-G$3&lt;2,0,OFFSET('FPSO1 Base'!G271,-'FPSO1 Otim'!G$3,0))</f>
        <v>138.48149999999998</v>
      </c>
      <c r="H274" s="19">
        <f ca="1">IF($A274-H$3&lt;2,0,OFFSET('FPSO1 Base'!H271,-'FPSO1 Otim'!H$3,0))</f>
        <v>572.51700000000005</v>
      </c>
      <c r="I274" s="19">
        <f ca="1">IF($A274-I$3&lt;2,0,OFFSET('FPSO1 Base'!I271,-'FPSO1 Otim'!I$3,0))</f>
        <v>428.19900000000001</v>
      </c>
      <c r="J274" s="19">
        <f ca="1">IF($A274-J$3&lt;2,0,OFFSET('FPSO1 Base'!J271,-'FPSO1 Otim'!J$3,0))</f>
        <v>240.60449999999997</v>
      </c>
      <c r="K274" s="19">
        <f ca="1">IF($A274-K$3&lt;2,0,OFFSET('FPSO1 Base'!K271,-'FPSO1 Otim'!K$3,0))</f>
        <v>272.11649999999997</v>
      </c>
      <c r="L274" s="19">
        <f ca="1">IF($A274-L$3&lt;2,0,OFFSET('FPSO1 Base'!L271,-'FPSO1 Otim'!L$3,0))</f>
        <v>296.31</v>
      </c>
      <c r="M274" s="19">
        <f ca="1">IF($A274-M$3&lt;2,0,OFFSET('FPSO1 Base'!M271,-'FPSO1 Otim'!M$3,0))</f>
        <v>395.625</v>
      </c>
      <c r="N274" s="19">
        <f ca="1">IF($A274-N$3&lt;2,0,OFFSET('FPSO1 Base'!N271,-'FPSO1 Otim'!N$3,0))</f>
        <v>23.1549357438019</v>
      </c>
      <c r="O274" s="19">
        <f ca="1">IF($A274-O$3&lt;2,0,OFFSET('FPSO1 Base'!O271,-'FPSO1 Otim'!O$3,0))</f>
        <v>294.072</v>
      </c>
      <c r="P274" s="19">
        <f ca="1">IF($A274-P$3&lt;2,0,OFFSET('FPSO1 Base'!P271,-'FPSO1 Otim'!P$3,0))</f>
        <v>132.00811651704754</v>
      </c>
      <c r="Q274" s="19">
        <f ca="1">IF($A274-Q$3&lt;2,0,OFFSET('FPSO1 Base'!Q271,-'FPSO1 Otim'!Q$3,0))</f>
        <v>381.375</v>
      </c>
      <c r="R274" s="19">
        <f ca="1">IF($A274-R$3&lt;2,0,OFFSET('FPSO1 Base'!R271,-'FPSO1 Otim'!R$3,0))</f>
        <v>41.096283617093967</v>
      </c>
      <c r="S274" s="19">
        <f ca="1">IF($A274-S$3&lt;2,0,OFFSET('FPSO1 Base'!S271,-'FPSO1 Otim'!S$3,0))</f>
        <v>292.45050000000003</v>
      </c>
      <c r="T274" s="19">
        <f ca="1">IF($A274-T$3&lt;2,0,OFFSET('FPSO1 Base'!T271,-'FPSO1 Otim'!T$3,0))</f>
        <v>574.83899999999994</v>
      </c>
      <c r="U274" s="19">
        <f ca="1">IF($A274-U$3&lt;2,0,OFFSET('FPSO1 Base'!U271,-'FPSO1 Otim'!U$3,0))</f>
        <v>580.22550000000001</v>
      </c>
      <c r="V274" s="19">
        <f ca="1">IF($A274-V$3&lt;2,0,OFFSET('FPSO1 Base'!V271,-'FPSO1 Otim'!V$3,0))</f>
        <v>467.952</v>
      </c>
      <c r="W274" s="19">
        <f ca="1">IF($A274-W$3&lt;2,0,OFFSET('FPSO1 Base'!W271,-'FPSO1 Otim'!W$3,0))</f>
        <v>239.322</v>
      </c>
      <c r="X274" s="19">
        <f ca="1">IF($A274-X$3&lt;2,0,OFFSET('FPSO1 Base'!X271,-'FPSO1 Otim'!X$3,0))</f>
        <v>757.05</v>
      </c>
      <c r="Y274" s="19">
        <f ca="1">IF($A274-Y$3&lt;2,0,OFFSET('FPSO1 Base'!Y271,-'FPSO1 Otim'!Y$3,0))</f>
        <v>441.048</v>
      </c>
      <c r="Z274" s="19">
        <f ca="1">IF($A274-Z$3&lt;2,0,OFFSET('FPSO1 Base'!Z271,-'FPSO1 Otim'!Z$3,0))</f>
        <v>359.26349999999996</v>
      </c>
      <c r="AA274" s="20">
        <v>15000</v>
      </c>
      <c r="AB274" s="19">
        <f t="shared" ca="1" si="16"/>
        <v>8476.6688358779429</v>
      </c>
      <c r="AC274" s="20">
        <f t="shared" ca="1" si="17"/>
        <v>6523.3311641220571</v>
      </c>
      <c r="AD274" s="19">
        <f t="shared" ca="1" si="18"/>
        <v>916.89565047300209</v>
      </c>
    </row>
    <row r="275" spans="1:30" x14ac:dyDescent="0.25">
      <c r="A275" s="19">
        <v>271</v>
      </c>
      <c r="B275" s="31">
        <v>53844</v>
      </c>
      <c r="C275" s="19">
        <f ca="1">IF($A275-C$3&lt;2,0,OFFSET('FPSO1 Base'!C272,-'FPSO1 Otim'!C$3,0))</f>
        <v>630.73800000000006</v>
      </c>
      <c r="D275" s="19">
        <f ca="1">IF($A275-D$3&lt;2,0,OFFSET('FPSO1 Base'!D272,-'FPSO1 Otim'!D$3,0))</f>
        <v>116.703</v>
      </c>
      <c r="E275" s="19">
        <f ca="1">IF($A275-E$3&lt;2,0,OFFSET('FPSO1 Base'!E272,-'FPSO1 Otim'!E$3,0))</f>
        <v>376.52549999999997</v>
      </c>
      <c r="F275" s="19">
        <f ca="1">IF($A275-F$3&lt;2,0,OFFSET('FPSO1 Base'!F272,-'FPSO1 Otim'!F$3,0))</f>
        <v>416.54999999999995</v>
      </c>
      <c r="G275" s="19">
        <f ca="1">IF($A275-G$3&lt;2,0,OFFSET('FPSO1 Base'!G272,-'FPSO1 Otim'!G$3,0))</f>
        <v>138.32399999999998</v>
      </c>
      <c r="H275" s="19">
        <f ca="1">IF($A275-H$3&lt;2,0,OFFSET('FPSO1 Base'!H272,-'FPSO1 Otim'!H$3,0))</f>
        <v>571.94849999999997</v>
      </c>
      <c r="I275" s="19">
        <f ca="1">IF($A275-I$3&lt;2,0,OFFSET('FPSO1 Base'!I272,-'FPSO1 Otim'!I$3,0))</f>
        <v>427.93500000000006</v>
      </c>
      <c r="J275" s="19">
        <f ca="1">IF($A275-J$3&lt;2,0,OFFSET('FPSO1 Base'!J272,-'FPSO1 Otim'!J$3,0))</f>
        <v>240.21750000000003</v>
      </c>
      <c r="K275" s="19">
        <f ca="1">IF($A275-K$3&lt;2,0,OFFSET('FPSO1 Base'!K272,-'FPSO1 Otim'!K$3,0))</f>
        <v>270.822</v>
      </c>
      <c r="L275" s="19">
        <f ca="1">IF($A275-L$3&lt;2,0,OFFSET('FPSO1 Base'!L272,-'FPSO1 Otim'!L$3,0))</f>
        <v>294.99149999999997</v>
      </c>
      <c r="M275" s="19">
        <f ca="1">IF($A275-M$3&lt;2,0,OFFSET('FPSO1 Base'!M272,-'FPSO1 Otim'!M$3,0))</f>
        <v>394.66200000000003</v>
      </c>
      <c r="N275" s="19">
        <f ca="1">IF($A275-N$3&lt;2,0,OFFSET('FPSO1 Base'!N272,-'FPSO1 Otim'!N$3,0))</f>
        <v>22.92338638636388</v>
      </c>
      <c r="O275" s="19">
        <f ca="1">IF($A275-O$3&lt;2,0,OFFSET('FPSO1 Base'!O272,-'FPSO1 Otim'!O$3,0))</f>
        <v>292.77449999999999</v>
      </c>
      <c r="P275" s="19">
        <f ca="1">IF($A275-P$3&lt;2,0,OFFSET('FPSO1 Base'!P272,-'FPSO1 Otim'!P$3,0))</f>
        <v>130.68803535187706</v>
      </c>
      <c r="Q275" s="19">
        <f ca="1">IF($A275-Q$3&lt;2,0,OFFSET('FPSO1 Base'!Q272,-'FPSO1 Otim'!Q$3,0))</f>
        <v>382.35449999999997</v>
      </c>
      <c r="R275" s="19">
        <f ca="1">IF($A275-R$3&lt;2,0,OFFSET('FPSO1 Base'!R272,-'FPSO1 Otim'!R$3,0))</f>
        <v>40.685320780923028</v>
      </c>
      <c r="S275" s="19">
        <f ca="1">IF($A275-S$3&lt;2,0,OFFSET('FPSO1 Base'!S272,-'FPSO1 Otim'!S$3,0))</f>
        <v>291.13350000000003</v>
      </c>
      <c r="T275" s="19">
        <f ca="1">IF($A275-T$3&lt;2,0,OFFSET('FPSO1 Base'!T272,-'FPSO1 Otim'!T$3,0))</f>
        <v>574.00049999999999</v>
      </c>
      <c r="U275" s="19">
        <f ca="1">IF($A275-U$3&lt;2,0,OFFSET('FPSO1 Base'!U272,-'FPSO1 Otim'!U$3,0))</f>
        <v>578.85450000000003</v>
      </c>
      <c r="V275" s="19">
        <f ca="1">IF($A275-V$3&lt;2,0,OFFSET('FPSO1 Base'!V272,-'FPSO1 Otim'!V$3,0))</f>
        <v>465.49950000000001</v>
      </c>
      <c r="W275" s="19">
        <f ca="1">IF($A275-W$3&lt;2,0,OFFSET('FPSO1 Base'!W272,-'FPSO1 Otim'!W$3,0))</f>
        <v>238.84800000000001</v>
      </c>
      <c r="X275" s="19">
        <f ca="1">IF($A275-X$3&lt;2,0,OFFSET('FPSO1 Base'!X272,-'FPSO1 Otim'!X$3,0))</f>
        <v>754.452</v>
      </c>
      <c r="Y275" s="19">
        <f ca="1">IF($A275-Y$3&lt;2,0,OFFSET('FPSO1 Base'!Y272,-'FPSO1 Otim'!Y$3,0))</f>
        <v>440.37150000000003</v>
      </c>
      <c r="Z275" s="19">
        <f ca="1">IF($A275-Z$3&lt;2,0,OFFSET('FPSO1 Base'!Z272,-'FPSO1 Otim'!Z$3,0))</f>
        <v>357.81</v>
      </c>
      <c r="AA275" s="20">
        <v>15000</v>
      </c>
      <c r="AB275" s="19">
        <f t="shared" ca="1" si="16"/>
        <v>8449.812242519165</v>
      </c>
      <c r="AC275" s="20">
        <f t="shared" ca="1" si="17"/>
        <v>6550.187757480835</v>
      </c>
      <c r="AD275" s="19">
        <f t="shared" ca="1" si="18"/>
        <v>906.43701216516763</v>
      </c>
    </row>
    <row r="276" spans="1:30" x14ac:dyDescent="0.25">
      <c r="A276" s="19">
        <v>272</v>
      </c>
      <c r="B276" s="31">
        <v>53874</v>
      </c>
      <c r="C276" s="19">
        <f ca="1">IF($A276-C$3&lt;2,0,OFFSET('FPSO1 Base'!C273,-'FPSO1 Otim'!C$3,0))</f>
        <v>626.7645</v>
      </c>
      <c r="D276" s="19">
        <f ca="1">IF($A276-D$3&lt;2,0,OFFSET('FPSO1 Base'!D273,-'FPSO1 Otim'!D$3,0))</f>
        <v>116.14950000000002</v>
      </c>
      <c r="E276" s="19">
        <f ca="1">IF($A276-E$3&lt;2,0,OFFSET('FPSO1 Base'!E273,-'FPSO1 Otim'!E$3,0))</f>
        <v>375.012</v>
      </c>
      <c r="F276" s="19">
        <f ca="1">IF($A276-F$3&lt;2,0,OFFSET('FPSO1 Base'!F273,-'FPSO1 Otim'!F$3,0))</f>
        <v>414.19350000000003</v>
      </c>
      <c r="G276" s="19">
        <f ca="1">IF($A276-G$3&lt;2,0,OFFSET('FPSO1 Base'!G273,-'FPSO1 Otim'!G$3,0))</f>
        <v>137.92500000000001</v>
      </c>
      <c r="H276" s="19">
        <f ca="1">IF($A276-H$3&lt;2,0,OFFSET('FPSO1 Base'!H273,-'FPSO1 Otim'!H$3,0))</f>
        <v>571.38300000000004</v>
      </c>
      <c r="I276" s="19">
        <f ca="1">IF($A276-I$3&lt;2,0,OFFSET('FPSO1 Base'!I273,-'FPSO1 Otim'!I$3,0))</f>
        <v>427.5</v>
      </c>
      <c r="J276" s="19">
        <f ca="1">IF($A276-J$3&lt;2,0,OFFSET('FPSO1 Base'!J273,-'FPSO1 Otim'!J$3,0))</f>
        <v>239.79300000000001</v>
      </c>
      <c r="K276" s="19">
        <f ca="1">IF($A276-K$3&lt;2,0,OFFSET('FPSO1 Base'!K273,-'FPSO1 Otim'!K$3,0))</f>
        <v>269.29949999999997</v>
      </c>
      <c r="L276" s="19">
        <f ca="1">IF($A276-L$3&lt;2,0,OFFSET('FPSO1 Base'!L273,-'FPSO1 Otim'!L$3,0))</f>
        <v>293.625</v>
      </c>
      <c r="M276" s="19">
        <f ca="1">IF($A276-M$3&lt;2,0,OFFSET('FPSO1 Base'!M273,-'FPSO1 Otim'!M$3,0))</f>
        <v>393.798</v>
      </c>
      <c r="N276" s="19">
        <f ca="1">IF($A276-N$3&lt;2,0,OFFSET('FPSO1 Base'!N273,-'FPSO1 Otim'!N$3,0))</f>
        <v>22.694152522500243</v>
      </c>
      <c r="O276" s="19">
        <f ca="1">IF($A276-O$3&lt;2,0,OFFSET('FPSO1 Base'!O273,-'FPSO1 Otim'!O$3,0))</f>
        <v>291.58050000000003</v>
      </c>
      <c r="P276" s="19">
        <f ca="1">IF($A276-P$3&lt;2,0,OFFSET('FPSO1 Base'!P273,-'FPSO1 Otim'!P$3,0))</f>
        <v>129.38115499835828</v>
      </c>
      <c r="Q276" s="19">
        <f ca="1">IF($A276-Q$3&lt;2,0,OFFSET('FPSO1 Base'!Q273,-'FPSO1 Otim'!Q$3,0))</f>
        <v>383.35050000000001</v>
      </c>
      <c r="R276" s="19">
        <f ca="1">IF($A276-R$3&lt;2,0,OFFSET('FPSO1 Base'!R273,-'FPSO1 Otim'!R$3,0))</f>
        <v>40.278467573113801</v>
      </c>
      <c r="S276" s="19">
        <f ca="1">IF($A276-S$3&lt;2,0,OFFSET('FPSO1 Base'!S273,-'FPSO1 Otim'!S$3,0))</f>
        <v>289.71299999999997</v>
      </c>
      <c r="T276" s="19">
        <f ca="1">IF($A276-T$3&lt;2,0,OFFSET('FPSO1 Base'!T273,-'FPSO1 Otim'!T$3,0))</f>
        <v>573.16949999999997</v>
      </c>
      <c r="U276" s="19">
        <f ca="1">IF($A276-U$3&lt;2,0,OFFSET('FPSO1 Base'!U273,-'FPSO1 Otim'!U$3,0))</f>
        <v>577.45049999999992</v>
      </c>
      <c r="V276" s="19">
        <f ca="1">IF($A276-V$3&lt;2,0,OFFSET('FPSO1 Base'!V273,-'FPSO1 Otim'!V$3,0))</f>
        <v>463.11300000000006</v>
      </c>
      <c r="W276" s="19">
        <f ca="1">IF($A276-W$3&lt;2,0,OFFSET('FPSO1 Base'!W273,-'FPSO1 Otim'!W$3,0))</f>
        <v>238.476</v>
      </c>
      <c r="X276" s="19">
        <f ca="1">IF($A276-X$3&lt;2,0,OFFSET('FPSO1 Base'!X273,-'FPSO1 Otim'!X$3,0))</f>
        <v>752.35050000000001</v>
      </c>
      <c r="Y276" s="19">
        <f ca="1">IF($A276-Y$3&lt;2,0,OFFSET('FPSO1 Base'!Y273,-'FPSO1 Otim'!Y$3,0))</f>
        <v>439.5675</v>
      </c>
      <c r="Z276" s="19">
        <f ca="1">IF($A276-Z$3&lt;2,0,OFFSET('FPSO1 Base'!Z273,-'FPSO1 Otim'!Z$3,0))</f>
        <v>356.12549999999999</v>
      </c>
      <c r="AA276" s="20">
        <v>15000</v>
      </c>
      <c r="AB276" s="19">
        <f t="shared" ca="1" si="16"/>
        <v>8422.6932750939723</v>
      </c>
      <c r="AC276" s="20">
        <f t="shared" ca="1" si="17"/>
        <v>6577.3067249060277</v>
      </c>
      <c r="AD276" s="19">
        <f t="shared" ca="1" si="18"/>
        <v>896.06070565149651</v>
      </c>
    </row>
    <row r="277" spans="1:30" x14ac:dyDescent="0.25">
      <c r="A277" s="19">
        <v>273</v>
      </c>
      <c r="B277" s="31">
        <v>53905</v>
      </c>
      <c r="C277" s="19">
        <f ca="1">IF($A277-C$3&lt;2,0,OFFSET('FPSO1 Base'!C274,-'FPSO1 Otim'!C$3,0))</f>
        <v>622.86599999999999</v>
      </c>
      <c r="D277" s="19">
        <f ca="1">IF($A277-D$3&lt;2,0,OFFSET('FPSO1 Base'!D274,-'FPSO1 Otim'!D$3,0))</f>
        <v>115.581</v>
      </c>
      <c r="E277" s="19">
        <f ca="1">IF($A277-E$3&lt;2,0,OFFSET('FPSO1 Base'!E274,-'FPSO1 Otim'!E$3,0))</f>
        <v>374.59950000000003</v>
      </c>
      <c r="F277" s="19">
        <f ca="1">IF($A277-F$3&lt;2,0,OFFSET('FPSO1 Base'!F274,-'FPSO1 Otim'!F$3,0))</f>
        <v>411.77549999999997</v>
      </c>
      <c r="G277" s="19">
        <f ca="1">IF($A277-G$3&lt;2,0,OFFSET('FPSO1 Base'!G274,-'FPSO1 Otim'!G$3,0))</f>
        <v>137.19450000000001</v>
      </c>
      <c r="H277" s="19">
        <f ca="1">IF($A277-H$3&lt;2,0,OFFSET('FPSO1 Base'!H274,-'FPSO1 Otim'!H$3,0))</f>
        <v>570.82500000000005</v>
      </c>
      <c r="I277" s="19">
        <f ca="1">IF($A277-I$3&lt;2,0,OFFSET('FPSO1 Base'!I274,-'FPSO1 Otim'!I$3,0))</f>
        <v>427.04100000000005</v>
      </c>
      <c r="J277" s="19">
        <f ca="1">IF($A277-J$3&lt;2,0,OFFSET('FPSO1 Base'!J274,-'FPSO1 Otim'!J$3,0))</f>
        <v>239.4195</v>
      </c>
      <c r="K277" s="19">
        <f ca="1">IF($A277-K$3&lt;2,0,OFFSET('FPSO1 Base'!K274,-'FPSO1 Otim'!K$3,0))</f>
        <v>267.94349999999997</v>
      </c>
      <c r="L277" s="19">
        <f ca="1">IF($A277-L$3&lt;2,0,OFFSET('FPSO1 Base'!L274,-'FPSO1 Otim'!L$3,0))</f>
        <v>292.428</v>
      </c>
      <c r="M277" s="19">
        <f ca="1">IF($A277-M$3&lt;2,0,OFFSET('FPSO1 Base'!M274,-'FPSO1 Otim'!M$3,0))</f>
        <v>392.88750000000005</v>
      </c>
      <c r="N277" s="19">
        <f ca="1">IF($A277-N$3&lt;2,0,OFFSET('FPSO1 Base'!N274,-'FPSO1 Otim'!N$3,0))</f>
        <v>22.467210997275242</v>
      </c>
      <c r="O277" s="19">
        <f ca="1">IF($A277-O$3&lt;2,0,OFFSET('FPSO1 Base'!O274,-'FPSO1 Otim'!O$3,0))</f>
        <v>290.25</v>
      </c>
      <c r="P277" s="19">
        <f ca="1">IF($A277-P$3&lt;2,0,OFFSET('FPSO1 Base'!P274,-'FPSO1 Otim'!P$3,0))</f>
        <v>128.0873434483747</v>
      </c>
      <c r="Q277" s="19">
        <f ca="1">IF($A277-Q$3&lt;2,0,OFFSET('FPSO1 Base'!Q274,-'FPSO1 Otim'!Q$3,0))</f>
        <v>384.678</v>
      </c>
      <c r="R277" s="19">
        <f ca="1">IF($A277-R$3&lt;2,0,OFFSET('FPSO1 Base'!R274,-'FPSO1 Otim'!R$3,0))</f>
        <v>39.87568289738266</v>
      </c>
      <c r="S277" s="19">
        <f ca="1">IF($A277-S$3&lt;2,0,OFFSET('FPSO1 Base'!S274,-'FPSO1 Otim'!S$3,0))</f>
        <v>288.375</v>
      </c>
      <c r="T277" s="19">
        <f ca="1">IF($A277-T$3&lt;2,0,OFFSET('FPSO1 Base'!T274,-'FPSO1 Otim'!T$3,0))</f>
        <v>572.12549999999999</v>
      </c>
      <c r="U277" s="19">
        <f ca="1">IF($A277-U$3&lt;2,0,OFFSET('FPSO1 Base'!U274,-'FPSO1 Otim'!U$3,0))</f>
        <v>576.12149999999997</v>
      </c>
      <c r="V277" s="19">
        <f ca="1">IF($A277-V$3&lt;2,0,OFFSET('FPSO1 Base'!V274,-'FPSO1 Otim'!V$3,0))</f>
        <v>460.65000000000003</v>
      </c>
      <c r="W277" s="19">
        <f ca="1">IF($A277-W$3&lt;2,0,OFFSET('FPSO1 Base'!W274,-'FPSO1 Otim'!W$3,0))</f>
        <v>238.07550000000003</v>
      </c>
      <c r="X277" s="19">
        <f ca="1">IF($A277-X$3&lt;2,0,OFFSET('FPSO1 Base'!X274,-'FPSO1 Otim'!X$3,0))</f>
        <v>749.952</v>
      </c>
      <c r="Y277" s="19">
        <f ca="1">IF($A277-Y$3&lt;2,0,OFFSET('FPSO1 Base'!Y274,-'FPSO1 Otim'!Y$3,0))</f>
        <v>438.91949999999997</v>
      </c>
      <c r="Z277" s="19">
        <f ca="1">IF($A277-Z$3&lt;2,0,OFFSET('FPSO1 Base'!Z274,-'FPSO1 Otim'!Z$3,0))</f>
        <v>354.58050000000003</v>
      </c>
      <c r="AA277" s="20">
        <v>15000</v>
      </c>
      <c r="AB277" s="19">
        <f t="shared" ca="1" si="16"/>
        <v>8396.7187373430315</v>
      </c>
      <c r="AC277" s="20">
        <f t="shared" ca="1" si="17"/>
        <v>6603.2812626569685</v>
      </c>
      <c r="AD277" s="19">
        <f t="shared" ca="1" si="18"/>
        <v>885.91474310203785</v>
      </c>
    </row>
    <row r="278" spans="1:30" x14ac:dyDescent="0.25">
      <c r="A278" s="19">
        <v>274</v>
      </c>
      <c r="B278" s="31">
        <v>53936</v>
      </c>
      <c r="C278" s="19">
        <f ca="1">IF($A278-C$3&lt;2,0,OFFSET('FPSO1 Base'!C275,-'FPSO1 Otim'!C$3,0))</f>
        <v>619.23900000000003</v>
      </c>
      <c r="D278" s="19">
        <f ca="1">IF($A278-D$3&lt;2,0,OFFSET('FPSO1 Base'!D275,-'FPSO1 Otim'!D$3,0))</f>
        <v>115.026</v>
      </c>
      <c r="E278" s="19">
        <f ca="1">IF($A278-E$3&lt;2,0,OFFSET('FPSO1 Base'!E275,-'FPSO1 Otim'!E$3,0))</f>
        <v>374.15250000000003</v>
      </c>
      <c r="F278" s="19">
        <f ca="1">IF($A278-F$3&lt;2,0,OFFSET('FPSO1 Base'!F275,-'FPSO1 Otim'!F$3,0))</f>
        <v>409.452</v>
      </c>
      <c r="G278" s="19">
        <f ca="1">IF($A278-G$3&lt;2,0,OFFSET('FPSO1 Base'!G275,-'FPSO1 Otim'!G$3,0))</f>
        <v>136.821</v>
      </c>
      <c r="H278" s="19">
        <f ca="1">IF($A278-H$3&lt;2,0,OFFSET('FPSO1 Base'!H275,-'FPSO1 Otim'!H$3,0))</f>
        <v>570.27300000000002</v>
      </c>
      <c r="I278" s="19">
        <f ca="1">IF($A278-I$3&lt;2,0,OFFSET('FPSO1 Base'!I275,-'FPSO1 Otim'!I$3,0))</f>
        <v>426.45000000000005</v>
      </c>
      <c r="J278" s="19">
        <f ca="1">IF($A278-J$3&lt;2,0,OFFSET('FPSO1 Base'!J275,-'FPSO1 Otim'!J$3,0))</f>
        <v>238.97550000000001</v>
      </c>
      <c r="K278" s="19">
        <f ca="1">IF($A278-K$3&lt;2,0,OFFSET('FPSO1 Base'!K275,-'FPSO1 Otim'!K$3,0))</f>
        <v>266.46299999999997</v>
      </c>
      <c r="L278" s="19">
        <f ca="1">IF($A278-L$3&lt;2,0,OFFSET('FPSO1 Base'!L275,-'FPSO1 Otim'!L$3,0))</f>
        <v>291.1755</v>
      </c>
      <c r="M278" s="19">
        <f ca="1">IF($A278-M$3&lt;2,0,OFFSET('FPSO1 Base'!M275,-'FPSO1 Otim'!M$3,0))</f>
        <v>392.03250000000003</v>
      </c>
      <c r="N278" s="19">
        <f ca="1">IF($A278-N$3&lt;2,0,OFFSET('FPSO1 Base'!N275,-'FPSO1 Otim'!N$3,0))</f>
        <v>22.242538887302491</v>
      </c>
      <c r="O278" s="19">
        <f ca="1">IF($A278-O$3&lt;2,0,OFFSET('FPSO1 Base'!O275,-'FPSO1 Otim'!O$3,0))</f>
        <v>289.01549999999997</v>
      </c>
      <c r="P278" s="19">
        <f ca="1">IF($A278-P$3&lt;2,0,OFFSET('FPSO1 Base'!P275,-'FPSO1 Otim'!P$3,0))</f>
        <v>126.80647001389094</v>
      </c>
      <c r="Q278" s="19">
        <f ca="1">IF($A278-Q$3&lt;2,0,OFFSET('FPSO1 Base'!Q275,-'FPSO1 Otim'!Q$3,0))</f>
        <v>386.05649999999997</v>
      </c>
      <c r="R278" s="19">
        <f ca="1">IF($A278-R$3&lt;2,0,OFFSET('FPSO1 Base'!R275,-'FPSO1 Otim'!R$3,0))</f>
        <v>39.476926068408837</v>
      </c>
      <c r="S278" s="19">
        <f ca="1">IF($A278-S$3&lt;2,0,OFFSET('FPSO1 Base'!S275,-'FPSO1 Otim'!S$3,0))</f>
        <v>287.12850000000003</v>
      </c>
      <c r="T278" s="19">
        <f ca="1">IF($A278-T$3&lt;2,0,OFFSET('FPSO1 Base'!T275,-'FPSO1 Otim'!T$3,0))</f>
        <v>571.11300000000006</v>
      </c>
      <c r="U278" s="19">
        <f ca="1">IF($A278-U$3&lt;2,0,OFFSET('FPSO1 Base'!U275,-'FPSO1 Otim'!U$3,0))</f>
        <v>574.93500000000006</v>
      </c>
      <c r="V278" s="19">
        <f ca="1">IF($A278-V$3&lt;2,0,OFFSET('FPSO1 Base'!V275,-'FPSO1 Otim'!V$3,0))</f>
        <v>458.41949999999997</v>
      </c>
      <c r="W278" s="19">
        <f ca="1">IF($A278-W$3&lt;2,0,OFFSET('FPSO1 Base'!W275,-'FPSO1 Otim'!W$3,0))</f>
        <v>237.62850000000003</v>
      </c>
      <c r="X278" s="19">
        <f ca="1">IF($A278-X$3&lt;2,0,OFFSET('FPSO1 Base'!X275,-'FPSO1 Otim'!X$3,0))</f>
        <v>747.822</v>
      </c>
      <c r="Y278" s="19">
        <f ca="1">IF($A278-Y$3&lt;2,0,OFFSET('FPSO1 Base'!Y275,-'FPSO1 Otim'!Y$3,0))</f>
        <v>438.19949999999994</v>
      </c>
      <c r="Z278" s="19">
        <f ca="1">IF($A278-Z$3&lt;2,0,OFFSET('FPSO1 Base'!Z275,-'FPSO1 Otim'!Z$3,0))</f>
        <v>352.90049999999997</v>
      </c>
      <c r="AA278" s="20">
        <v>15000</v>
      </c>
      <c r="AB278" s="19">
        <f t="shared" ca="1" si="16"/>
        <v>8371.8044349696029</v>
      </c>
      <c r="AC278" s="20">
        <f t="shared" ca="1" si="17"/>
        <v>6628.1955650303971</v>
      </c>
      <c r="AD278" s="19">
        <f t="shared" ca="1" si="18"/>
        <v>875.98621830144975</v>
      </c>
    </row>
    <row r="279" spans="1:30" x14ac:dyDescent="0.25">
      <c r="A279" s="19">
        <v>275</v>
      </c>
      <c r="B279" s="31">
        <v>53966</v>
      </c>
      <c r="C279" s="19">
        <f ca="1">IF($A279-C$3&lt;2,0,OFFSET('FPSO1 Base'!C276,-'FPSO1 Otim'!C$3,0))</f>
        <v>615.471</v>
      </c>
      <c r="D279" s="19">
        <f ca="1">IF($A279-D$3&lt;2,0,OFFSET('FPSO1 Base'!D276,-'FPSO1 Otim'!D$3,0))</f>
        <v>114.49349999999998</v>
      </c>
      <c r="E279" s="19">
        <f ca="1">IF($A279-E$3&lt;2,0,OFFSET('FPSO1 Base'!E276,-'FPSO1 Otim'!E$3,0))</f>
        <v>373.161</v>
      </c>
      <c r="F279" s="19">
        <f ca="1">IF($A279-F$3&lt;2,0,OFFSET('FPSO1 Base'!F276,-'FPSO1 Otim'!F$3,0))</f>
        <v>407.15250000000003</v>
      </c>
      <c r="G279" s="19">
        <f ca="1">IF($A279-G$3&lt;2,0,OFFSET('FPSO1 Base'!G276,-'FPSO1 Otim'!G$3,0))</f>
        <v>136.15350000000001</v>
      </c>
      <c r="H279" s="19">
        <f ca="1">IF($A279-H$3&lt;2,0,OFFSET('FPSO1 Base'!H276,-'FPSO1 Otim'!H$3,0))</f>
        <v>569.7059999999999</v>
      </c>
      <c r="I279" s="19">
        <f ca="1">IF($A279-I$3&lt;2,0,OFFSET('FPSO1 Base'!I276,-'FPSO1 Otim'!I$3,0))</f>
        <v>425.90250000000003</v>
      </c>
      <c r="J279" s="19">
        <f ca="1">IF($A279-J$3&lt;2,0,OFFSET('FPSO1 Base'!J276,-'FPSO1 Otim'!J$3,0))</f>
        <v>238.62149999999997</v>
      </c>
      <c r="K279" s="19">
        <f ca="1">IF($A279-K$3&lt;2,0,OFFSET('FPSO1 Base'!K276,-'FPSO1 Otim'!K$3,0))</f>
        <v>265.101</v>
      </c>
      <c r="L279" s="19">
        <f ca="1">IF($A279-L$3&lt;2,0,OFFSET('FPSO1 Base'!L276,-'FPSO1 Otim'!L$3,0))</f>
        <v>289.959</v>
      </c>
      <c r="M279" s="19">
        <f ca="1">IF($A279-M$3&lt;2,0,OFFSET('FPSO1 Base'!M276,-'FPSO1 Otim'!M$3,0))</f>
        <v>391.161</v>
      </c>
      <c r="N279" s="19">
        <f ca="1">IF($A279-N$3&lt;2,0,OFFSET('FPSO1 Base'!N276,-'FPSO1 Otim'!N$3,0))</f>
        <v>22.020113498429467</v>
      </c>
      <c r="O279" s="19">
        <f ca="1">IF($A279-O$3&lt;2,0,OFFSET('FPSO1 Base'!O276,-'FPSO1 Otim'!O$3,0))</f>
        <v>287.78249999999997</v>
      </c>
      <c r="P279" s="19">
        <f ca="1">IF($A279-P$3&lt;2,0,OFFSET('FPSO1 Base'!P276,-'FPSO1 Otim'!P$3,0))</f>
        <v>125.53840531375204</v>
      </c>
      <c r="Q279" s="19">
        <f ca="1">IF($A279-Q$3&lt;2,0,OFFSET('FPSO1 Base'!Q276,-'FPSO1 Otim'!Q$3,0))</f>
        <v>386.94600000000003</v>
      </c>
      <c r="R279" s="19">
        <f ca="1">IF($A279-R$3&lt;2,0,OFFSET('FPSO1 Base'!R276,-'FPSO1 Otim'!R$3,0))</f>
        <v>39.082156807724751</v>
      </c>
      <c r="S279" s="19">
        <f ca="1">IF($A279-S$3&lt;2,0,OFFSET('FPSO1 Base'!S276,-'FPSO1 Otim'!S$3,0))</f>
        <v>285.66899999999998</v>
      </c>
      <c r="T279" s="19">
        <f ca="1">IF($A279-T$3&lt;2,0,OFFSET('FPSO1 Base'!T276,-'FPSO1 Otim'!T$3,0))</f>
        <v>570.09749999999997</v>
      </c>
      <c r="U279" s="19">
        <f ca="1">IF($A279-U$3&lt;2,0,OFFSET('FPSO1 Base'!U276,-'FPSO1 Otim'!U$3,0))</f>
        <v>573.53550000000007</v>
      </c>
      <c r="V279" s="19">
        <f ca="1">IF($A279-V$3&lt;2,0,OFFSET('FPSO1 Base'!V276,-'FPSO1 Otim'!V$3,0))</f>
        <v>456.14549999999997</v>
      </c>
      <c r="W279" s="19">
        <f ca="1">IF($A279-W$3&lt;2,0,OFFSET('FPSO1 Base'!W276,-'FPSO1 Otim'!W$3,0))</f>
        <v>237.25049999999999</v>
      </c>
      <c r="X279" s="19">
        <f ca="1">IF($A279-X$3&lt;2,0,OFFSET('FPSO1 Base'!X276,-'FPSO1 Otim'!X$3,0))</f>
        <v>745.5</v>
      </c>
      <c r="Y279" s="19">
        <f ca="1">IF($A279-Y$3&lt;2,0,OFFSET('FPSO1 Base'!Y276,-'FPSO1 Otim'!Y$3,0))</f>
        <v>437.52750000000003</v>
      </c>
      <c r="Z279" s="19">
        <f ca="1">IF($A279-Z$3&lt;2,0,OFFSET('FPSO1 Base'!Z276,-'FPSO1 Otim'!Z$3,0))</f>
        <v>351.339</v>
      </c>
      <c r="AA279" s="20">
        <v>15000</v>
      </c>
      <c r="AB279" s="19">
        <f t="shared" ca="1" si="16"/>
        <v>8345.3161756199061</v>
      </c>
      <c r="AC279" s="20">
        <f t="shared" ca="1" si="17"/>
        <v>6654.6838243800939</v>
      </c>
      <c r="AD279" s="19">
        <f t="shared" ca="1" si="18"/>
        <v>865.9979618152488</v>
      </c>
    </row>
    <row r="280" spans="1:30" x14ac:dyDescent="0.25">
      <c r="A280" s="19">
        <v>276</v>
      </c>
      <c r="B280" s="31">
        <v>53997</v>
      </c>
      <c r="C280" s="19">
        <f ca="1">IF($A280-C$3&lt;2,0,OFFSET('FPSO1 Base'!C277,-'FPSO1 Otim'!C$3,0))</f>
        <v>612.03600000000006</v>
      </c>
      <c r="D280" s="19">
        <f ca="1">IF($A280-D$3&lt;2,0,OFFSET('FPSO1 Base'!D277,-'FPSO1 Otim'!D$3,0))</f>
        <v>113.95050000000001</v>
      </c>
      <c r="E280" s="19">
        <f ca="1">IF($A280-E$3&lt;2,0,OFFSET('FPSO1 Base'!E277,-'FPSO1 Otim'!E$3,0))</f>
        <v>371.6925</v>
      </c>
      <c r="F280" s="19">
        <f ca="1">IF($A280-F$3&lt;2,0,OFFSET('FPSO1 Base'!F277,-'FPSO1 Otim'!F$3,0))</f>
        <v>404.65049999999997</v>
      </c>
      <c r="G280" s="19">
        <f ca="1">IF($A280-G$3&lt;2,0,OFFSET('FPSO1 Base'!G277,-'FPSO1 Otim'!G$3,0))</f>
        <v>135.70050000000001</v>
      </c>
      <c r="H280" s="19">
        <f ca="1">IF($A280-H$3&lt;2,0,OFFSET('FPSO1 Base'!H277,-'FPSO1 Otim'!H$3,0))</f>
        <v>569.19600000000003</v>
      </c>
      <c r="I280" s="19">
        <f ca="1">IF($A280-I$3&lt;2,0,OFFSET('FPSO1 Base'!I277,-'FPSO1 Otim'!I$3,0))</f>
        <v>425.298</v>
      </c>
      <c r="J280" s="19">
        <f ca="1">IF($A280-J$3&lt;2,0,OFFSET('FPSO1 Base'!J277,-'FPSO1 Otim'!J$3,0))</f>
        <v>238.17449999999997</v>
      </c>
      <c r="K280" s="19">
        <f ca="1">IF($A280-K$3&lt;2,0,OFFSET('FPSO1 Base'!K277,-'FPSO1 Otim'!K$3,0))</f>
        <v>263.77050000000003</v>
      </c>
      <c r="L280" s="19">
        <f ca="1">IF($A280-L$3&lt;2,0,OFFSET('FPSO1 Base'!L277,-'FPSO1 Otim'!L$3,0))</f>
        <v>288.87149999999997</v>
      </c>
      <c r="M280" s="19">
        <f ca="1">IF($A280-M$3&lt;2,0,OFFSET('FPSO1 Base'!M277,-'FPSO1 Otim'!M$3,0))</f>
        <v>390.23700000000002</v>
      </c>
      <c r="N280" s="19">
        <f ca="1">IF($A280-N$3&lt;2,0,OFFSET('FPSO1 Base'!N277,-'FPSO1 Otim'!N$3,0))</f>
        <v>21.799912363445173</v>
      </c>
      <c r="O280" s="19">
        <f ca="1">IF($A280-O$3&lt;2,0,OFFSET('FPSO1 Base'!O277,-'FPSO1 Otim'!O$3,0))</f>
        <v>286.39350000000002</v>
      </c>
      <c r="P280" s="19">
        <f ca="1">IF($A280-P$3&lt;2,0,OFFSET('FPSO1 Base'!P277,-'FPSO1 Otim'!P$3,0))</f>
        <v>124.28302126061452</v>
      </c>
      <c r="Q280" s="19">
        <f ca="1">IF($A280-Q$3&lt;2,0,OFFSET('FPSO1 Base'!Q277,-'FPSO1 Otim'!Q$3,0))</f>
        <v>387.53250000000003</v>
      </c>
      <c r="R280" s="19">
        <f ca="1">IF($A280-R$3&lt;2,0,OFFSET('FPSO1 Base'!R277,-'FPSO1 Otim'!R$3,0))</f>
        <v>38.691335239647501</v>
      </c>
      <c r="S280" s="19">
        <f ca="1">IF($A280-S$3&lt;2,0,OFFSET('FPSO1 Base'!S277,-'FPSO1 Otim'!S$3,0))</f>
        <v>284.50350000000003</v>
      </c>
      <c r="T280" s="19">
        <f ca="1">IF($A280-T$3&lt;2,0,OFFSET('FPSO1 Base'!T277,-'FPSO1 Otim'!T$3,0))</f>
        <v>568.74149999999997</v>
      </c>
      <c r="U280" s="19">
        <f ca="1">IF($A280-U$3&lt;2,0,OFFSET('FPSO1 Base'!U277,-'FPSO1 Otim'!U$3,0))</f>
        <v>572.44350000000009</v>
      </c>
      <c r="V280" s="19">
        <f ca="1">IF($A280-V$3&lt;2,0,OFFSET('FPSO1 Base'!V277,-'FPSO1 Otim'!V$3,0))</f>
        <v>453.79950000000002</v>
      </c>
      <c r="W280" s="19">
        <f ca="1">IF($A280-W$3&lt;2,0,OFFSET('FPSO1 Base'!W277,-'FPSO1 Otim'!W$3,0))</f>
        <v>236.80650000000003</v>
      </c>
      <c r="X280" s="19">
        <f ca="1">IF($A280-X$3&lt;2,0,OFFSET('FPSO1 Base'!X277,-'FPSO1 Otim'!X$3,0))</f>
        <v>743.226</v>
      </c>
      <c r="Y280" s="19">
        <f ca="1">IF($A280-Y$3&lt;2,0,OFFSET('FPSO1 Base'!Y277,-'FPSO1 Otim'!Y$3,0))</f>
        <v>436.79999999999995</v>
      </c>
      <c r="Z280" s="19">
        <f ca="1">IF($A280-Z$3&lt;2,0,OFFSET('FPSO1 Base'!Z277,-'FPSO1 Otim'!Z$3,0))</f>
        <v>349.75350000000003</v>
      </c>
      <c r="AA280" s="20">
        <v>15000</v>
      </c>
      <c r="AB280" s="19">
        <f t="shared" ca="1" si="16"/>
        <v>8318.3517688637075</v>
      </c>
      <c r="AC280" s="20">
        <f t="shared" ca="1" si="17"/>
        <v>6681.6482311362925</v>
      </c>
      <c r="AD280" s="19">
        <f t="shared" ca="1" si="18"/>
        <v>856.06596771465877</v>
      </c>
    </row>
    <row r="281" spans="1:30" x14ac:dyDescent="0.25">
      <c r="A281" s="19">
        <v>277</v>
      </c>
      <c r="B281" s="31">
        <v>54027</v>
      </c>
      <c r="C281" s="19">
        <f ca="1">IF($A281-C$3&lt;2,0,OFFSET('FPSO1 Base'!C278,-'FPSO1 Otim'!C$3,0))</f>
        <v>608.54849999999999</v>
      </c>
      <c r="D281" s="19">
        <f ca="1">IF($A281-D$3&lt;2,0,OFFSET('FPSO1 Base'!D278,-'FPSO1 Otim'!D$3,0))</f>
        <v>113.40300000000001</v>
      </c>
      <c r="E281" s="19">
        <f ca="1">IF($A281-E$3&lt;2,0,OFFSET('FPSO1 Base'!E278,-'FPSO1 Otim'!E$3,0))</f>
        <v>370.60950000000003</v>
      </c>
      <c r="F281" s="19">
        <f ca="1">IF($A281-F$3&lt;2,0,OFFSET('FPSO1 Base'!F278,-'FPSO1 Otim'!F$3,0))</f>
        <v>413.25</v>
      </c>
      <c r="G281" s="19">
        <f ca="1">IF($A281-G$3&lt;2,0,OFFSET('FPSO1 Base'!G278,-'FPSO1 Otim'!G$3,0))</f>
        <v>135.77549999999999</v>
      </c>
      <c r="H281" s="19">
        <f ca="1">IF($A281-H$3&lt;2,0,OFFSET('FPSO1 Base'!H278,-'FPSO1 Otim'!H$3,0))</f>
        <v>568.66650000000004</v>
      </c>
      <c r="I281" s="19">
        <f ca="1">IF($A281-I$3&lt;2,0,OFFSET('FPSO1 Base'!I278,-'FPSO1 Otim'!I$3,0))</f>
        <v>424.65000000000003</v>
      </c>
      <c r="J281" s="19">
        <f ca="1">IF($A281-J$3&lt;2,0,OFFSET('FPSO1 Base'!J278,-'FPSO1 Otim'!J$3,0))</f>
        <v>237.798</v>
      </c>
      <c r="K281" s="19">
        <f ca="1">IF($A281-K$3&lt;2,0,OFFSET('FPSO1 Base'!K278,-'FPSO1 Otim'!K$3,0))</f>
        <v>262.36199999999997</v>
      </c>
      <c r="L281" s="19">
        <f ca="1">IF($A281-L$3&lt;2,0,OFFSET('FPSO1 Base'!L278,-'FPSO1 Otim'!L$3,0))</f>
        <v>287.57100000000003</v>
      </c>
      <c r="M281" s="19">
        <f ca="1">IF($A281-M$3&lt;2,0,OFFSET('FPSO1 Base'!M278,-'FPSO1 Otim'!M$3,0))</f>
        <v>389.35949999999997</v>
      </c>
      <c r="N281" s="19">
        <f ca="1">IF($A281-N$3&lt;2,0,OFFSET('FPSO1 Base'!N278,-'FPSO1 Otim'!N$3,0))</f>
        <v>21.581913239810721</v>
      </c>
      <c r="O281" s="19">
        <f ca="1">IF($A281-O$3&lt;2,0,OFFSET('FPSO1 Base'!O278,-'FPSO1 Otim'!O$3,0))</f>
        <v>285.26549999999997</v>
      </c>
      <c r="P281" s="19">
        <f ca="1">IF($A281-P$3&lt;2,0,OFFSET('FPSO1 Base'!P278,-'FPSO1 Otim'!P$3,0))</f>
        <v>123.04019104800837</v>
      </c>
      <c r="Q281" s="19">
        <f ca="1">IF($A281-Q$3&lt;2,0,OFFSET('FPSO1 Base'!Q278,-'FPSO1 Otim'!Q$3,0))</f>
        <v>388.15049999999997</v>
      </c>
      <c r="R281" s="19">
        <f ca="1">IF($A281-R$3&lt;2,0,OFFSET('FPSO1 Base'!R278,-'FPSO1 Otim'!R$3,0))</f>
        <v>38.304421887251024</v>
      </c>
      <c r="S281" s="19">
        <f ca="1">IF($A281-S$3&lt;2,0,OFFSET('FPSO1 Base'!S278,-'FPSO1 Otim'!S$3,0))</f>
        <v>283.15049999999997</v>
      </c>
      <c r="T281" s="19">
        <f ca="1">IF($A281-T$3&lt;2,0,OFFSET('FPSO1 Base'!T278,-'FPSO1 Otim'!T$3,0))</f>
        <v>567.60450000000003</v>
      </c>
      <c r="U281" s="19">
        <f ca="1">IF($A281-U$3&lt;2,0,OFFSET('FPSO1 Base'!U278,-'FPSO1 Otim'!U$3,0))</f>
        <v>571.17450000000008</v>
      </c>
      <c r="V281" s="19">
        <f ca="1">IF($A281-V$3&lt;2,0,OFFSET('FPSO1 Base'!V278,-'FPSO1 Otim'!V$3,0))</f>
        <v>521.46749999999997</v>
      </c>
      <c r="W281" s="19">
        <f ca="1">IF($A281-W$3&lt;2,0,OFFSET('FPSO1 Base'!W278,-'FPSO1 Otim'!W$3,0))</f>
        <v>236.4195</v>
      </c>
      <c r="X281" s="19">
        <f ca="1">IF($A281-X$3&lt;2,0,OFFSET('FPSO1 Base'!X278,-'FPSO1 Otim'!X$3,0))</f>
        <v>740.7</v>
      </c>
      <c r="Y281" s="19">
        <f ca="1">IF($A281-Y$3&lt;2,0,OFFSET('FPSO1 Base'!Y278,-'FPSO1 Otim'!Y$3,0))</f>
        <v>436.11300000000006</v>
      </c>
      <c r="Z281" s="19">
        <f ca="1">IF($A281-Z$3&lt;2,0,OFFSET('FPSO1 Base'!Z278,-'FPSO1 Otim'!Z$3,0))</f>
        <v>348.13800000000003</v>
      </c>
      <c r="AA281" s="20">
        <v>15000</v>
      </c>
      <c r="AB281" s="19">
        <f t="shared" ca="1" si="16"/>
        <v>8373.1035261750694</v>
      </c>
      <c r="AC281" s="20">
        <f t="shared" ca="1" si="17"/>
        <v>6626.8964738249306</v>
      </c>
      <c r="AD281" s="19">
        <f t="shared" ca="1" si="18"/>
        <v>854.57913875411771</v>
      </c>
    </row>
    <row r="282" spans="1:30" x14ac:dyDescent="0.25">
      <c r="A282" s="19">
        <v>278</v>
      </c>
      <c r="B282" s="31">
        <v>54058</v>
      </c>
      <c r="C282" s="19">
        <f ca="1">IF($A282-C$3&lt;2,0,OFFSET('FPSO1 Base'!C279,-'FPSO1 Otim'!C$3,0))</f>
        <v>605.19299999999998</v>
      </c>
      <c r="D282" s="19">
        <f ca="1">IF($A282-D$3&lt;2,0,OFFSET('FPSO1 Base'!D279,-'FPSO1 Otim'!D$3,0))</f>
        <v>112.82849999999999</v>
      </c>
      <c r="E282" s="19">
        <f ca="1">IF($A282-E$3&lt;2,0,OFFSET('FPSO1 Base'!E279,-'FPSO1 Otim'!E$3,0))</f>
        <v>369.40049999999997</v>
      </c>
      <c r="F282" s="19">
        <f ca="1">IF($A282-F$3&lt;2,0,OFFSET('FPSO1 Base'!F279,-'FPSO1 Otim'!F$3,0))</f>
        <v>412.79999999999995</v>
      </c>
      <c r="G282" s="19">
        <f ca="1">IF($A282-G$3&lt;2,0,OFFSET('FPSO1 Base'!G279,-'FPSO1 Otim'!G$3,0))</f>
        <v>135.2175</v>
      </c>
      <c r="H282" s="19">
        <f ca="1">IF($A282-H$3&lt;2,0,OFFSET('FPSO1 Base'!H279,-'FPSO1 Otim'!H$3,0))</f>
        <v>568.09050000000002</v>
      </c>
      <c r="I282" s="19">
        <f ca="1">IF($A282-I$3&lt;2,0,OFFSET('FPSO1 Base'!I279,-'FPSO1 Otim'!I$3,0))</f>
        <v>423.99149999999997</v>
      </c>
      <c r="J282" s="19">
        <f ca="1">IF($A282-J$3&lt;2,0,OFFSET('FPSO1 Base'!J279,-'FPSO1 Otim'!J$3,0))</f>
        <v>237.387</v>
      </c>
      <c r="K282" s="19">
        <f ca="1">IF($A282-K$3&lt;2,0,OFFSET('FPSO1 Base'!K279,-'FPSO1 Otim'!K$3,0))</f>
        <v>261.10950000000003</v>
      </c>
      <c r="L282" s="19">
        <f ca="1">IF($A282-L$3&lt;2,0,OFFSET('FPSO1 Base'!L279,-'FPSO1 Otim'!L$3,0))</f>
        <v>286.56</v>
      </c>
      <c r="M282" s="19">
        <f ca="1">IF($A282-M$3&lt;2,0,OFFSET('FPSO1 Base'!M279,-'FPSO1 Otim'!M$3,0))</f>
        <v>388.42499999999995</v>
      </c>
      <c r="N282" s="19">
        <f ca="1">IF($A282-N$3&lt;2,0,OFFSET('FPSO1 Base'!N279,-'FPSO1 Otim'!N$3,0))</f>
        <v>21.366094107412614</v>
      </c>
      <c r="O282" s="19">
        <f ca="1">IF($A282-O$3&lt;2,0,OFFSET('FPSO1 Base'!O279,-'FPSO1 Otim'!O$3,0))</f>
        <v>283.875</v>
      </c>
      <c r="P282" s="19">
        <f ca="1">IF($A282-P$3&lt;2,0,OFFSET('FPSO1 Base'!P279,-'FPSO1 Otim'!P$3,0))</f>
        <v>121.80978913752828</v>
      </c>
      <c r="Q282" s="19">
        <f ca="1">IF($A282-Q$3&lt;2,0,OFFSET('FPSO1 Base'!Q279,-'FPSO1 Otim'!Q$3,0))</f>
        <v>388.64549999999997</v>
      </c>
      <c r="R282" s="19">
        <f ca="1">IF($A282-R$3&lt;2,0,OFFSET('FPSO1 Base'!R279,-'FPSO1 Otim'!R$3,0))</f>
        <v>37.921377668378511</v>
      </c>
      <c r="S282" s="19">
        <f ca="1">IF($A282-S$3&lt;2,0,OFFSET('FPSO1 Base'!S279,-'FPSO1 Otim'!S$3,0))</f>
        <v>281.952</v>
      </c>
      <c r="T282" s="19">
        <f ca="1">IF($A282-T$3&lt;2,0,OFFSET('FPSO1 Base'!T279,-'FPSO1 Otim'!T$3,0))</f>
        <v>566.17499999999995</v>
      </c>
      <c r="U282" s="19">
        <f ca="1">IF($A282-U$3&lt;2,0,OFFSET('FPSO1 Base'!U279,-'FPSO1 Otim'!U$3,0))</f>
        <v>570</v>
      </c>
      <c r="V282" s="19">
        <f ca="1">IF($A282-V$3&lt;2,0,OFFSET('FPSO1 Base'!V279,-'FPSO1 Otim'!V$3,0))</f>
        <v>526.5</v>
      </c>
      <c r="W282" s="19">
        <f ca="1">IF($A282-W$3&lt;2,0,OFFSET('FPSO1 Base'!W279,-'FPSO1 Otim'!W$3,0))</f>
        <v>235.97550000000001</v>
      </c>
      <c r="X282" s="19">
        <f ca="1">IF($A282-X$3&lt;2,0,OFFSET('FPSO1 Base'!X279,-'FPSO1 Otim'!X$3,0))</f>
        <v>738.14549999999997</v>
      </c>
      <c r="Y282" s="19">
        <f ca="1">IF($A282-Y$3&lt;2,0,OFFSET('FPSO1 Base'!Y279,-'FPSO1 Otim'!Y$3,0))</f>
        <v>435.43500000000006</v>
      </c>
      <c r="Z282" s="19">
        <f ca="1">IF($A282-Z$3&lt;2,0,OFFSET('FPSO1 Base'!Z279,-'FPSO1 Otim'!Z$3,0))</f>
        <v>347.00850000000003</v>
      </c>
      <c r="AA282" s="20">
        <v>15000</v>
      </c>
      <c r="AB282" s="19">
        <f t="shared" ca="1" si="16"/>
        <v>8355.8122609133188</v>
      </c>
      <c r="AC282" s="20">
        <f t="shared" ca="1" si="17"/>
        <v>6644.1877390866812</v>
      </c>
      <c r="AD282" s="19">
        <f t="shared" ca="1" si="18"/>
        <v>845.76629803762955</v>
      </c>
    </row>
    <row r="283" spans="1:30" x14ac:dyDescent="0.25">
      <c r="A283" s="19">
        <v>279</v>
      </c>
      <c r="B283" s="31">
        <v>54089</v>
      </c>
      <c r="C283" s="19">
        <f ca="1">IF($A283-C$3&lt;2,0,OFFSET('FPSO1 Base'!C280,-'FPSO1 Otim'!C$3,0))</f>
        <v>602.26049999999998</v>
      </c>
      <c r="D283" s="19">
        <f ca="1">IF($A283-D$3&lt;2,0,OFFSET('FPSO1 Base'!D280,-'FPSO1 Otim'!D$3,0))</f>
        <v>112.30500000000001</v>
      </c>
      <c r="E283" s="19">
        <f ca="1">IF($A283-E$3&lt;2,0,OFFSET('FPSO1 Base'!E280,-'FPSO1 Otim'!E$3,0))</f>
        <v>367.75350000000003</v>
      </c>
      <c r="F283" s="19">
        <f ca="1">IF($A283-F$3&lt;2,0,OFFSET('FPSO1 Base'!F280,-'FPSO1 Otim'!F$3,0))</f>
        <v>411.14549999999997</v>
      </c>
      <c r="G283" s="19">
        <f ca="1">IF($A283-G$3&lt;2,0,OFFSET('FPSO1 Base'!G280,-'FPSO1 Otim'!G$3,0))</f>
        <v>134.77800000000002</v>
      </c>
      <c r="H283" s="19">
        <f ca="1">IF($A283-H$3&lt;2,0,OFFSET('FPSO1 Base'!H280,-'FPSO1 Otim'!H$3,0))</f>
        <v>567.57900000000006</v>
      </c>
      <c r="I283" s="19">
        <f ca="1">IF($A283-I$3&lt;2,0,OFFSET('FPSO1 Base'!I280,-'FPSO1 Otim'!I$3,0))</f>
        <v>423.29999999999995</v>
      </c>
      <c r="J283" s="19">
        <f ca="1">IF($A283-J$3&lt;2,0,OFFSET('FPSO1 Base'!J280,-'FPSO1 Otim'!J$3,0))</f>
        <v>236.97450000000001</v>
      </c>
      <c r="K283" s="19">
        <f ca="1">IF($A283-K$3&lt;2,0,OFFSET('FPSO1 Base'!K280,-'FPSO1 Otim'!K$3,0))</f>
        <v>259.77449999999999</v>
      </c>
      <c r="L283" s="19">
        <f ca="1">IF($A283-L$3&lt;2,0,OFFSET('FPSO1 Base'!L280,-'FPSO1 Otim'!L$3,0))</f>
        <v>285.34950000000003</v>
      </c>
      <c r="M283" s="19">
        <f ca="1">IF($A283-M$3&lt;2,0,OFFSET('FPSO1 Base'!M280,-'FPSO1 Otim'!M$3,0))</f>
        <v>387.52049999999997</v>
      </c>
      <c r="N283" s="19">
        <f ca="1">IF($A283-N$3&lt;2,0,OFFSET('FPSO1 Base'!N280,-'FPSO1 Otim'!N$3,0))</f>
        <v>21.152433166338486</v>
      </c>
      <c r="O283" s="19">
        <f ca="1">IF($A283-O$3&lt;2,0,OFFSET('FPSO1 Base'!O280,-'FPSO1 Otim'!O$3,0))</f>
        <v>282.678</v>
      </c>
      <c r="P283" s="19">
        <f ca="1">IF($A283-P$3&lt;2,0,OFFSET('FPSO1 Base'!P280,-'FPSO1 Otim'!P$3,0))</f>
        <v>120.591691246153</v>
      </c>
      <c r="Q283" s="19">
        <f ca="1">IF($A283-Q$3&lt;2,0,OFFSET('FPSO1 Base'!Q280,-'FPSO1 Otim'!Q$3,0))</f>
        <v>389.07449999999994</v>
      </c>
      <c r="R283" s="19">
        <f ca="1">IF($A283-R$3&lt;2,0,OFFSET('FPSO1 Base'!R280,-'FPSO1 Otim'!R$3,0))</f>
        <v>37.542163891694727</v>
      </c>
      <c r="S283" s="19">
        <f ca="1">IF($A283-S$3&lt;2,0,OFFSET('FPSO1 Base'!S280,-'FPSO1 Otim'!S$3,0))</f>
        <v>280.61249999999995</v>
      </c>
      <c r="T283" s="19">
        <f ca="1">IF($A283-T$3&lt;2,0,OFFSET('FPSO1 Base'!T280,-'FPSO1 Otim'!T$3,0))</f>
        <v>564.798</v>
      </c>
      <c r="U283" s="19">
        <f ca="1">IF($A283-U$3&lt;2,0,OFFSET('FPSO1 Base'!U280,-'FPSO1 Otim'!U$3,0))</f>
        <v>569.12549999999999</v>
      </c>
      <c r="V283" s="19">
        <f ca="1">IF($A283-V$3&lt;2,0,OFFSET('FPSO1 Base'!V280,-'FPSO1 Otim'!V$3,0))</f>
        <v>524.46749999999997</v>
      </c>
      <c r="W283" s="19">
        <f ca="1">IF($A283-W$3&lt;2,0,OFFSET('FPSO1 Base'!W280,-'FPSO1 Otim'!W$3,0))</f>
        <v>235.5975</v>
      </c>
      <c r="X283" s="19">
        <f ca="1">IF($A283-X$3&lt;2,0,OFFSET('FPSO1 Base'!X280,-'FPSO1 Otim'!X$3,0))</f>
        <v>735.58050000000003</v>
      </c>
      <c r="Y283" s="19">
        <f ca="1">IF($A283-Y$3&lt;2,0,OFFSET('FPSO1 Base'!Y280,-'FPSO1 Otim'!Y$3,0))</f>
        <v>434.72550000000001</v>
      </c>
      <c r="Z283" s="19">
        <f ca="1">IF($A283-Z$3&lt;2,0,OFFSET('FPSO1 Base'!Z280,-'FPSO1 Otim'!Z$3,0))</f>
        <v>345.42449999999997</v>
      </c>
      <c r="AA283" s="20">
        <v>15000</v>
      </c>
      <c r="AB283" s="19">
        <f t="shared" ca="1" si="16"/>
        <v>8330.1107883041859</v>
      </c>
      <c r="AC283" s="20">
        <f t="shared" ca="1" si="17"/>
        <v>6669.8892116958141</v>
      </c>
      <c r="AD283" s="19">
        <f t="shared" ca="1" si="18"/>
        <v>836.19651840151585</v>
      </c>
    </row>
    <row r="284" spans="1:30" x14ac:dyDescent="0.25">
      <c r="A284" s="19">
        <v>280</v>
      </c>
      <c r="B284" s="31">
        <v>54118</v>
      </c>
      <c r="C284" s="19">
        <f ca="1">IF($A284-C$3&lt;2,0,OFFSET('FPSO1 Base'!C281,-'FPSO1 Otim'!C$3,0))</f>
        <v>599.1690000000001</v>
      </c>
      <c r="D284" s="19">
        <f ca="1">IF($A284-D$3&lt;2,0,OFFSET('FPSO1 Base'!D281,-'FPSO1 Otim'!D$3,0))</f>
        <v>111.76500000000001</v>
      </c>
      <c r="E284" s="19">
        <f ca="1">IF($A284-E$3&lt;2,0,OFFSET('FPSO1 Base'!E281,-'FPSO1 Otim'!E$3,0))</f>
        <v>365.77499999999998</v>
      </c>
      <c r="F284" s="19">
        <f ca="1">IF($A284-F$3&lt;2,0,OFFSET('FPSO1 Base'!F281,-'FPSO1 Otim'!F$3,0))</f>
        <v>409.30649999999997</v>
      </c>
      <c r="G284" s="19">
        <f ca="1">IF($A284-G$3&lt;2,0,OFFSET('FPSO1 Base'!G281,-'FPSO1 Otim'!G$3,0))</f>
        <v>134.14350000000002</v>
      </c>
      <c r="H284" s="19">
        <f ca="1">IF($A284-H$3&lt;2,0,OFFSET('FPSO1 Base'!H281,-'FPSO1 Otim'!H$3,0))</f>
        <v>567.04049999999995</v>
      </c>
      <c r="I284" s="19">
        <f ca="1">IF($A284-I$3&lt;2,0,OFFSET('FPSO1 Base'!I281,-'FPSO1 Otim'!I$3,0))</f>
        <v>422.61300000000006</v>
      </c>
      <c r="J284" s="19">
        <f ca="1">IF($A284-J$3&lt;2,0,OFFSET('FPSO1 Base'!J281,-'FPSO1 Otim'!J$3,0))</f>
        <v>236.613</v>
      </c>
      <c r="K284" s="19">
        <f ca="1">IF($A284-K$3&lt;2,0,OFFSET('FPSO1 Base'!K281,-'FPSO1 Otim'!K$3,0))</f>
        <v>258.55650000000003</v>
      </c>
      <c r="L284" s="19">
        <f ca="1">IF($A284-L$3&lt;2,0,OFFSET('FPSO1 Base'!L281,-'FPSO1 Otim'!L$3,0))</f>
        <v>284.262</v>
      </c>
      <c r="M284" s="19">
        <f ca="1">IF($A284-M$3&lt;2,0,OFFSET('FPSO1 Base'!M281,-'FPSO1 Otim'!M$3,0))</f>
        <v>386.649</v>
      </c>
      <c r="N284" s="19">
        <f ca="1">IF($A284-N$3&lt;2,0,OFFSET('FPSO1 Base'!N281,-'FPSO1 Otim'!N$3,0))</f>
        <v>20.940908834675103</v>
      </c>
      <c r="O284" s="19">
        <f ca="1">IF($A284-O$3&lt;2,0,OFFSET('FPSO1 Base'!O281,-'FPSO1 Otim'!O$3,0))</f>
        <v>281.27549999999997</v>
      </c>
      <c r="P284" s="19">
        <f ca="1">IF($A284-P$3&lt;2,0,OFFSET('FPSO1 Base'!P281,-'FPSO1 Otim'!P$3,0))</f>
        <v>119.38577433369147</v>
      </c>
      <c r="Q284" s="19">
        <f ca="1">IF($A284-Q$3&lt;2,0,OFFSET('FPSO1 Base'!Q281,-'FPSO1 Otim'!Q$3,0))</f>
        <v>389.322</v>
      </c>
      <c r="R284" s="19">
        <f ca="1">IF($A284-R$3&lt;2,0,OFFSET('FPSO1 Base'!R281,-'FPSO1 Otim'!R$3,0))</f>
        <v>37.16674225277778</v>
      </c>
      <c r="S284" s="19">
        <f ca="1">IF($A284-S$3&lt;2,0,OFFSET('FPSO1 Base'!S281,-'FPSO1 Otim'!S$3,0))</f>
        <v>279.375</v>
      </c>
      <c r="T284" s="19">
        <f ca="1">IF($A284-T$3&lt;2,0,OFFSET('FPSO1 Base'!T281,-'FPSO1 Otim'!T$3,0))</f>
        <v>563.625</v>
      </c>
      <c r="U284" s="19">
        <f ca="1">IF($A284-U$3&lt;2,0,OFFSET('FPSO1 Base'!U281,-'FPSO1 Otim'!U$3,0))</f>
        <v>567.702</v>
      </c>
      <c r="V284" s="19">
        <f ca="1">IF($A284-V$3&lt;2,0,OFFSET('FPSO1 Base'!V281,-'FPSO1 Otim'!V$3,0))</f>
        <v>522.62850000000003</v>
      </c>
      <c r="W284" s="19">
        <f ca="1">IF($A284-W$3&lt;2,0,OFFSET('FPSO1 Base'!W281,-'FPSO1 Otim'!W$3,0))</f>
        <v>235.125</v>
      </c>
      <c r="X284" s="19">
        <f ca="1">IF($A284-X$3&lt;2,0,OFFSET('FPSO1 Base'!X281,-'FPSO1 Otim'!X$3,0))</f>
        <v>732.62099999999998</v>
      </c>
      <c r="Y284" s="19">
        <f ca="1">IF($A284-Y$3&lt;2,0,OFFSET('FPSO1 Base'!Y281,-'FPSO1 Otim'!Y$3,0))</f>
        <v>434.04449999999997</v>
      </c>
      <c r="Z284" s="19">
        <f ca="1">IF($A284-Z$3&lt;2,0,OFFSET('FPSO1 Base'!Z281,-'FPSO1 Otim'!Z$3,0))</f>
        <v>343.512</v>
      </c>
      <c r="AA284" s="20">
        <v>15000</v>
      </c>
      <c r="AB284" s="19">
        <f t="shared" ca="1" si="16"/>
        <v>8302.6169254211454</v>
      </c>
      <c r="AC284" s="20">
        <f t="shared" ca="1" si="17"/>
        <v>6697.3830745788546</v>
      </c>
      <c r="AD284" s="19">
        <f t="shared" ca="1" si="18"/>
        <v>826.54871250531926</v>
      </c>
    </row>
    <row r="285" spans="1:30" x14ac:dyDescent="0.25">
      <c r="A285" s="19">
        <v>281</v>
      </c>
      <c r="B285" s="31">
        <v>54149</v>
      </c>
      <c r="C285" s="19">
        <f ca="1">IF($A285-C$3&lt;2,0,OFFSET('FPSO1 Base'!C282,-'FPSO1 Otim'!C$3,0))</f>
        <v>596.23950000000002</v>
      </c>
      <c r="D285" s="19">
        <f ca="1">IF($A285-D$3&lt;2,0,OFFSET('FPSO1 Base'!D282,-'FPSO1 Otim'!D$3,0))</f>
        <v>111.19800000000001</v>
      </c>
      <c r="E285" s="19">
        <f ca="1">IF($A285-E$3&lt;2,0,OFFSET('FPSO1 Base'!E282,-'FPSO1 Otim'!E$3,0))</f>
        <v>364.077</v>
      </c>
      <c r="F285" s="19">
        <f ca="1">IF($A285-F$3&lt;2,0,OFFSET('FPSO1 Base'!F282,-'FPSO1 Otim'!F$3,0))</f>
        <v>407.625</v>
      </c>
      <c r="G285" s="19">
        <f ca="1">IF($A285-G$3&lt;2,0,OFFSET('FPSO1 Base'!G282,-'FPSO1 Otim'!G$3,0))</f>
        <v>134.0745</v>
      </c>
      <c r="H285" s="19">
        <f ca="1">IF($A285-H$3&lt;2,0,OFFSET('FPSO1 Base'!H282,-'FPSO1 Otim'!H$3,0))</f>
        <v>566.51700000000005</v>
      </c>
      <c r="I285" s="19">
        <f ca="1">IF($A285-I$3&lt;2,0,OFFSET('FPSO1 Base'!I282,-'FPSO1 Otim'!I$3,0))</f>
        <v>421.98449999999997</v>
      </c>
      <c r="J285" s="19">
        <f ca="1">IF($A285-J$3&lt;2,0,OFFSET('FPSO1 Base'!J282,-'FPSO1 Otim'!J$3,0))</f>
        <v>236.17499999999998</v>
      </c>
      <c r="K285" s="19">
        <f ca="1">IF($A285-K$3&lt;2,0,OFFSET('FPSO1 Base'!K282,-'FPSO1 Otim'!K$3,0))</f>
        <v>257.39550000000003</v>
      </c>
      <c r="L285" s="19">
        <f ca="1">IF($A285-L$3&lt;2,0,OFFSET('FPSO1 Base'!L282,-'FPSO1 Otim'!L$3,0))</f>
        <v>283.04999999999995</v>
      </c>
      <c r="M285" s="19">
        <f ca="1">IF($A285-M$3&lt;2,0,OFFSET('FPSO1 Base'!M282,-'FPSO1 Otim'!M$3,0))</f>
        <v>385.59300000000002</v>
      </c>
      <c r="N285" s="19">
        <f ca="1">IF($A285-N$3&lt;2,0,OFFSET('FPSO1 Base'!N282,-'FPSO1 Otim'!N$3,0))</f>
        <v>20.73149974632835</v>
      </c>
      <c r="O285" s="19">
        <f ca="1">IF($A285-O$3&lt;2,0,OFFSET('FPSO1 Base'!O282,-'FPSO1 Otim'!O$3,0))</f>
        <v>280.01549999999997</v>
      </c>
      <c r="P285" s="19">
        <f ca="1">IF($A285-P$3&lt;2,0,OFFSET('FPSO1 Base'!P282,-'FPSO1 Otim'!P$3,0))</f>
        <v>118.19191659035455</v>
      </c>
      <c r="Q285" s="19">
        <f ca="1">IF($A285-Q$3&lt;2,0,OFFSET('FPSO1 Base'!Q282,-'FPSO1 Otim'!Q$3,0))</f>
        <v>389.589</v>
      </c>
      <c r="R285" s="19">
        <f ca="1">IF($A285-R$3&lt;2,0,OFFSET('FPSO1 Base'!R282,-'FPSO1 Otim'!R$3,0))</f>
        <v>36.795074830250002</v>
      </c>
      <c r="S285" s="19">
        <f ca="1">IF($A285-S$3&lt;2,0,OFFSET('FPSO1 Base'!S282,-'FPSO1 Otim'!S$3,0))</f>
        <v>278.15250000000003</v>
      </c>
      <c r="T285" s="19">
        <f ca="1">IF($A285-T$3&lt;2,0,OFFSET('FPSO1 Base'!T282,-'FPSO1 Otim'!T$3,0))</f>
        <v>561.726</v>
      </c>
      <c r="U285" s="19">
        <f ca="1">IF($A285-U$3&lt;2,0,OFFSET('FPSO1 Base'!U282,-'FPSO1 Otim'!U$3,0))</f>
        <v>566.54100000000005</v>
      </c>
      <c r="V285" s="19">
        <f ca="1">IF($A285-V$3&lt;2,0,OFFSET('FPSO1 Base'!V282,-'FPSO1 Otim'!V$3,0))</f>
        <v>521.19600000000003</v>
      </c>
      <c r="W285" s="19">
        <f ca="1">IF($A285-W$3&lt;2,0,OFFSET('FPSO1 Base'!W282,-'FPSO1 Otim'!W$3,0))</f>
        <v>234.5085</v>
      </c>
      <c r="X285" s="19">
        <f ca="1">IF($A285-X$3&lt;2,0,OFFSET('FPSO1 Base'!X282,-'FPSO1 Otim'!X$3,0))</f>
        <v>730.06499999999994</v>
      </c>
      <c r="Y285" s="19">
        <f ca="1">IF($A285-Y$3&lt;2,0,OFFSET('FPSO1 Base'!Y282,-'FPSO1 Otim'!Y$3,0))</f>
        <v>433.34999999999997</v>
      </c>
      <c r="Z285" s="19">
        <f ca="1">IF($A285-Z$3&lt;2,0,OFFSET('FPSO1 Base'!Z282,-'FPSO1 Otim'!Z$3,0))</f>
        <v>342.012</v>
      </c>
      <c r="AA285" s="20">
        <v>15000</v>
      </c>
      <c r="AB285" s="19">
        <f t="shared" ca="1" si="16"/>
        <v>8276.8029911669328</v>
      </c>
      <c r="AC285" s="20">
        <f t="shared" ca="1" si="17"/>
        <v>6723.1970088330672</v>
      </c>
      <c r="AD285" s="19">
        <f t="shared" ca="1" si="18"/>
        <v>817.16912055467992</v>
      </c>
    </row>
    <row r="286" spans="1:30" x14ac:dyDescent="0.25">
      <c r="A286" s="19">
        <v>282</v>
      </c>
      <c r="B286" s="31">
        <v>54179</v>
      </c>
      <c r="C286" s="19">
        <f ca="1">IF($A286-C$3&lt;2,0,OFFSET('FPSO1 Base'!C283,-'FPSO1 Otim'!C$3,0))</f>
        <v>593.38049999999998</v>
      </c>
      <c r="D286" s="19">
        <f ca="1">IF($A286-D$3&lt;2,0,OFFSET('FPSO1 Base'!D283,-'FPSO1 Otim'!D$3,0))</f>
        <v>110.69400000000002</v>
      </c>
      <c r="E286" s="19">
        <f ca="1">IF($A286-E$3&lt;2,0,OFFSET('FPSO1 Base'!E283,-'FPSO1 Otim'!E$3,0))</f>
        <v>362.262</v>
      </c>
      <c r="F286" s="19">
        <f ca="1">IF($A286-F$3&lt;2,0,OFFSET('FPSO1 Base'!F283,-'FPSO1 Otim'!F$3,0))</f>
        <v>406.30649999999997</v>
      </c>
      <c r="G286" s="19">
        <f ca="1">IF($A286-G$3&lt;2,0,OFFSET('FPSO1 Base'!G283,-'FPSO1 Otim'!G$3,0))</f>
        <v>133.785</v>
      </c>
      <c r="H286" s="19">
        <f ca="1">IF($A286-H$3&lt;2,0,OFFSET('FPSO1 Base'!H283,-'FPSO1 Otim'!H$3,0))</f>
        <v>565.95000000000005</v>
      </c>
      <c r="I286" s="19">
        <f ca="1">IF($A286-I$3&lt;2,0,OFFSET('FPSO1 Base'!I283,-'FPSO1 Otim'!I$3,0))</f>
        <v>421.15199999999993</v>
      </c>
      <c r="J286" s="19">
        <f ca="1">IF($A286-J$3&lt;2,0,OFFSET('FPSO1 Base'!J283,-'FPSO1 Otim'!J$3,0))</f>
        <v>235.815</v>
      </c>
      <c r="K286" s="19">
        <f ca="1">IF($A286-K$3&lt;2,0,OFFSET('FPSO1 Base'!K283,-'FPSO1 Otim'!K$3,0))</f>
        <v>256.07100000000003</v>
      </c>
      <c r="L286" s="19">
        <f ca="1">IF($A286-L$3&lt;2,0,OFFSET('FPSO1 Base'!L283,-'FPSO1 Otim'!L$3,0))</f>
        <v>281.94</v>
      </c>
      <c r="M286" s="19">
        <f ca="1">IF($A286-M$3&lt;2,0,OFFSET('FPSO1 Base'!M283,-'FPSO1 Otim'!M$3,0))</f>
        <v>384.75</v>
      </c>
      <c r="N286" s="19">
        <f ca="1">IF($A286-N$3&lt;2,0,OFFSET('FPSO1 Base'!N283,-'FPSO1 Otim'!N$3,0))</f>
        <v>20.524184748865068</v>
      </c>
      <c r="O286" s="19">
        <f ca="1">IF($A286-O$3&lt;2,0,OFFSET('FPSO1 Base'!O283,-'FPSO1 Otim'!O$3,0))</f>
        <v>278.75850000000003</v>
      </c>
      <c r="P286" s="19">
        <f ca="1">IF($A286-P$3&lt;2,0,OFFSET('FPSO1 Base'!P283,-'FPSO1 Otim'!P$3,0))</f>
        <v>117.009997424451</v>
      </c>
      <c r="Q286" s="19">
        <f ca="1">IF($A286-Q$3&lt;2,0,OFFSET('FPSO1 Base'!Q283,-'FPSO1 Otim'!Q$3,0))</f>
        <v>389.84999999999997</v>
      </c>
      <c r="R286" s="19">
        <f ca="1">IF($A286-R$3&lt;2,0,OFFSET('FPSO1 Base'!R283,-'FPSO1 Otim'!R$3,0))</f>
        <v>36.427124081947504</v>
      </c>
      <c r="S286" s="19">
        <f ca="1">IF($A286-S$3&lt;2,0,OFFSET('FPSO1 Base'!S283,-'FPSO1 Otim'!S$3,0))</f>
        <v>276.87450000000001</v>
      </c>
      <c r="T286" s="19">
        <f ca="1">IF($A286-T$3&lt;2,0,OFFSET('FPSO1 Base'!T283,-'FPSO1 Otim'!T$3,0))</f>
        <v>560.08050000000003</v>
      </c>
      <c r="U286" s="19">
        <f ca="1">IF($A286-U$3&lt;2,0,OFFSET('FPSO1 Base'!U283,-'FPSO1 Otim'!U$3,0))</f>
        <v>565.22550000000001</v>
      </c>
      <c r="V286" s="19">
        <f ca="1">IF($A286-V$3&lt;2,0,OFFSET('FPSO1 Base'!V283,-'FPSO1 Otim'!V$3,0))</f>
        <v>520.20899999999995</v>
      </c>
      <c r="W286" s="19">
        <f ca="1">IF($A286-W$3&lt;2,0,OFFSET('FPSO1 Base'!W283,-'FPSO1 Otim'!W$3,0))</f>
        <v>233.80650000000003</v>
      </c>
      <c r="X286" s="19">
        <f ca="1">IF($A286-X$3&lt;2,0,OFFSET('FPSO1 Base'!X283,-'FPSO1 Otim'!X$3,0))</f>
        <v>727.09950000000003</v>
      </c>
      <c r="Y286" s="19">
        <f ca="1">IF($A286-Y$3&lt;2,0,OFFSET('FPSO1 Base'!Y283,-'FPSO1 Otim'!Y$3,0))</f>
        <v>432.65250000000003</v>
      </c>
      <c r="Z286" s="19">
        <f ca="1">IF($A286-Z$3&lt;2,0,OFFSET('FPSO1 Base'!Z283,-'FPSO1 Otim'!Z$3,0))</f>
        <v>340.37099999999998</v>
      </c>
      <c r="AA286" s="20">
        <v>15000</v>
      </c>
      <c r="AB286" s="19">
        <f t="shared" ca="1" si="16"/>
        <v>8250.994806255263</v>
      </c>
      <c r="AC286" s="20">
        <f t="shared" ca="1" si="17"/>
        <v>6749.005193744737</v>
      </c>
      <c r="AD286" s="19">
        <f t="shared" ca="1" si="18"/>
        <v>807.88867173418123</v>
      </c>
    </row>
    <row r="287" spans="1:30" x14ac:dyDescent="0.25">
      <c r="A287" s="19">
        <v>283</v>
      </c>
      <c r="B287" s="31">
        <v>54210</v>
      </c>
      <c r="C287" s="19">
        <f ca="1">IF($A287-C$3&lt;2,0,OFFSET('FPSO1 Base'!C284,-'FPSO1 Otim'!C$3,0))</f>
        <v>590.67450000000008</v>
      </c>
      <c r="D287" s="19">
        <f ca="1">IF($A287-D$3&lt;2,0,OFFSET('FPSO1 Base'!D284,-'FPSO1 Otim'!D$3,0))</f>
        <v>110.1345</v>
      </c>
      <c r="E287" s="19">
        <f ca="1">IF($A287-E$3&lt;2,0,OFFSET('FPSO1 Base'!E284,-'FPSO1 Otim'!E$3,0))</f>
        <v>360.41250000000002</v>
      </c>
      <c r="F287" s="19">
        <f ca="1">IF($A287-F$3&lt;2,0,OFFSET('FPSO1 Base'!F284,-'FPSO1 Otim'!F$3,0))</f>
        <v>404.72550000000001</v>
      </c>
      <c r="G287" s="19">
        <f ca="1">IF($A287-G$3&lt;2,0,OFFSET('FPSO1 Base'!G284,-'FPSO1 Otim'!G$3,0))</f>
        <v>133.56299999999999</v>
      </c>
      <c r="H287" s="19">
        <f ca="1">IF($A287-H$3&lt;2,0,OFFSET('FPSO1 Base'!H284,-'FPSO1 Otim'!H$3,0))</f>
        <v>565.42949999999996</v>
      </c>
      <c r="I287" s="19">
        <f ca="1">IF($A287-I$3&lt;2,0,OFFSET('FPSO1 Base'!I284,-'FPSO1 Otim'!I$3,0))</f>
        <v>420.53250000000003</v>
      </c>
      <c r="J287" s="19">
        <f ca="1">IF($A287-J$3&lt;2,0,OFFSET('FPSO1 Base'!J284,-'FPSO1 Otim'!J$3,0))</f>
        <v>235.428</v>
      </c>
      <c r="K287" s="19">
        <f ca="1">IF($A287-K$3&lt;2,0,OFFSET('FPSO1 Base'!K284,-'FPSO1 Otim'!K$3,0))</f>
        <v>255.024</v>
      </c>
      <c r="L287" s="19">
        <f ca="1">IF($A287-L$3&lt;2,0,OFFSET('FPSO1 Base'!L284,-'FPSO1 Otim'!L$3,0))</f>
        <v>280.839</v>
      </c>
      <c r="M287" s="19">
        <f ca="1">IF($A287-M$3&lt;2,0,OFFSET('FPSO1 Base'!M284,-'FPSO1 Otim'!M$3,0))</f>
        <v>383.71199999999999</v>
      </c>
      <c r="N287" s="19">
        <f ca="1">IF($A287-N$3&lt;2,0,OFFSET('FPSO1 Base'!N284,-'FPSO1 Otim'!N$3,0))</f>
        <v>20.318942901376417</v>
      </c>
      <c r="O287" s="19">
        <f ca="1">IF($A287-O$3&lt;2,0,OFFSET('FPSO1 Base'!O284,-'FPSO1 Otim'!O$3,0))</f>
        <v>277.39949999999999</v>
      </c>
      <c r="P287" s="19">
        <f ca="1">IF($A287-P$3&lt;2,0,OFFSET('FPSO1 Base'!P284,-'FPSO1 Otim'!P$3,0))</f>
        <v>115.83989745020649</v>
      </c>
      <c r="Q287" s="19">
        <f ca="1">IF($A287-Q$3&lt;2,0,OFFSET('FPSO1 Base'!Q284,-'FPSO1 Otim'!Q$3,0))</f>
        <v>390.048</v>
      </c>
      <c r="R287" s="19">
        <f ca="1">IF($A287-R$3&lt;2,0,OFFSET('FPSO1 Base'!R284,-'FPSO1 Otim'!R$3,0))</f>
        <v>36.062852841128027</v>
      </c>
      <c r="S287" s="19">
        <f ca="1">IF($A287-S$3&lt;2,0,OFFSET('FPSO1 Base'!S284,-'FPSO1 Otim'!S$3,0))</f>
        <v>275.685</v>
      </c>
      <c r="T287" s="19">
        <f ca="1">IF($A287-T$3&lt;2,0,OFFSET('FPSO1 Base'!T284,-'FPSO1 Otim'!T$3,0))</f>
        <v>558.25049999999999</v>
      </c>
      <c r="U287" s="19">
        <f ca="1">IF($A287-U$3&lt;2,0,OFFSET('FPSO1 Base'!U284,-'FPSO1 Otim'!U$3,0))</f>
        <v>564.048</v>
      </c>
      <c r="V287" s="19">
        <f ca="1">IF($A287-V$3&lt;2,0,OFFSET('FPSO1 Base'!V284,-'FPSO1 Otim'!V$3,0))</f>
        <v>519</v>
      </c>
      <c r="W287" s="19">
        <f ca="1">IF($A287-W$3&lt;2,0,OFFSET('FPSO1 Base'!W284,-'FPSO1 Otim'!W$3,0))</f>
        <v>233.16899999999998</v>
      </c>
      <c r="X287" s="19">
        <f ca="1">IF($A287-X$3&lt;2,0,OFFSET('FPSO1 Base'!X284,-'FPSO1 Otim'!X$3,0))</f>
        <v>724.40250000000003</v>
      </c>
      <c r="Y287" s="19">
        <f ca="1">IF($A287-Y$3&lt;2,0,OFFSET('FPSO1 Base'!Y284,-'FPSO1 Otim'!Y$3,0))</f>
        <v>432.01199999999994</v>
      </c>
      <c r="Z287" s="19">
        <f ca="1">IF($A287-Z$3&lt;2,0,OFFSET('FPSO1 Base'!Z284,-'FPSO1 Otim'!Z$3,0))</f>
        <v>338.988</v>
      </c>
      <c r="AA287" s="20">
        <v>15000</v>
      </c>
      <c r="AB287" s="19">
        <f t="shared" ca="1" si="16"/>
        <v>8225.6991931927114</v>
      </c>
      <c r="AC287" s="20">
        <f t="shared" ca="1" si="17"/>
        <v>6774.3008068072886</v>
      </c>
      <c r="AD287" s="19">
        <f t="shared" ca="1" si="18"/>
        <v>798.75557824220505</v>
      </c>
    </row>
    <row r="288" spans="1:30" x14ac:dyDescent="0.25">
      <c r="A288" s="19">
        <v>284</v>
      </c>
      <c r="B288" s="31">
        <v>54240</v>
      </c>
      <c r="C288" s="19">
        <f ca="1">IF($A288-C$3&lt;2,0,OFFSET('FPSO1 Base'!C285,-'FPSO1 Otim'!C$3,0))</f>
        <v>587.99250000000006</v>
      </c>
      <c r="D288" s="19">
        <f ca="1">IF($A288-D$3&lt;2,0,OFFSET('FPSO1 Base'!D285,-'FPSO1 Otim'!D$3,0))</f>
        <v>109.61849999999998</v>
      </c>
      <c r="E288" s="19">
        <f ca="1">IF($A288-E$3&lt;2,0,OFFSET('FPSO1 Base'!E285,-'FPSO1 Otim'!E$3,0))</f>
        <v>358.75350000000003</v>
      </c>
      <c r="F288" s="19">
        <f ca="1">IF($A288-F$3&lt;2,0,OFFSET('FPSO1 Base'!F285,-'FPSO1 Otim'!F$3,0))</f>
        <v>403.35450000000003</v>
      </c>
      <c r="G288" s="19">
        <f ca="1">IF($A288-G$3&lt;2,0,OFFSET('FPSO1 Base'!G285,-'FPSO1 Otim'!G$3,0))</f>
        <v>133.17150000000001</v>
      </c>
      <c r="H288" s="19">
        <f ca="1">IF($A288-H$3&lt;2,0,OFFSET('FPSO1 Base'!H285,-'FPSO1 Otim'!H$3,0))</f>
        <v>564.91050000000007</v>
      </c>
      <c r="I288" s="19">
        <f ca="1">IF($A288-I$3&lt;2,0,OFFSET('FPSO1 Base'!I285,-'FPSO1 Otim'!I$3,0))</f>
        <v>419.74950000000001</v>
      </c>
      <c r="J288" s="19">
        <f ca="1">IF($A288-J$3&lt;2,0,OFFSET('FPSO1 Base'!J285,-'FPSO1 Otim'!J$3,0))</f>
        <v>234.9915</v>
      </c>
      <c r="K288" s="19">
        <f ca="1">IF($A288-K$3&lt;2,0,OFFSET('FPSO1 Base'!K285,-'FPSO1 Otim'!K$3,0))</f>
        <v>253.81200000000001</v>
      </c>
      <c r="L288" s="19">
        <f ca="1">IF($A288-L$3&lt;2,0,OFFSET('FPSO1 Base'!L285,-'FPSO1 Otim'!L$3,0))</f>
        <v>279.66300000000001</v>
      </c>
      <c r="M288" s="19">
        <f ca="1">IF($A288-M$3&lt;2,0,OFFSET('FPSO1 Base'!M285,-'FPSO1 Otim'!M$3,0))</f>
        <v>382.64550000000003</v>
      </c>
      <c r="N288" s="19">
        <f ca="1">IF($A288-N$3&lt;2,0,OFFSET('FPSO1 Base'!N285,-'FPSO1 Otim'!N$3,0))</f>
        <v>20.115753472362652</v>
      </c>
      <c r="O288" s="19">
        <f ca="1">IF($A288-O$3&lt;2,0,OFFSET('FPSO1 Base'!O285,-'FPSO1 Otim'!O$3,0))</f>
        <v>276.16949999999997</v>
      </c>
      <c r="P288" s="19">
        <f ca="1">IF($A288-P$3&lt;2,0,OFFSET('FPSO1 Base'!P285,-'FPSO1 Otim'!P$3,0))</f>
        <v>114.68149847570443</v>
      </c>
      <c r="Q288" s="19">
        <f ca="1">IF($A288-Q$3&lt;2,0,OFFSET('FPSO1 Base'!Q285,-'FPSO1 Otim'!Q$3,0))</f>
        <v>390.25049999999999</v>
      </c>
      <c r="R288" s="19">
        <f ca="1">IF($A288-R$3&lt;2,0,OFFSET('FPSO1 Base'!R285,-'FPSO1 Otim'!R$3,0))</f>
        <v>35.702224312716744</v>
      </c>
      <c r="S288" s="19">
        <f ca="1">IF($A288-S$3&lt;2,0,OFFSET('FPSO1 Base'!S285,-'FPSO1 Otim'!S$3,0))</f>
        <v>274.43700000000001</v>
      </c>
      <c r="T288" s="19">
        <f ca="1">IF($A288-T$3&lt;2,0,OFFSET('FPSO1 Base'!T285,-'FPSO1 Otim'!T$3,0))</f>
        <v>556.524</v>
      </c>
      <c r="U288" s="19">
        <f ca="1">IF($A288-U$3&lt;2,0,OFFSET('FPSO1 Base'!U285,-'FPSO1 Otim'!U$3,0))</f>
        <v>562.77449999999999</v>
      </c>
      <c r="V288" s="19">
        <f ca="1">IF($A288-V$3&lt;2,0,OFFSET('FPSO1 Base'!V285,-'FPSO1 Otim'!V$3,0))</f>
        <v>518.03250000000003</v>
      </c>
      <c r="W288" s="19">
        <f ca="1">IF($A288-W$3&lt;2,0,OFFSET('FPSO1 Base'!W285,-'FPSO1 Otim'!W$3,0))</f>
        <v>232.71750000000003</v>
      </c>
      <c r="X288" s="19">
        <f ca="1">IF($A288-X$3&lt;2,0,OFFSET('FPSO1 Base'!X285,-'FPSO1 Otim'!X$3,0))</f>
        <v>721.45049999999992</v>
      </c>
      <c r="Y288" s="19">
        <f ca="1">IF($A288-Y$3&lt;2,0,OFFSET('FPSO1 Base'!Y285,-'FPSO1 Otim'!Y$3,0))</f>
        <v>431.23649999999998</v>
      </c>
      <c r="Z288" s="19">
        <f ca="1">IF($A288-Z$3&lt;2,0,OFFSET('FPSO1 Base'!Z285,-'FPSO1 Otim'!Z$3,0))</f>
        <v>337.42499999999995</v>
      </c>
      <c r="AA288" s="20">
        <v>15000</v>
      </c>
      <c r="AB288" s="19">
        <f t="shared" ca="1" si="16"/>
        <v>8200.1794762607824</v>
      </c>
      <c r="AC288" s="20">
        <f t="shared" ca="1" si="17"/>
        <v>6799.8205237392176</v>
      </c>
      <c r="AD288" s="19">
        <f t="shared" ca="1" si="18"/>
        <v>789.69668335711299</v>
      </c>
    </row>
    <row r="289" spans="1:30" x14ac:dyDescent="0.25">
      <c r="A289" s="19">
        <v>285</v>
      </c>
      <c r="B289" s="31">
        <v>54271</v>
      </c>
      <c r="C289" s="19">
        <f ca="1">IF($A289-C$3&lt;2,0,OFFSET('FPSO1 Base'!C286,-'FPSO1 Otim'!C$3,0))</f>
        <v>585.44100000000003</v>
      </c>
      <c r="D289" s="19">
        <f ca="1">IF($A289-D$3&lt;2,0,OFFSET('FPSO1 Base'!D286,-'FPSO1 Otim'!D$3,0))</f>
        <v>109.07250000000001</v>
      </c>
      <c r="E289" s="19">
        <f ca="1">IF($A289-E$3&lt;2,0,OFFSET('FPSO1 Base'!E286,-'FPSO1 Otim'!E$3,0))</f>
        <v>356.97450000000003</v>
      </c>
      <c r="F289" s="19">
        <f ca="1">IF($A289-F$3&lt;2,0,OFFSET('FPSO1 Base'!F286,-'FPSO1 Otim'!F$3,0))</f>
        <v>401.72550000000001</v>
      </c>
      <c r="G289" s="19">
        <f ca="1">IF($A289-G$3&lt;2,0,OFFSET('FPSO1 Base'!G286,-'FPSO1 Otim'!G$3,0))</f>
        <v>132.95849999999999</v>
      </c>
      <c r="H289" s="19">
        <f ca="1">IF($A289-H$3&lt;2,0,OFFSET('FPSO1 Base'!H286,-'FPSO1 Otim'!H$3,0))</f>
        <v>564.40499999999997</v>
      </c>
      <c r="I289" s="19">
        <f ca="1">IF($A289-I$3&lt;2,0,OFFSET('FPSO1 Base'!I286,-'FPSO1 Otim'!I$3,0))</f>
        <v>419.08050000000003</v>
      </c>
      <c r="J289" s="19">
        <f ca="1">IF($A289-J$3&lt;2,0,OFFSET('FPSO1 Base'!J286,-'FPSO1 Otim'!J$3,0))</f>
        <v>234.62850000000003</v>
      </c>
      <c r="K289" s="19">
        <f ca="1">IF($A289-K$3&lt;2,0,OFFSET('FPSO1 Base'!K286,-'FPSO1 Otim'!K$3,0))</f>
        <v>252.52050000000003</v>
      </c>
      <c r="L289" s="19">
        <f ca="1">IF($A289-L$3&lt;2,0,OFFSET('FPSO1 Base'!L286,-'FPSO1 Otim'!L$3,0))</f>
        <v>278.589</v>
      </c>
      <c r="M289" s="19">
        <f ca="1">IF($A289-M$3&lt;2,0,OFFSET('FPSO1 Base'!M286,-'FPSO1 Otim'!M$3,0))</f>
        <v>381.68700000000001</v>
      </c>
      <c r="N289" s="19">
        <f ca="1">IF($A289-N$3&lt;2,0,OFFSET('FPSO1 Base'!N286,-'FPSO1 Otim'!N$3,0))</f>
        <v>19.914595937639024</v>
      </c>
      <c r="O289" s="19">
        <f ca="1">IF($A289-O$3&lt;2,0,OFFSET('FPSO1 Base'!O286,-'FPSO1 Otim'!O$3,0))</f>
        <v>274.79999999999995</v>
      </c>
      <c r="P289" s="19">
        <f ca="1">IF($A289-P$3&lt;2,0,OFFSET('FPSO1 Base'!P286,-'FPSO1 Otim'!P$3,0))</f>
        <v>113.53468349094739</v>
      </c>
      <c r="Q289" s="19">
        <f ca="1">IF($A289-Q$3&lt;2,0,OFFSET('FPSO1 Base'!Q286,-'FPSO1 Otim'!Q$3,0))</f>
        <v>390.36300000000006</v>
      </c>
      <c r="R289" s="19">
        <f ca="1">IF($A289-R$3&lt;2,0,OFFSET('FPSO1 Base'!R286,-'FPSO1 Otim'!R$3,0))</f>
        <v>35.345202069589575</v>
      </c>
      <c r="S289" s="19">
        <f ca="1">IF($A289-S$3&lt;2,0,OFFSET('FPSO1 Base'!S286,-'FPSO1 Otim'!S$3,0))</f>
        <v>273.24149999999997</v>
      </c>
      <c r="T289" s="19">
        <f ca="1">IF($A289-T$3&lt;2,0,OFFSET('FPSO1 Base'!T286,-'FPSO1 Otim'!T$3,0))</f>
        <v>554.625</v>
      </c>
      <c r="U289" s="19">
        <f ca="1">IF($A289-U$3&lt;2,0,OFFSET('FPSO1 Base'!U286,-'FPSO1 Otim'!U$3,0))</f>
        <v>561.58050000000003</v>
      </c>
      <c r="V289" s="19">
        <f ca="1">IF($A289-V$3&lt;2,0,OFFSET('FPSO1 Base'!V286,-'FPSO1 Otim'!V$3,0))</f>
        <v>516.85050000000001</v>
      </c>
      <c r="W289" s="19">
        <f ca="1">IF($A289-W$3&lt;2,0,OFFSET('FPSO1 Base'!W286,-'FPSO1 Otim'!W$3,0))</f>
        <v>232.15049999999999</v>
      </c>
      <c r="X289" s="19">
        <f ca="1">IF($A289-X$3&lt;2,0,OFFSET('FPSO1 Base'!X286,-'FPSO1 Otim'!X$3,0))</f>
        <v>718.69350000000009</v>
      </c>
      <c r="Y289" s="19">
        <f ca="1">IF($A289-Y$3&lt;2,0,OFFSET('FPSO1 Base'!Y286,-'FPSO1 Otim'!Y$3,0))</f>
        <v>430.60949999999997</v>
      </c>
      <c r="Z289" s="19">
        <f ca="1">IF($A289-Z$3&lt;2,0,OFFSET('FPSO1 Base'!Z286,-'FPSO1 Otim'!Z$3,0))</f>
        <v>336.024</v>
      </c>
      <c r="AA289" s="20">
        <v>15000</v>
      </c>
      <c r="AB289" s="19">
        <f t="shared" ca="1" si="16"/>
        <v>8174.8149814981762</v>
      </c>
      <c r="AC289" s="20">
        <f t="shared" ca="1" si="17"/>
        <v>6825.1850185018238</v>
      </c>
      <c r="AD289" s="19">
        <f t="shared" ca="1" si="18"/>
        <v>780.74779091379605</v>
      </c>
    </row>
    <row r="290" spans="1:30" x14ac:dyDescent="0.25">
      <c r="A290" s="19">
        <v>286</v>
      </c>
      <c r="B290" s="31">
        <v>54302</v>
      </c>
      <c r="C290" s="19">
        <f ca="1">IF($A290-C$3&lt;2,0,OFFSET('FPSO1 Base'!C287,-'FPSO1 Otim'!C$3,0))</f>
        <v>583.05600000000004</v>
      </c>
      <c r="D290" s="19">
        <f ca="1">IF($A290-D$3&lt;2,0,OFFSET('FPSO1 Base'!D287,-'FPSO1 Otim'!D$3,0))</f>
        <v>108.55199999999999</v>
      </c>
      <c r="E290" s="19">
        <f ca="1">IF($A290-E$3&lt;2,0,OFFSET('FPSO1 Base'!E287,-'FPSO1 Otim'!E$3,0))</f>
        <v>355.35449999999997</v>
      </c>
      <c r="F290" s="19">
        <f ca="1">IF($A290-F$3&lt;2,0,OFFSET('FPSO1 Base'!F287,-'FPSO1 Otim'!F$3,0))</f>
        <v>400.25850000000003</v>
      </c>
      <c r="G290" s="19">
        <f ca="1">IF($A290-G$3&lt;2,0,OFFSET('FPSO1 Base'!G287,-'FPSO1 Otim'!G$3,0))</f>
        <v>132.84</v>
      </c>
      <c r="H290" s="19">
        <f ca="1">IF($A290-H$3&lt;2,0,OFFSET('FPSO1 Base'!H287,-'FPSO1 Otim'!H$3,0))</f>
        <v>563.8934999999999</v>
      </c>
      <c r="I290" s="19">
        <f ca="1">IF($A290-I$3&lt;2,0,OFFSET('FPSO1 Base'!I287,-'FPSO1 Otim'!I$3,0))</f>
        <v>418.27500000000003</v>
      </c>
      <c r="J290" s="19">
        <f ca="1">IF($A290-J$3&lt;2,0,OFFSET('FPSO1 Base'!J287,-'FPSO1 Otim'!J$3,0))</f>
        <v>234.25049999999999</v>
      </c>
      <c r="K290" s="19">
        <f ca="1">IF($A290-K$3&lt;2,0,OFFSET('FPSO1 Base'!K287,-'FPSO1 Otim'!K$3,0))</f>
        <v>251.38800000000003</v>
      </c>
      <c r="L290" s="19">
        <f ca="1">IF($A290-L$3&lt;2,0,OFFSET('FPSO1 Base'!L287,-'FPSO1 Otim'!L$3,0))</f>
        <v>277.93799999999999</v>
      </c>
      <c r="M290" s="19">
        <f ca="1">IF($A290-M$3&lt;2,0,OFFSET('FPSO1 Base'!M287,-'FPSO1 Otim'!M$3,0))</f>
        <v>380.274</v>
      </c>
      <c r="N290" s="19">
        <f ca="1">IF($A290-N$3&lt;2,0,OFFSET('FPSO1 Base'!N287,-'FPSO1 Otim'!N$3,0))</f>
        <v>19.715449978262633</v>
      </c>
      <c r="O290" s="19">
        <f ca="1">IF($A290-O$3&lt;2,0,OFFSET('FPSO1 Base'!O287,-'FPSO1 Otim'!O$3,0))</f>
        <v>273.53249999999997</v>
      </c>
      <c r="P290" s="19">
        <f ca="1">IF($A290-P$3&lt;2,0,OFFSET('FPSO1 Base'!P287,-'FPSO1 Otim'!P$3,0))</f>
        <v>112.39933665603792</v>
      </c>
      <c r="Q290" s="19">
        <f ca="1">IF($A290-Q$3&lt;2,0,OFFSET('FPSO1 Base'!Q287,-'FPSO1 Otim'!Q$3,0))</f>
        <v>390.411</v>
      </c>
      <c r="R290" s="19">
        <f ca="1">IF($A290-R$3&lt;2,0,OFFSET('FPSO1 Base'!R287,-'FPSO1 Otim'!R$3,0))</f>
        <v>34.991750048893678</v>
      </c>
      <c r="S290" s="19">
        <f ca="1">IF($A290-S$3&lt;2,0,OFFSET('FPSO1 Base'!S287,-'FPSO1 Otim'!S$3,0))</f>
        <v>272.15250000000003</v>
      </c>
      <c r="T290" s="19">
        <f ca="1">IF($A290-T$3&lt;2,0,OFFSET('FPSO1 Base'!T287,-'FPSO1 Otim'!T$3,0))</f>
        <v>552.774</v>
      </c>
      <c r="U290" s="19">
        <f ca="1">IF($A290-U$3&lt;2,0,OFFSET('FPSO1 Base'!U287,-'FPSO1 Otim'!U$3,0))</f>
        <v>560.44350000000009</v>
      </c>
      <c r="V290" s="19">
        <f ca="1">IF($A290-V$3&lt;2,0,OFFSET('FPSO1 Base'!V287,-'FPSO1 Otim'!V$3,0))</f>
        <v>515.80649999999991</v>
      </c>
      <c r="W290" s="19">
        <f ca="1">IF($A290-W$3&lt;2,0,OFFSET('FPSO1 Base'!W287,-'FPSO1 Otim'!W$3,0))</f>
        <v>231.60449999999997</v>
      </c>
      <c r="X290" s="19">
        <f ca="1">IF($A290-X$3&lt;2,0,OFFSET('FPSO1 Base'!X287,-'FPSO1 Otim'!X$3,0))</f>
        <v>715.88699999999994</v>
      </c>
      <c r="Y290" s="19">
        <f ca="1">IF($A290-Y$3&lt;2,0,OFFSET('FPSO1 Base'!Y287,-'FPSO1 Otim'!Y$3,0))</f>
        <v>429.86249999999995</v>
      </c>
      <c r="Z290" s="19">
        <f ca="1">IF($A290-Z$3&lt;2,0,OFFSET('FPSO1 Base'!Z287,-'FPSO1 Otim'!Z$3,0))</f>
        <v>334.488</v>
      </c>
      <c r="AA290" s="20">
        <v>15000</v>
      </c>
      <c r="AB290" s="19">
        <f t="shared" ca="1" si="16"/>
        <v>8150.1485366831948</v>
      </c>
      <c r="AC290" s="20">
        <f t="shared" ca="1" si="17"/>
        <v>6849.8514633168052</v>
      </c>
      <c r="AD290" s="19">
        <f t="shared" ca="1" si="18"/>
        <v>771.95899401667748</v>
      </c>
    </row>
    <row r="291" spans="1:30" x14ac:dyDescent="0.25">
      <c r="A291" s="19">
        <v>287</v>
      </c>
      <c r="B291" s="31">
        <v>54332</v>
      </c>
      <c r="C291" s="19">
        <f ca="1">IF($A291-C$3&lt;2,0,OFFSET('FPSO1 Base'!C288,-'FPSO1 Otim'!C$3,0))</f>
        <v>580.74</v>
      </c>
      <c r="D291" s="19">
        <f ca="1">IF($A291-D$3&lt;2,0,OFFSET('FPSO1 Base'!D288,-'FPSO1 Otim'!D$3,0))</f>
        <v>108.01950000000001</v>
      </c>
      <c r="E291" s="19">
        <f ca="1">IF($A291-E$3&lt;2,0,OFFSET('FPSO1 Base'!E288,-'FPSO1 Otim'!E$3,0))</f>
        <v>353.94</v>
      </c>
      <c r="F291" s="19">
        <f ca="1">IF($A291-F$3&lt;2,0,OFFSET('FPSO1 Base'!F288,-'FPSO1 Otim'!F$3,0))</f>
        <v>398.661</v>
      </c>
      <c r="G291" s="19">
        <f ca="1">IF($A291-G$3&lt;2,0,OFFSET('FPSO1 Base'!G288,-'FPSO1 Otim'!G$3,0))</f>
        <v>132.66299999999998</v>
      </c>
      <c r="H291" s="19">
        <f ca="1">IF($A291-H$3&lt;2,0,OFFSET('FPSO1 Base'!H288,-'FPSO1 Otim'!H$3,0))</f>
        <v>563.35050000000001</v>
      </c>
      <c r="I291" s="19">
        <f ca="1">IF($A291-I$3&lt;2,0,OFFSET('FPSO1 Base'!I288,-'FPSO1 Otim'!I$3,0))</f>
        <v>417.53250000000003</v>
      </c>
      <c r="J291" s="19">
        <f ca="1">IF($A291-J$3&lt;2,0,OFFSET('FPSO1 Base'!J288,-'FPSO1 Otim'!J$3,0))</f>
        <v>233.85449999999997</v>
      </c>
      <c r="K291" s="19">
        <f ca="1">IF($A291-K$3&lt;2,0,OFFSET('FPSO1 Base'!K288,-'FPSO1 Otim'!K$3,0))</f>
        <v>249.6165</v>
      </c>
      <c r="L291" s="19">
        <f ca="1">IF($A291-L$3&lt;2,0,OFFSET('FPSO1 Base'!L288,-'FPSO1 Otim'!L$3,0))</f>
        <v>277.149</v>
      </c>
      <c r="M291" s="19">
        <f ca="1">IF($A291-M$3&lt;2,0,OFFSET('FPSO1 Base'!M288,-'FPSO1 Otim'!M$3,0))</f>
        <v>379.30650000000003</v>
      </c>
      <c r="N291" s="19">
        <f ca="1">IF($A291-N$3&lt;2,0,OFFSET('FPSO1 Base'!N288,-'FPSO1 Otim'!N$3,0))</f>
        <v>19.518295478480006</v>
      </c>
      <c r="O291" s="19">
        <f ca="1">IF($A291-O$3&lt;2,0,OFFSET('FPSO1 Base'!O288,-'FPSO1 Otim'!O$3,0))</f>
        <v>272.322</v>
      </c>
      <c r="P291" s="19">
        <f ca="1">IF($A291-P$3&lt;2,0,OFFSET('FPSO1 Base'!P288,-'FPSO1 Otim'!P$3,0))</f>
        <v>111.27534328947753</v>
      </c>
      <c r="Q291" s="19">
        <f ca="1">IF($A291-Q$3&lt;2,0,OFFSET('FPSO1 Base'!Q288,-'FPSO1 Otim'!Q$3,0))</f>
        <v>390.42899999999997</v>
      </c>
      <c r="R291" s="19">
        <f ca="1">IF($A291-R$3&lt;2,0,OFFSET('FPSO1 Base'!R288,-'FPSO1 Otim'!R$3,0))</f>
        <v>34.641832548404743</v>
      </c>
      <c r="S291" s="19">
        <f ca="1">IF($A291-S$3&lt;2,0,OFFSET('FPSO1 Base'!S288,-'FPSO1 Otim'!S$3,0))</f>
        <v>270.90449999999998</v>
      </c>
      <c r="T291" s="19">
        <f ca="1">IF($A291-T$3&lt;2,0,OFFSET('FPSO1 Base'!T288,-'FPSO1 Otim'!T$3,0))</f>
        <v>550.86300000000006</v>
      </c>
      <c r="U291" s="19">
        <f ca="1">IF($A291-U$3&lt;2,0,OFFSET('FPSO1 Base'!U288,-'FPSO1 Otim'!U$3,0))</f>
        <v>559.16399999999999</v>
      </c>
      <c r="V291" s="19">
        <f ca="1">IF($A291-V$3&lt;2,0,OFFSET('FPSO1 Base'!V288,-'FPSO1 Otim'!V$3,0))</f>
        <v>514.64549999999997</v>
      </c>
      <c r="W291" s="19">
        <f ca="1">IF($A291-W$3&lt;2,0,OFFSET('FPSO1 Base'!W288,-'FPSO1 Otim'!W$3,0))</f>
        <v>231.12450000000001</v>
      </c>
      <c r="X291" s="19">
        <f ca="1">IF($A291-X$3&lt;2,0,OFFSET('FPSO1 Base'!X288,-'FPSO1 Otim'!X$3,0))</f>
        <v>712.95</v>
      </c>
      <c r="Y291" s="19">
        <f ca="1">IF($A291-Y$3&lt;2,0,OFFSET('FPSO1 Base'!Y288,-'FPSO1 Otim'!Y$3,0))</f>
        <v>429.16949999999997</v>
      </c>
      <c r="Z291" s="19">
        <f ca="1">IF($A291-Z$3&lt;2,0,OFFSET('FPSO1 Base'!Z288,-'FPSO1 Otim'!Z$3,0))</f>
        <v>336.459</v>
      </c>
      <c r="AA291" s="20">
        <v>15000</v>
      </c>
      <c r="AB291" s="19">
        <f t="shared" ca="1" si="16"/>
        <v>8128.2994713163616</v>
      </c>
      <c r="AC291" s="20">
        <f t="shared" ca="1" si="17"/>
        <v>6871.7005286836384</v>
      </c>
      <c r="AD291" s="19">
        <f t="shared" ca="1" si="18"/>
        <v>763.52678916299624</v>
      </c>
    </row>
    <row r="292" spans="1:30" x14ac:dyDescent="0.25">
      <c r="A292" s="19">
        <v>288</v>
      </c>
      <c r="B292" s="31">
        <v>54363</v>
      </c>
      <c r="C292" s="19">
        <f ca="1">IF($A292-C$3&lt;2,0,OFFSET('FPSO1 Base'!C289,-'FPSO1 Otim'!C$3,0))</f>
        <v>578.53949999999998</v>
      </c>
      <c r="D292" s="19">
        <f ca="1">IF($A292-D$3&lt;2,0,OFFSET('FPSO1 Base'!D289,-'FPSO1 Otim'!D$3,0))</f>
        <v>107.48850000000002</v>
      </c>
      <c r="E292" s="19">
        <f ca="1">IF($A292-E$3&lt;2,0,OFFSET('FPSO1 Base'!E289,-'FPSO1 Otim'!E$3,0))</f>
        <v>352.1925</v>
      </c>
      <c r="F292" s="19">
        <f ca="1">IF($A292-F$3&lt;2,0,OFFSET('FPSO1 Base'!F289,-'FPSO1 Otim'!F$3,0))</f>
        <v>397.04999999999995</v>
      </c>
      <c r="G292" s="19">
        <f ca="1">IF($A292-G$3&lt;2,0,OFFSET('FPSO1 Base'!G289,-'FPSO1 Otim'!G$3,0))</f>
        <v>132.60599999999999</v>
      </c>
      <c r="H292" s="19">
        <f ca="1">IF($A292-H$3&lt;2,0,OFFSET('FPSO1 Base'!H289,-'FPSO1 Otim'!H$3,0))</f>
        <v>562.89300000000003</v>
      </c>
      <c r="I292" s="19">
        <f ca="1">IF($A292-I$3&lt;2,0,OFFSET('FPSO1 Base'!I289,-'FPSO1 Otim'!I$3,0))</f>
        <v>416.83050000000003</v>
      </c>
      <c r="J292" s="19">
        <f ca="1">IF($A292-J$3&lt;2,0,OFFSET('FPSO1 Base'!J289,-'FPSO1 Otim'!J$3,0))</f>
        <v>233.4495</v>
      </c>
      <c r="K292" s="19">
        <f ca="1">IF($A292-K$3&lt;2,0,OFFSET('FPSO1 Base'!K289,-'FPSO1 Otim'!K$3,0))</f>
        <v>248.5275</v>
      </c>
      <c r="L292" s="19">
        <f ca="1">IF($A292-L$3&lt;2,0,OFFSET('FPSO1 Base'!L289,-'FPSO1 Otim'!L$3,0))</f>
        <v>276.15749999999997</v>
      </c>
      <c r="M292" s="19">
        <f ca="1">IF($A292-M$3&lt;2,0,OFFSET('FPSO1 Base'!M289,-'FPSO1 Otim'!M$3,0))</f>
        <v>378.12450000000001</v>
      </c>
      <c r="N292" s="19">
        <f ca="1">IF($A292-N$3&lt;2,0,OFFSET('FPSO1 Base'!N289,-'FPSO1 Otim'!N$3,0))</f>
        <v>19.323112523695205</v>
      </c>
      <c r="O292" s="19">
        <f ca="1">IF($A292-O$3&lt;2,0,OFFSET('FPSO1 Base'!O289,-'FPSO1 Otim'!O$3,0))</f>
        <v>270.88350000000003</v>
      </c>
      <c r="P292" s="19">
        <f ca="1">IF($A292-P$3&lt;2,0,OFFSET('FPSO1 Base'!P289,-'FPSO1 Otim'!P$3,0))</f>
        <v>110.16258985658276</v>
      </c>
      <c r="Q292" s="19">
        <f ca="1">IF($A292-Q$3&lt;2,0,OFFSET('FPSO1 Base'!Q289,-'FPSO1 Otim'!Q$3,0))</f>
        <v>390.45899999999995</v>
      </c>
      <c r="R292" s="19">
        <f ca="1">IF($A292-R$3&lt;2,0,OFFSET('FPSO1 Base'!R289,-'FPSO1 Otim'!R$3,0))</f>
        <v>34.295414222920698</v>
      </c>
      <c r="S292" s="19">
        <f ca="1">IF($A292-S$3&lt;2,0,OFFSET('FPSO1 Base'!S289,-'FPSO1 Otim'!S$3,0))</f>
        <v>269.78249999999997</v>
      </c>
      <c r="T292" s="19">
        <f ca="1">IF($A292-T$3&lt;2,0,OFFSET('FPSO1 Base'!T289,-'FPSO1 Otim'!T$3,0))</f>
        <v>548.74199999999996</v>
      </c>
      <c r="U292" s="19">
        <f ca="1">IF($A292-U$3&lt;2,0,OFFSET('FPSO1 Base'!U289,-'FPSO1 Otim'!U$3,0))</f>
        <v>558.12149999999997</v>
      </c>
      <c r="V292" s="19">
        <f ca="1">IF($A292-V$3&lt;2,0,OFFSET('FPSO1 Base'!V289,-'FPSO1 Otim'!V$3,0))</f>
        <v>513.40049999999997</v>
      </c>
      <c r="W292" s="19">
        <f ca="1">IF($A292-W$3&lt;2,0,OFFSET('FPSO1 Base'!W289,-'FPSO1 Otim'!W$3,0))</f>
        <v>230.613</v>
      </c>
      <c r="X292" s="19">
        <f ca="1">IF($A292-X$3&lt;2,0,OFFSET('FPSO1 Base'!X289,-'FPSO1 Otim'!X$3,0))</f>
        <v>710.37149999999997</v>
      </c>
      <c r="Y292" s="19">
        <f ca="1">IF($A292-Y$3&lt;2,0,OFFSET('FPSO1 Base'!Y289,-'FPSO1 Otim'!Y$3,0))</f>
        <v>428.42550000000006</v>
      </c>
      <c r="Z292" s="19">
        <f ca="1">IF($A292-Z$3&lt;2,0,OFFSET('FPSO1 Base'!Z289,-'FPSO1 Otim'!Z$3,0))</f>
        <v>337.161</v>
      </c>
      <c r="AA292" s="20">
        <v>15000</v>
      </c>
      <c r="AB292" s="19">
        <f t="shared" ca="1" si="16"/>
        <v>8105.6001166032001</v>
      </c>
      <c r="AC292" s="20">
        <f t="shared" ca="1" si="17"/>
        <v>6894.3998833967999</v>
      </c>
      <c r="AD292" s="19">
        <f t="shared" ca="1" si="18"/>
        <v>755.1020224479762</v>
      </c>
    </row>
    <row r="293" spans="1:30" x14ac:dyDescent="0.25">
      <c r="A293" s="19">
        <v>289</v>
      </c>
      <c r="B293" s="31">
        <v>54393</v>
      </c>
      <c r="C293" s="19">
        <f ca="1">IF($A293-C$3&lt;2,0,OFFSET('FPSO1 Base'!C290,-'FPSO1 Otim'!C$3,0))</f>
        <v>576.36899999999991</v>
      </c>
      <c r="D293" s="19">
        <f ca="1">IF($A293-D$3&lt;2,0,OFFSET('FPSO1 Base'!D290,-'FPSO1 Otim'!D$3,0))</f>
        <v>106.96950000000001</v>
      </c>
      <c r="E293" s="19">
        <f ca="1">IF($A293-E$3&lt;2,0,OFFSET('FPSO1 Base'!E290,-'FPSO1 Otim'!E$3,0))</f>
        <v>350.81849999999997</v>
      </c>
      <c r="F293" s="19">
        <f ca="1">IF($A293-F$3&lt;2,0,OFFSET('FPSO1 Base'!F290,-'FPSO1 Otim'!F$3,0))</f>
        <v>395.54100000000005</v>
      </c>
      <c r="G293" s="19">
        <f ca="1">IF($A293-G$3&lt;2,0,OFFSET('FPSO1 Base'!G290,-'FPSO1 Otim'!G$3,0))</f>
        <v>131.90100000000001</v>
      </c>
      <c r="H293" s="19">
        <f ca="1">IF($A293-H$3&lt;2,0,OFFSET('FPSO1 Base'!H290,-'FPSO1 Otim'!H$3,0))</f>
        <v>562.38149999999996</v>
      </c>
      <c r="I293" s="19">
        <f ca="1">IF($A293-I$3&lt;2,0,OFFSET('FPSO1 Base'!I290,-'FPSO1 Otim'!I$3,0))</f>
        <v>415.99950000000001</v>
      </c>
      <c r="J293" s="19">
        <f ca="1">IF($A293-J$3&lt;2,0,OFFSET('FPSO1 Base'!J290,-'FPSO1 Otim'!J$3,0))</f>
        <v>233.05650000000003</v>
      </c>
      <c r="K293" s="19">
        <f ca="1">IF($A293-K$3&lt;2,0,OFFSET('FPSO1 Base'!K290,-'FPSO1 Otim'!K$3,0))</f>
        <v>246.97500000000002</v>
      </c>
      <c r="L293" s="19">
        <f ca="1">IF($A293-L$3&lt;2,0,OFFSET('FPSO1 Base'!L290,-'FPSO1 Otim'!L$3,0))</f>
        <v>275.16899999999998</v>
      </c>
      <c r="M293" s="19">
        <f ca="1">IF($A293-M$3&lt;2,0,OFFSET('FPSO1 Base'!M290,-'FPSO1 Otim'!M$3,0))</f>
        <v>377.226</v>
      </c>
      <c r="N293" s="19">
        <f ca="1">IF($A293-N$3&lt;2,0,OFFSET('FPSO1 Base'!N290,-'FPSO1 Otim'!N$3,0))</f>
        <v>19.129881398458252</v>
      </c>
      <c r="O293" s="19">
        <f ca="1">IF($A293-O$3&lt;2,0,OFFSET('FPSO1 Base'!O290,-'FPSO1 Otim'!O$3,0))</f>
        <v>269.709</v>
      </c>
      <c r="P293" s="19">
        <f ca="1">IF($A293-P$3&lt;2,0,OFFSET('FPSO1 Base'!P290,-'FPSO1 Otim'!P$3,0))</f>
        <v>109.06096395801693</v>
      </c>
      <c r="Q293" s="19">
        <f ca="1">IF($A293-Q$3&lt;2,0,OFFSET('FPSO1 Base'!Q290,-'FPSO1 Otim'!Q$3,0))</f>
        <v>390.42450000000002</v>
      </c>
      <c r="R293" s="19">
        <f ca="1">IF($A293-R$3&lt;2,0,OFFSET('FPSO1 Base'!R290,-'FPSO1 Otim'!R$3,0))</f>
        <v>33.952460080691488</v>
      </c>
      <c r="S293" s="19">
        <f ca="1">IF($A293-S$3&lt;2,0,OFFSET('FPSO1 Base'!S290,-'FPSO1 Otim'!S$3,0))</f>
        <v>268.57500000000005</v>
      </c>
      <c r="T293" s="19">
        <f ca="1">IF($A293-T$3&lt;2,0,OFFSET('FPSO1 Base'!T290,-'FPSO1 Otim'!T$3,0))</f>
        <v>546.84749999999997</v>
      </c>
      <c r="U293" s="19">
        <f ca="1">IF($A293-U$3&lt;2,0,OFFSET('FPSO1 Base'!U290,-'FPSO1 Otim'!U$3,0))</f>
        <v>556.92450000000008</v>
      </c>
      <c r="V293" s="19">
        <f ca="1">IF($A293-V$3&lt;2,0,OFFSET('FPSO1 Base'!V290,-'FPSO1 Otim'!V$3,0))</f>
        <v>512.274</v>
      </c>
      <c r="W293" s="19">
        <f ca="1">IF($A293-W$3&lt;2,0,OFFSET('FPSO1 Base'!W290,-'FPSO1 Otim'!W$3,0))</f>
        <v>230.12850000000003</v>
      </c>
      <c r="X293" s="19">
        <f ca="1">IF($A293-X$3&lt;2,0,OFFSET('FPSO1 Base'!X290,-'FPSO1 Otim'!X$3,0))</f>
        <v>707.44949999999994</v>
      </c>
      <c r="Y293" s="19">
        <f ca="1">IF($A293-Y$3&lt;2,0,OFFSET('FPSO1 Base'!Y290,-'FPSO1 Otim'!Y$3,0))</f>
        <v>427.70550000000003</v>
      </c>
      <c r="Z293" s="19">
        <f ca="1">IF($A293-Z$3&lt;2,0,OFFSET('FPSO1 Base'!Z290,-'FPSO1 Otim'!Z$3,0))</f>
        <v>337.27499999999998</v>
      </c>
      <c r="AA293" s="20">
        <v>15000</v>
      </c>
      <c r="AB293" s="19">
        <f t="shared" ca="1" si="16"/>
        <v>8081.8628054371657</v>
      </c>
      <c r="AC293" s="20">
        <f t="shared" ca="1" si="17"/>
        <v>6918.1371945628343</v>
      </c>
      <c r="AD293" s="19">
        <f t="shared" ca="1" si="18"/>
        <v>746.66846327769485</v>
      </c>
    </row>
    <row r="294" spans="1:30" x14ac:dyDescent="0.25">
      <c r="A294" s="19">
        <v>290</v>
      </c>
      <c r="B294" s="31">
        <v>54424</v>
      </c>
      <c r="C294" s="19">
        <f ca="1">IF($A294-C$3&lt;2,0,OFFSET('FPSO1 Base'!C291,-'FPSO1 Otim'!C$3,0))</f>
        <v>574.24199999999996</v>
      </c>
      <c r="D294" s="19">
        <f ca="1">IF($A294-D$3&lt;2,0,OFFSET('FPSO1 Base'!D291,-'FPSO1 Otim'!D$3,0))</f>
        <v>106.42500000000001</v>
      </c>
      <c r="E294" s="19">
        <f ca="1">IF($A294-E$3&lt;2,0,OFFSET('FPSO1 Base'!E291,-'FPSO1 Otim'!E$3,0))</f>
        <v>349.125</v>
      </c>
      <c r="F294" s="19">
        <f ca="1">IF($A294-F$3&lt;2,0,OFFSET('FPSO1 Base'!F291,-'FPSO1 Otim'!F$3,0))</f>
        <v>393.82500000000005</v>
      </c>
      <c r="G294" s="19">
        <f ca="1">IF($A294-G$3&lt;2,0,OFFSET('FPSO1 Base'!G291,-'FPSO1 Otim'!G$3,0))</f>
        <v>131.62799999999999</v>
      </c>
      <c r="H294" s="19">
        <f ca="1">IF($A294-H$3&lt;2,0,OFFSET('FPSO1 Base'!H291,-'FPSO1 Otim'!H$3,0))</f>
        <v>561.8655</v>
      </c>
      <c r="I294" s="19">
        <f ca="1">IF($A294-I$3&lt;2,0,OFFSET('FPSO1 Base'!I291,-'FPSO1 Otim'!I$3,0))</f>
        <v>415.33050000000003</v>
      </c>
      <c r="J294" s="19">
        <f ca="1">IF($A294-J$3&lt;2,0,OFFSET('FPSO1 Base'!J291,-'FPSO1 Otim'!J$3,0))</f>
        <v>232.6695</v>
      </c>
      <c r="K294" s="19">
        <f ca="1">IF($A294-K$3&lt;2,0,OFFSET('FPSO1 Base'!K291,-'FPSO1 Otim'!K$3,0))</f>
        <v>245.94</v>
      </c>
      <c r="L294" s="19">
        <f ca="1">IF($A294-L$3&lt;2,0,OFFSET('FPSO1 Base'!L291,-'FPSO1 Otim'!L$3,0))</f>
        <v>274.37850000000003</v>
      </c>
      <c r="M294" s="19">
        <f ca="1">IF($A294-M$3&lt;2,0,OFFSET('FPSO1 Base'!M291,-'FPSO1 Otim'!M$3,0))</f>
        <v>376.137</v>
      </c>
      <c r="N294" s="19">
        <f ca="1">IF($A294-N$3&lt;2,0,OFFSET('FPSO1 Base'!N291,-'FPSO1 Otim'!N$3,0))</f>
        <v>18.938582584473668</v>
      </c>
      <c r="O294" s="19">
        <f ca="1">IF($A294-O$3&lt;2,0,OFFSET('FPSO1 Base'!O291,-'FPSO1 Otim'!O$3,0))</f>
        <v>268.37549999999999</v>
      </c>
      <c r="P294" s="19">
        <f ca="1">IF($A294-P$3&lt;2,0,OFFSET('FPSO1 Base'!P291,-'FPSO1 Otim'!P$3,0))</f>
        <v>107.97035431843676</v>
      </c>
      <c r="Q294" s="19">
        <f ca="1">IF($A294-Q$3&lt;2,0,OFFSET('FPSO1 Base'!Q291,-'FPSO1 Otim'!Q$3,0))</f>
        <v>390.411</v>
      </c>
      <c r="R294" s="19">
        <f ca="1">IF($A294-R$3&lt;2,0,OFFSET('FPSO1 Base'!R291,-'FPSO1 Otim'!R$3,0))</f>
        <v>33.61293547988457</v>
      </c>
      <c r="S294" s="19">
        <f ca="1">IF($A294-S$3&lt;2,0,OFFSET('FPSO1 Base'!S291,-'FPSO1 Otim'!S$3,0))</f>
        <v>267.48450000000003</v>
      </c>
      <c r="T294" s="19">
        <f ca="1">IF($A294-T$3&lt;2,0,OFFSET('FPSO1 Base'!T291,-'FPSO1 Otim'!T$3,0))</f>
        <v>544.69949999999994</v>
      </c>
      <c r="U294" s="19">
        <f ca="1">IF($A294-U$3&lt;2,0,OFFSET('FPSO1 Base'!U291,-'FPSO1 Otim'!U$3,0))</f>
        <v>555.87149999999997</v>
      </c>
      <c r="V294" s="19">
        <f ca="1">IF($A294-V$3&lt;2,0,OFFSET('FPSO1 Base'!V291,-'FPSO1 Otim'!V$3,0))</f>
        <v>511.04999999999995</v>
      </c>
      <c r="W294" s="19">
        <f ca="1">IF($A294-W$3&lt;2,0,OFFSET('FPSO1 Base'!W291,-'FPSO1 Otim'!W$3,0))</f>
        <v>229.64999999999998</v>
      </c>
      <c r="X294" s="19">
        <f ca="1">IF($A294-X$3&lt;2,0,OFFSET('FPSO1 Base'!X291,-'FPSO1 Otim'!X$3,0))</f>
        <v>704.90250000000003</v>
      </c>
      <c r="Y294" s="19">
        <f ca="1">IF($A294-Y$3&lt;2,0,OFFSET('FPSO1 Base'!Y291,-'FPSO1 Otim'!Y$3,0))</f>
        <v>426.97950000000003</v>
      </c>
      <c r="Z294" s="19">
        <f ca="1">IF($A294-Z$3&lt;2,0,OFFSET('FPSO1 Base'!Z291,-'FPSO1 Otim'!Z$3,0))</f>
        <v>337.041</v>
      </c>
      <c r="AA294" s="20">
        <v>15000</v>
      </c>
      <c r="AB294" s="19">
        <f t="shared" ca="1" si="16"/>
        <v>8058.5528723827965</v>
      </c>
      <c r="AC294" s="20">
        <f t="shared" ca="1" si="17"/>
        <v>6941.4471276172035</v>
      </c>
      <c r="AD294" s="19">
        <f t="shared" ca="1" si="18"/>
        <v>738.36188565474959</v>
      </c>
    </row>
    <row r="295" spans="1:30" x14ac:dyDescent="0.25">
      <c r="A295" s="19">
        <v>291</v>
      </c>
      <c r="B295" s="31">
        <v>54455</v>
      </c>
      <c r="C295" s="19">
        <f ca="1">IF($A295-C$3&lt;2,0,OFFSET('FPSO1 Base'!C292,-'FPSO1 Otim'!C$3,0))</f>
        <v>572.38799999999992</v>
      </c>
      <c r="D295" s="19">
        <f ca="1">IF($A295-D$3&lt;2,0,OFFSET('FPSO1 Base'!D292,-'FPSO1 Otim'!D$3,0))</f>
        <v>105.8835</v>
      </c>
      <c r="E295" s="19">
        <f ca="1">IF($A295-E$3&lt;2,0,OFFSET('FPSO1 Base'!E292,-'FPSO1 Otim'!E$3,0))</f>
        <v>347.625</v>
      </c>
      <c r="F295" s="19">
        <f ca="1">IF($A295-F$3&lt;2,0,OFFSET('FPSO1 Base'!F292,-'FPSO1 Otim'!F$3,0))</f>
        <v>392.25</v>
      </c>
      <c r="G295" s="19">
        <f ca="1">IF($A295-G$3&lt;2,0,OFFSET('FPSO1 Base'!G292,-'FPSO1 Otim'!G$3,0))</f>
        <v>131.44650000000001</v>
      </c>
      <c r="H295" s="19">
        <f ca="1">IF($A295-H$3&lt;2,0,OFFSET('FPSO1 Base'!H292,-'FPSO1 Otim'!H$3,0))</f>
        <v>561.39</v>
      </c>
      <c r="I295" s="19">
        <f ca="1">IF($A295-I$3&lt;2,0,OFFSET('FPSO1 Base'!I292,-'FPSO1 Otim'!I$3,0))</f>
        <v>414.52500000000003</v>
      </c>
      <c r="J295" s="19">
        <f ca="1">IF($A295-J$3&lt;2,0,OFFSET('FPSO1 Base'!J292,-'FPSO1 Otim'!J$3,0))</f>
        <v>232.24950000000001</v>
      </c>
      <c r="K295" s="19">
        <f ca="1">IF($A295-K$3&lt;2,0,OFFSET('FPSO1 Base'!K292,-'FPSO1 Otim'!K$3,0))</f>
        <v>244.52549999999999</v>
      </c>
      <c r="L295" s="19">
        <f ca="1">IF($A295-L$3&lt;2,0,OFFSET('FPSO1 Base'!L292,-'FPSO1 Otim'!L$3,0))</f>
        <v>273.49950000000001</v>
      </c>
      <c r="M295" s="19">
        <f ca="1">IF($A295-M$3&lt;2,0,OFFSET('FPSO1 Base'!M292,-'FPSO1 Otim'!M$3,0))</f>
        <v>375.16949999999997</v>
      </c>
      <c r="N295" s="19">
        <f ca="1">IF($A295-N$3&lt;2,0,OFFSET('FPSO1 Base'!N292,-'FPSO1 Otim'!N$3,0))</f>
        <v>18.74919675862893</v>
      </c>
      <c r="O295" s="19">
        <f ca="1">IF($A295-O$3&lt;2,0,OFFSET('FPSO1 Base'!O292,-'FPSO1 Otim'!O$3,0))</f>
        <v>267.12149999999997</v>
      </c>
      <c r="P295" s="19">
        <f ca="1">IF($A295-P$3&lt;2,0,OFFSET('FPSO1 Base'!P292,-'FPSO1 Otim'!P$3,0))</f>
        <v>106.8906507752524</v>
      </c>
      <c r="Q295" s="19">
        <f ca="1">IF($A295-Q$3&lt;2,0,OFFSET('FPSO1 Base'!Q292,-'FPSO1 Otim'!Q$3,0))</f>
        <v>390.45000000000005</v>
      </c>
      <c r="R295" s="19">
        <f ca="1">IF($A295-R$3&lt;2,0,OFFSET('FPSO1 Base'!R292,-'FPSO1 Otim'!R$3,0))</f>
        <v>33.27680612508572</v>
      </c>
      <c r="S295" s="19">
        <f ca="1">IF($A295-S$3&lt;2,0,OFFSET('FPSO1 Base'!S292,-'FPSO1 Otim'!S$3,0))</f>
        <v>266.29949999999997</v>
      </c>
      <c r="T295" s="19">
        <f ca="1">IF($A295-T$3&lt;2,0,OFFSET('FPSO1 Base'!T292,-'FPSO1 Otim'!T$3,0))</f>
        <v>542.63699999999994</v>
      </c>
      <c r="U295" s="19">
        <f ca="1">IF($A295-U$3&lt;2,0,OFFSET('FPSO1 Base'!U292,-'FPSO1 Otim'!U$3,0))</f>
        <v>554.70000000000005</v>
      </c>
      <c r="V295" s="19">
        <f ca="1">IF($A295-V$3&lt;2,0,OFFSET('FPSO1 Base'!V292,-'FPSO1 Otim'!V$3,0))</f>
        <v>509.85450000000003</v>
      </c>
      <c r="W295" s="19">
        <f ca="1">IF($A295-W$3&lt;2,0,OFFSET('FPSO1 Base'!W292,-'FPSO1 Otim'!W$3,0))</f>
        <v>229.209</v>
      </c>
      <c r="X295" s="19">
        <f ca="1">IF($A295-X$3&lt;2,0,OFFSET('FPSO1 Base'!X292,-'FPSO1 Otim'!X$3,0))</f>
        <v>702.38699999999994</v>
      </c>
      <c r="Y295" s="19">
        <f ca="1">IF($A295-Y$3&lt;2,0,OFFSET('FPSO1 Base'!Y292,-'FPSO1 Otim'!Y$3,0))</f>
        <v>426.21299999999997</v>
      </c>
      <c r="Z295" s="19">
        <f ca="1">IF($A295-Z$3&lt;2,0,OFFSET('FPSO1 Base'!Z292,-'FPSO1 Otim'!Z$3,0))</f>
        <v>336.12450000000001</v>
      </c>
      <c r="AA295" s="20">
        <v>15000</v>
      </c>
      <c r="AB295" s="19">
        <f t="shared" ca="1" si="16"/>
        <v>8034.8646536589658</v>
      </c>
      <c r="AC295" s="20">
        <f t="shared" ca="1" si="17"/>
        <v>6965.1353463410342</v>
      </c>
      <c r="AD295" s="19">
        <f t="shared" ca="1" si="18"/>
        <v>730.10723454075548</v>
      </c>
    </row>
    <row r="296" spans="1:30" x14ac:dyDescent="0.25">
      <c r="A296" s="19">
        <v>292</v>
      </c>
      <c r="B296" s="31">
        <v>54483</v>
      </c>
      <c r="C296" s="19">
        <f ca="1">IF($A296-C$3&lt;2,0,OFFSET('FPSO1 Base'!C293,-'FPSO1 Otim'!C$3,0))</f>
        <v>570.32100000000003</v>
      </c>
      <c r="D296" s="19">
        <f ca="1">IF($A296-D$3&lt;2,0,OFFSET('FPSO1 Base'!D293,-'FPSO1 Otim'!D$3,0))</f>
        <v>105.351</v>
      </c>
      <c r="E296" s="19">
        <f ca="1">IF($A296-E$3&lt;2,0,OFFSET('FPSO1 Base'!E293,-'FPSO1 Otim'!E$3,0))</f>
        <v>346.35</v>
      </c>
      <c r="F296" s="19">
        <f ca="1">IF($A296-F$3&lt;2,0,OFFSET('FPSO1 Base'!F293,-'FPSO1 Otim'!F$3,0))</f>
        <v>390.75</v>
      </c>
      <c r="G296" s="19">
        <f ca="1">IF($A296-G$3&lt;2,0,OFFSET('FPSO1 Base'!G293,-'FPSO1 Otim'!G$3,0))</f>
        <v>131.30549999999999</v>
      </c>
      <c r="H296" s="19">
        <f ca="1">IF($A296-H$3&lt;2,0,OFFSET('FPSO1 Base'!H293,-'FPSO1 Otim'!H$3,0))</f>
        <v>560.86500000000001</v>
      </c>
      <c r="I296" s="19">
        <f ca="1">IF($A296-I$3&lt;2,0,OFFSET('FPSO1 Base'!I293,-'FPSO1 Otim'!I$3,0))</f>
        <v>413.80649999999997</v>
      </c>
      <c r="J296" s="19">
        <f ca="1">IF($A296-J$3&lt;2,0,OFFSET('FPSO1 Base'!J293,-'FPSO1 Otim'!J$3,0))</f>
        <v>231.9195</v>
      </c>
      <c r="K296" s="19">
        <f ca="1">IF($A296-K$3&lt;2,0,OFFSET('FPSO1 Base'!K293,-'FPSO1 Otim'!K$3,0))</f>
        <v>243.339</v>
      </c>
      <c r="L296" s="19">
        <f ca="1">IF($A296-L$3&lt;2,0,OFFSET('FPSO1 Base'!L293,-'FPSO1 Otim'!L$3,0))</f>
        <v>272.709</v>
      </c>
      <c r="M296" s="19">
        <f ca="1">IF($A296-M$3&lt;2,0,OFFSET('FPSO1 Base'!M293,-'FPSO1 Otim'!M$3,0))</f>
        <v>374.37149999999997</v>
      </c>
      <c r="N296" s="19">
        <f ca="1">IF($A296-N$3&lt;2,0,OFFSET('FPSO1 Base'!N293,-'FPSO1 Otim'!N$3,0))</f>
        <v>18.56170479104264</v>
      </c>
      <c r="O296" s="19">
        <f ca="1">IF($A296-O$3&lt;2,0,OFFSET('FPSO1 Base'!O293,-'FPSO1 Otim'!O$3,0))</f>
        <v>265.75049999999999</v>
      </c>
      <c r="P296" s="19">
        <f ca="1">IF($A296-P$3&lt;2,0,OFFSET('FPSO1 Base'!P293,-'FPSO1 Otim'!P$3,0))</f>
        <v>105.82174426749987</v>
      </c>
      <c r="Q296" s="19">
        <f ca="1">IF($A296-Q$3&lt;2,0,OFFSET('FPSO1 Base'!Q293,-'FPSO1 Otim'!Q$3,0))</f>
        <v>390.36300000000006</v>
      </c>
      <c r="R296" s="19">
        <f ca="1">IF($A296-R$3&lt;2,0,OFFSET('FPSO1 Base'!R293,-'FPSO1 Otim'!R$3,0))</f>
        <v>32.94403806383486</v>
      </c>
      <c r="S296" s="19">
        <f ca="1">IF($A296-S$3&lt;2,0,OFFSET('FPSO1 Base'!S293,-'FPSO1 Otim'!S$3,0))</f>
        <v>265.185</v>
      </c>
      <c r="T296" s="19">
        <f ca="1">IF($A296-T$3&lt;2,0,OFFSET('FPSO1 Base'!T293,-'FPSO1 Otim'!T$3,0))</f>
        <v>540.42450000000008</v>
      </c>
      <c r="U296" s="19">
        <f ca="1">IF($A296-U$3&lt;2,0,OFFSET('FPSO1 Base'!U293,-'FPSO1 Otim'!U$3,0))</f>
        <v>553.66949999999997</v>
      </c>
      <c r="V296" s="19">
        <f ca="1">IF($A296-V$3&lt;2,0,OFFSET('FPSO1 Base'!V293,-'FPSO1 Otim'!V$3,0))</f>
        <v>508.74149999999997</v>
      </c>
      <c r="W296" s="19">
        <f ca="1">IF($A296-W$3&lt;2,0,OFFSET('FPSO1 Base'!W293,-'FPSO1 Otim'!W$3,0))</f>
        <v>228.72450000000001</v>
      </c>
      <c r="X296" s="19">
        <f ca="1">IF($A296-X$3&lt;2,0,OFFSET('FPSO1 Base'!X293,-'FPSO1 Otim'!X$3,0))</f>
        <v>699.4815000000001</v>
      </c>
      <c r="Y296" s="19">
        <f ca="1">IF($A296-Y$3&lt;2,0,OFFSET('FPSO1 Base'!Y293,-'FPSO1 Otim'!Y$3,0))</f>
        <v>425.49149999999997</v>
      </c>
      <c r="Z296" s="19">
        <f ca="1">IF($A296-Z$3&lt;2,0,OFFSET('FPSO1 Base'!Z293,-'FPSO1 Otim'!Z$3,0))</f>
        <v>335.649</v>
      </c>
      <c r="AA296" s="20">
        <v>15000</v>
      </c>
      <c r="AB296" s="19">
        <f t="shared" ca="1" si="16"/>
        <v>8011.8959871223788</v>
      </c>
      <c r="AC296" s="20">
        <f t="shared" ca="1" si="17"/>
        <v>6988.1040128776212</v>
      </c>
      <c r="AD296" s="19">
        <f t="shared" ca="1" si="18"/>
        <v>722.00343630259442</v>
      </c>
    </row>
    <row r="297" spans="1:30" x14ac:dyDescent="0.25">
      <c r="A297" s="19">
        <v>293</v>
      </c>
      <c r="B297" s="31">
        <v>54514</v>
      </c>
      <c r="C297" s="19">
        <f ca="1">IF($A297-C$3&lt;2,0,OFFSET('FPSO1 Base'!C294,-'FPSO1 Otim'!C$3,0))</f>
        <v>568.4085</v>
      </c>
      <c r="D297" s="19">
        <f ca="1">IF($A297-D$3&lt;2,0,OFFSET('FPSO1 Base'!D294,-'FPSO1 Otim'!D$3,0))</f>
        <v>104.79600000000001</v>
      </c>
      <c r="E297" s="19">
        <f ca="1">IF($A297-E$3&lt;2,0,OFFSET('FPSO1 Base'!E294,-'FPSO1 Otim'!E$3,0))</f>
        <v>344.44349999999997</v>
      </c>
      <c r="F297" s="19">
        <f ca="1">IF($A297-F$3&lt;2,0,OFFSET('FPSO1 Base'!F294,-'FPSO1 Otim'!F$3,0))</f>
        <v>388.98150000000004</v>
      </c>
      <c r="G297" s="19">
        <f ca="1">IF($A297-G$3&lt;2,0,OFFSET('FPSO1 Base'!G294,-'FPSO1 Otim'!G$3,0))</f>
        <v>130.45349999999999</v>
      </c>
      <c r="H297" s="19">
        <f ca="1">IF($A297-H$3&lt;2,0,OFFSET('FPSO1 Base'!H294,-'FPSO1 Otim'!H$3,0))</f>
        <v>560.39700000000005</v>
      </c>
      <c r="I297" s="19">
        <f ca="1">IF($A297-I$3&lt;2,0,OFFSET('FPSO1 Base'!I294,-'FPSO1 Otim'!I$3,0))</f>
        <v>413.12849999999997</v>
      </c>
      <c r="J297" s="19">
        <f ca="1">IF($A297-J$3&lt;2,0,OFFSET('FPSO1 Base'!J294,-'FPSO1 Otim'!J$3,0))</f>
        <v>231.52499999999998</v>
      </c>
      <c r="K297" s="19">
        <f ca="1">IF($A297-K$3&lt;2,0,OFFSET('FPSO1 Base'!K294,-'FPSO1 Otim'!K$3,0))</f>
        <v>242.31</v>
      </c>
      <c r="L297" s="19">
        <f ca="1">IF($A297-L$3&lt;2,0,OFFSET('FPSO1 Base'!L294,-'FPSO1 Otim'!L$3,0))</f>
        <v>271.875</v>
      </c>
      <c r="M297" s="19">
        <f ca="1">IF($A297-M$3&lt;2,0,OFFSET('FPSO1 Base'!M294,-'FPSO1 Otim'!M$3,0))</f>
        <v>373.35750000000002</v>
      </c>
      <c r="N297" s="19">
        <f ca="1">IF($A297-N$3&lt;2,0,OFFSET('FPSO1 Base'!N294,-'FPSO1 Otim'!N$3,0))</f>
        <v>18.376087743132214</v>
      </c>
      <c r="O297" s="19">
        <f ca="1">IF($A297-O$3&lt;2,0,OFFSET('FPSO1 Base'!O294,-'FPSO1 Otim'!O$3,0))</f>
        <v>264.50850000000003</v>
      </c>
      <c r="P297" s="19">
        <f ca="1">IF($A297-P$3&lt;2,0,OFFSET('FPSO1 Base'!P294,-'FPSO1 Otim'!P$3,0))</f>
        <v>104.76352682482487</v>
      </c>
      <c r="Q297" s="19">
        <f ca="1">IF($A297-Q$3&lt;2,0,OFFSET('FPSO1 Base'!Q294,-'FPSO1 Otim'!Q$3,0))</f>
        <v>390.24149999999997</v>
      </c>
      <c r="R297" s="19">
        <f ca="1">IF($A297-R$3&lt;2,0,OFFSET('FPSO1 Base'!R294,-'FPSO1 Otim'!R$3,0))</f>
        <v>32.614597683196514</v>
      </c>
      <c r="S297" s="19">
        <f ca="1">IF($A297-S$3&lt;2,0,OFFSET('FPSO1 Base'!S294,-'FPSO1 Otim'!S$3,0))</f>
        <v>264.072</v>
      </c>
      <c r="T297" s="19">
        <f ca="1">IF($A297-T$3&lt;2,0,OFFSET('FPSO1 Base'!T294,-'FPSO1 Otim'!T$3,0))</f>
        <v>538.20899999999995</v>
      </c>
      <c r="U297" s="19">
        <f ca="1">IF($A297-U$3&lt;2,0,OFFSET('FPSO1 Base'!U294,-'FPSO1 Otim'!U$3,0))</f>
        <v>552.60450000000003</v>
      </c>
      <c r="V297" s="19">
        <f ca="1">IF($A297-V$3&lt;2,0,OFFSET('FPSO1 Base'!V294,-'FPSO1 Otim'!V$3,0))</f>
        <v>507.375</v>
      </c>
      <c r="W297" s="19">
        <f ca="1">IF($A297-W$3&lt;2,0,OFFSET('FPSO1 Base'!W294,-'FPSO1 Otim'!W$3,0))</f>
        <v>228.291</v>
      </c>
      <c r="X297" s="19">
        <f ca="1">IF($A297-X$3&lt;2,0,OFFSET('FPSO1 Base'!X294,-'FPSO1 Otim'!X$3,0))</f>
        <v>697.20899999999995</v>
      </c>
      <c r="Y297" s="19">
        <f ca="1">IF($A297-Y$3&lt;2,0,OFFSET('FPSO1 Base'!Y294,-'FPSO1 Otim'!Y$3,0))</f>
        <v>424.71299999999997</v>
      </c>
      <c r="Z297" s="19">
        <f ca="1">IF($A297-Z$3&lt;2,0,OFFSET('FPSO1 Base'!Z294,-'FPSO1 Otim'!Z$3,0))</f>
        <v>335.10449999999997</v>
      </c>
      <c r="AA297" s="20">
        <v>15000</v>
      </c>
      <c r="AB297" s="19">
        <f t="shared" ca="1" si="16"/>
        <v>7987.758212251154</v>
      </c>
      <c r="AC297" s="20">
        <f t="shared" ca="1" si="17"/>
        <v>7012.241787748846</v>
      </c>
      <c r="AD297" s="19">
        <f t="shared" ca="1" si="18"/>
        <v>713.87923268050145</v>
      </c>
    </row>
    <row r="298" spans="1:30" x14ac:dyDescent="0.25">
      <c r="A298" s="19">
        <v>294</v>
      </c>
      <c r="B298" s="31">
        <v>54544</v>
      </c>
      <c r="C298" s="19">
        <f ca="1">IF($A298-C$3&lt;2,0,OFFSET('FPSO1 Base'!C295,-'FPSO1 Otim'!C$3,0))</f>
        <v>566.42250000000001</v>
      </c>
      <c r="D298" s="19">
        <f ca="1">IF($A298-D$3&lt;2,0,OFFSET('FPSO1 Base'!D295,-'FPSO1 Otim'!D$3,0))</f>
        <v>104.27250000000001</v>
      </c>
      <c r="E298" s="19">
        <f ca="1">IF($A298-E$3&lt;2,0,OFFSET('FPSO1 Base'!E295,-'FPSO1 Otim'!E$3,0))</f>
        <v>342.85950000000003</v>
      </c>
      <c r="F298" s="19">
        <f ca="1">IF($A298-F$3&lt;2,0,OFFSET('FPSO1 Base'!F295,-'FPSO1 Otim'!F$3,0))</f>
        <v>387.60450000000003</v>
      </c>
      <c r="G298" s="19">
        <f ca="1">IF($A298-G$3&lt;2,0,OFFSET('FPSO1 Base'!G295,-'FPSO1 Otim'!G$3,0))</f>
        <v>130.12950000000001</v>
      </c>
      <c r="H298" s="19">
        <f ca="1">IF($A298-H$3&lt;2,0,OFFSET('FPSO1 Base'!H295,-'FPSO1 Otim'!H$3,0))</f>
        <v>559.90049999999997</v>
      </c>
      <c r="I298" s="19">
        <f ca="1">IF($A298-I$3&lt;2,0,OFFSET('FPSO1 Base'!I295,-'FPSO1 Otim'!I$3,0))</f>
        <v>412.3125</v>
      </c>
      <c r="J298" s="19">
        <f ca="1">IF($A298-J$3&lt;2,0,OFFSET('FPSO1 Base'!J295,-'FPSO1 Otim'!J$3,0))</f>
        <v>231.2415</v>
      </c>
      <c r="K298" s="19">
        <f ca="1">IF($A298-K$3&lt;2,0,OFFSET('FPSO1 Base'!K295,-'FPSO1 Otim'!K$3,0))</f>
        <v>241.06049999999999</v>
      </c>
      <c r="L298" s="19">
        <f ca="1">IF($A298-L$3&lt;2,0,OFFSET('FPSO1 Base'!L295,-'FPSO1 Otim'!L$3,0))</f>
        <v>271.101</v>
      </c>
      <c r="M298" s="19">
        <f ca="1">IF($A298-M$3&lt;2,0,OFFSET('FPSO1 Base'!M295,-'FPSO1 Otim'!M$3,0))</f>
        <v>372.55650000000003</v>
      </c>
      <c r="N298" s="19">
        <f ca="1">IF($A298-N$3&lt;2,0,OFFSET('FPSO1 Base'!N295,-'FPSO1 Otim'!N$3,0))</f>
        <v>18.192326865700892</v>
      </c>
      <c r="O298" s="19">
        <f ca="1">IF($A298-O$3&lt;2,0,OFFSET('FPSO1 Base'!O295,-'FPSO1 Otim'!O$3,0))</f>
        <v>263.226</v>
      </c>
      <c r="P298" s="19">
        <f ca="1">IF($A298-P$3&lt;2,0,OFFSET('FPSO1 Base'!P295,-'FPSO1 Otim'!P$3,0))</f>
        <v>103.71589155657662</v>
      </c>
      <c r="Q298" s="19">
        <f ca="1">IF($A298-Q$3&lt;2,0,OFFSET('FPSO1 Base'!Q295,-'FPSO1 Otim'!Q$3,0))</f>
        <v>390.17550000000006</v>
      </c>
      <c r="R298" s="19">
        <f ca="1">IF($A298-R$3&lt;2,0,OFFSET('FPSO1 Base'!R295,-'FPSO1 Otim'!R$3,0))</f>
        <v>32.288451706364548</v>
      </c>
      <c r="S298" s="19">
        <f ca="1">IF($A298-S$3&lt;2,0,OFFSET('FPSO1 Base'!S295,-'FPSO1 Otim'!S$3,0))</f>
        <v>262.95000000000005</v>
      </c>
      <c r="T298" s="19">
        <f ca="1">IF($A298-T$3&lt;2,0,OFFSET('FPSO1 Base'!T295,-'FPSO1 Otim'!T$3,0))</f>
        <v>536.00850000000003</v>
      </c>
      <c r="U298" s="19">
        <f ca="1">IF($A298-U$3&lt;2,0,OFFSET('FPSO1 Base'!U295,-'FPSO1 Otim'!U$3,0))</f>
        <v>551.47499999999991</v>
      </c>
      <c r="V298" s="19">
        <f ca="1">IF($A298-V$3&lt;2,0,OFFSET('FPSO1 Base'!V295,-'FPSO1 Otim'!V$3,0))</f>
        <v>506.322</v>
      </c>
      <c r="W298" s="19">
        <f ca="1">IF($A298-W$3&lt;2,0,OFFSET('FPSO1 Base'!W295,-'FPSO1 Otim'!W$3,0))</f>
        <v>227.87850000000003</v>
      </c>
      <c r="X298" s="19">
        <f ca="1">IF($A298-X$3&lt;2,0,OFFSET('FPSO1 Base'!X295,-'FPSO1 Otim'!X$3,0))</f>
        <v>694.5</v>
      </c>
      <c r="Y298" s="19">
        <f ca="1">IF($A298-Y$3&lt;2,0,OFFSET('FPSO1 Base'!Y295,-'FPSO1 Otim'!Y$3,0))</f>
        <v>423.96749999999997</v>
      </c>
      <c r="Z298" s="19">
        <f ca="1">IF($A298-Z$3&lt;2,0,OFFSET('FPSO1 Base'!Z295,-'FPSO1 Otim'!Z$3,0))</f>
        <v>334.45950000000005</v>
      </c>
      <c r="AA298" s="20">
        <v>15000</v>
      </c>
      <c r="AB298" s="19">
        <f t="shared" ca="1" si="16"/>
        <v>7964.6201701286418</v>
      </c>
      <c r="AC298" s="20">
        <f t="shared" ca="1" si="17"/>
        <v>7035.3798298713582</v>
      </c>
      <c r="AD298" s="19">
        <f t="shared" ca="1" si="18"/>
        <v>705.928608976237</v>
      </c>
    </row>
    <row r="299" spans="1:30" x14ac:dyDescent="0.25">
      <c r="A299" s="19">
        <v>295</v>
      </c>
      <c r="B299" s="31">
        <v>54575</v>
      </c>
      <c r="C299" s="19">
        <f ca="1">IF($A299-C$3&lt;2,0,OFFSET('FPSO1 Base'!C296,-'FPSO1 Otim'!C$3,0))</f>
        <v>564.55050000000006</v>
      </c>
      <c r="D299" s="19">
        <f ca="1">IF($A299-D$3&lt;2,0,OFFSET('FPSO1 Base'!D296,-'FPSO1 Otim'!D$3,0))</f>
        <v>103.7325</v>
      </c>
      <c r="E299" s="19">
        <f ca="1">IF($A299-E$3&lt;2,0,OFFSET('FPSO1 Base'!E296,-'FPSO1 Otim'!E$3,0))</f>
        <v>341.18700000000001</v>
      </c>
      <c r="F299" s="19">
        <f ca="1">IF($A299-F$3&lt;2,0,OFFSET('FPSO1 Base'!F296,-'FPSO1 Otim'!F$3,0))</f>
        <v>385.97550000000001</v>
      </c>
      <c r="G299" s="19">
        <f ca="1">IF($A299-G$3&lt;2,0,OFFSET('FPSO1 Base'!G296,-'FPSO1 Otim'!G$3,0))</f>
        <v>129.62700000000001</v>
      </c>
      <c r="H299" s="19">
        <f ca="1">IF($A299-H$3&lt;2,0,OFFSET('FPSO1 Base'!H296,-'FPSO1 Otim'!H$3,0))</f>
        <v>559.39949999999999</v>
      </c>
      <c r="I299" s="19">
        <f ca="1">IF($A299-I$3&lt;2,0,OFFSET('FPSO1 Base'!I296,-'FPSO1 Otim'!I$3,0))</f>
        <v>411.65250000000003</v>
      </c>
      <c r="J299" s="19">
        <f ca="1">IF($A299-J$3&lt;2,0,OFFSET('FPSO1 Base'!J296,-'FPSO1 Otim'!J$3,0))</f>
        <v>230.976</v>
      </c>
      <c r="K299" s="19">
        <f ca="1">IF($A299-K$3&lt;2,0,OFFSET('FPSO1 Base'!K296,-'FPSO1 Otim'!K$3,0))</f>
        <v>240.036</v>
      </c>
      <c r="L299" s="19">
        <f ca="1">IF($A299-L$3&lt;2,0,OFFSET('FPSO1 Base'!L296,-'FPSO1 Otim'!L$3,0))</f>
        <v>270.303</v>
      </c>
      <c r="M299" s="19">
        <f ca="1">IF($A299-M$3&lt;2,0,OFFSET('FPSO1 Base'!M296,-'FPSO1 Otim'!M$3,0))</f>
        <v>371.613</v>
      </c>
      <c r="N299" s="19">
        <f ca="1">IF($A299-N$3&lt;2,0,OFFSET('FPSO1 Base'!N296,-'FPSO1 Otim'!N$3,0))</f>
        <v>18.010403597043883</v>
      </c>
      <c r="O299" s="19">
        <f ca="1">IF($A299-O$3&lt;2,0,OFFSET('FPSO1 Base'!O296,-'FPSO1 Otim'!O$3,0))</f>
        <v>261.87450000000001</v>
      </c>
      <c r="P299" s="19">
        <f ca="1">IF($A299-P$3&lt;2,0,OFFSET('FPSO1 Base'!P296,-'FPSO1 Otim'!P$3,0))</f>
        <v>102.67873264101085</v>
      </c>
      <c r="Q299" s="19">
        <f ca="1">IF($A299-Q$3&lt;2,0,OFFSET('FPSO1 Base'!Q296,-'FPSO1 Otim'!Q$3,0))</f>
        <v>390.12150000000003</v>
      </c>
      <c r="R299" s="19">
        <f ca="1">IF($A299-R$3&lt;2,0,OFFSET('FPSO1 Base'!R296,-'FPSO1 Otim'!R$3,0))</f>
        <v>31.965567189300902</v>
      </c>
      <c r="S299" s="19">
        <f ca="1">IF($A299-S$3&lt;2,0,OFFSET('FPSO1 Base'!S296,-'FPSO1 Otim'!S$3,0))</f>
        <v>261.89550000000003</v>
      </c>
      <c r="T299" s="19">
        <f ca="1">IF($A299-T$3&lt;2,0,OFFSET('FPSO1 Base'!T296,-'FPSO1 Otim'!T$3,0))</f>
        <v>533.65049999999997</v>
      </c>
      <c r="U299" s="19">
        <f ca="1">IF($A299-U$3&lt;2,0,OFFSET('FPSO1 Base'!U296,-'FPSO1 Otim'!U$3,0))</f>
        <v>550.476</v>
      </c>
      <c r="V299" s="19">
        <f ca="1">IF($A299-V$3&lt;2,0,OFFSET('FPSO1 Base'!V296,-'FPSO1 Otim'!V$3,0))</f>
        <v>505.09950000000003</v>
      </c>
      <c r="W299" s="19">
        <f ca="1">IF($A299-W$3&lt;2,0,OFFSET('FPSO1 Base'!W296,-'FPSO1 Otim'!W$3,0))</f>
        <v>227.3835</v>
      </c>
      <c r="X299" s="19">
        <f ca="1">IF($A299-X$3&lt;2,0,OFFSET('FPSO1 Base'!X296,-'FPSO1 Otim'!X$3,0))</f>
        <v>692.12850000000003</v>
      </c>
      <c r="Y299" s="19">
        <f ca="1">IF($A299-Y$3&lt;2,0,OFFSET('FPSO1 Base'!Y296,-'FPSO1 Otim'!Y$3,0))</f>
        <v>423.26550000000003</v>
      </c>
      <c r="Z299" s="19">
        <f ca="1">IF($A299-Z$3&lt;2,0,OFFSET('FPSO1 Base'!Z296,-'FPSO1 Otim'!Z$3,0))</f>
        <v>333.822</v>
      </c>
      <c r="AA299" s="20">
        <v>15000</v>
      </c>
      <c r="AB299" s="19">
        <f t="shared" ca="1" si="16"/>
        <v>7941.4242034273548</v>
      </c>
      <c r="AC299" s="20">
        <f t="shared" ca="1" si="17"/>
        <v>7058.5757965726452</v>
      </c>
      <c r="AD299" s="19">
        <f t="shared" ca="1" si="18"/>
        <v>698.0555500253746</v>
      </c>
    </row>
    <row r="300" spans="1:30" x14ac:dyDescent="0.25">
      <c r="A300" s="19">
        <v>296</v>
      </c>
      <c r="B300" s="31">
        <v>54605</v>
      </c>
      <c r="C300" s="19">
        <f ca="1">IF($A300-C$3&lt;2,0,OFFSET('FPSO1 Base'!C297,-'FPSO1 Otim'!C$3,0))</f>
        <v>562.59449999999993</v>
      </c>
      <c r="D300" s="19">
        <f ca="1">IF($A300-D$3&lt;2,0,OFFSET('FPSO1 Base'!D297,-'FPSO1 Otim'!D$3,0))</f>
        <v>103.19850000000001</v>
      </c>
      <c r="E300" s="19">
        <f ca="1">IF($A300-E$3&lt;2,0,OFFSET('FPSO1 Base'!E297,-'FPSO1 Otim'!E$3,0))</f>
        <v>339.61649999999997</v>
      </c>
      <c r="F300" s="19">
        <f ca="1">IF($A300-F$3&lt;2,0,OFFSET('FPSO1 Base'!F297,-'FPSO1 Otim'!F$3,0))</f>
        <v>384.678</v>
      </c>
      <c r="G300" s="19">
        <f ca="1">IF($A300-G$3&lt;2,0,OFFSET('FPSO1 Base'!G297,-'FPSO1 Otim'!G$3,0))</f>
        <v>129.4845</v>
      </c>
      <c r="H300" s="19">
        <f ca="1">IF($A300-H$3&lt;2,0,OFFSET('FPSO1 Base'!H297,-'FPSO1 Otim'!H$3,0))</f>
        <v>558.90899999999999</v>
      </c>
      <c r="I300" s="19">
        <f ca="1">IF($A300-I$3&lt;2,0,OFFSET('FPSO1 Base'!I297,-'FPSO1 Otim'!I$3,0))</f>
        <v>410.92499999999995</v>
      </c>
      <c r="J300" s="19">
        <f ca="1">IF($A300-J$3&lt;2,0,OFFSET('FPSO1 Base'!J297,-'FPSO1 Otim'!J$3,0))</f>
        <v>230.65199999999999</v>
      </c>
      <c r="K300" s="19">
        <f ca="1">IF($A300-K$3&lt;2,0,OFFSET('FPSO1 Base'!K297,-'FPSO1 Otim'!K$3,0))</f>
        <v>238.93799999999999</v>
      </c>
      <c r="L300" s="19">
        <f ca="1">IF($A300-L$3&lt;2,0,OFFSET('FPSO1 Base'!L297,-'FPSO1 Otim'!L$3,0))</f>
        <v>269.48699999999997</v>
      </c>
      <c r="M300" s="19">
        <f ca="1">IF($A300-M$3&lt;2,0,OFFSET('FPSO1 Base'!M297,-'FPSO1 Otim'!M$3,0))</f>
        <v>370.791</v>
      </c>
      <c r="N300" s="19">
        <f ca="1">IF($A300-N$3&lt;2,0,OFFSET('FPSO1 Base'!N297,-'FPSO1 Otim'!N$3,0))</f>
        <v>17.830299561073446</v>
      </c>
      <c r="O300" s="19">
        <f ca="1">IF($A300-O$3&lt;2,0,OFFSET('FPSO1 Base'!O297,-'FPSO1 Otim'!O$3,0))</f>
        <v>260.637</v>
      </c>
      <c r="P300" s="19">
        <f ca="1">IF($A300-P$3&lt;2,0,OFFSET('FPSO1 Base'!P297,-'FPSO1 Otim'!P$3,0))</f>
        <v>101.65194531460074</v>
      </c>
      <c r="Q300" s="19">
        <f ca="1">IF($A300-Q$3&lt;2,0,OFFSET('FPSO1 Base'!Q297,-'FPSO1 Otim'!Q$3,0))</f>
        <v>389.97450000000003</v>
      </c>
      <c r="R300" s="19">
        <f ca="1">IF($A300-R$3&lt;2,0,OFFSET('FPSO1 Base'!R297,-'FPSO1 Otim'!R$3,0))</f>
        <v>31.645911517407892</v>
      </c>
      <c r="S300" s="19">
        <f ca="1">IF($A300-S$3&lt;2,0,OFFSET('FPSO1 Base'!S297,-'FPSO1 Otim'!S$3,0))</f>
        <v>260.74950000000001</v>
      </c>
      <c r="T300" s="19">
        <f ca="1">IF($A300-T$3&lt;2,0,OFFSET('FPSO1 Base'!T297,-'FPSO1 Otim'!T$3,0))</f>
        <v>531.43500000000006</v>
      </c>
      <c r="U300" s="19">
        <f ca="1">IF($A300-U$3&lt;2,0,OFFSET('FPSO1 Base'!U297,-'FPSO1 Otim'!U$3,0))</f>
        <v>549.375</v>
      </c>
      <c r="V300" s="19">
        <f ca="1">IF($A300-V$3&lt;2,0,OFFSET('FPSO1 Base'!V297,-'FPSO1 Otim'!V$3,0))</f>
        <v>504.62849999999997</v>
      </c>
      <c r="W300" s="19">
        <f ca="1">IF($A300-W$3&lt;2,0,OFFSET('FPSO1 Base'!W297,-'FPSO1 Otim'!W$3,0))</f>
        <v>226.98450000000003</v>
      </c>
      <c r="X300" s="19">
        <f ca="1">IF($A300-X$3&lt;2,0,OFFSET('FPSO1 Base'!X297,-'FPSO1 Otim'!X$3,0))</f>
        <v>689.44949999999994</v>
      </c>
      <c r="Y300" s="19">
        <f ca="1">IF($A300-Y$3&lt;2,0,OFFSET('FPSO1 Base'!Y297,-'FPSO1 Otim'!Y$3,0))</f>
        <v>422.4375</v>
      </c>
      <c r="Z300" s="19">
        <f ca="1">IF($A300-Z$3&lt;2,0,OFFSET('FPSO1 Base'!Z297,-'FPSO1 Otim'!Z$3,0))</f>
        <v>333.012</v>
      </c>
      <c r="AA300" s="20">
        <v>15000</v>
      </c>
      <c r="AB300" s="19">
        <f t="shared" ca="1" si="16"/>
        <v>7919.085156393081</v>
      </c>
      <c r="AC300" s="20">
        <f t="shared" ca="1" si="17"/>
        <v>7080.914843606919</v>
      </c>
      <c r="AD300" s="19">
        <f t="shared" ca="1" si="18"/>
        <v>690.33910960594085</v>
      </c>
    </row>
    <row r="301" spans="1:30" x14ac:dyDescent="0.25">
      <c r="A301" s="19">
        <v>297</v>
      </c>
      <c r="B301" s="31">
        <v>54636</v>
      </c>
      <c r="C301" s="19">
        <f ca="1">IF($A301-C$3&lt;2,0,OFFSET('FPSO1 Base'!C298,-'FPSO1 Otim'!C$3,0))</f>
        <v>560.68049999999994</v>
      </c>
      <c r="D301" s="19">
        <f ca="1">IF($A301-D$3&lt;2,0,OFFSET('FPSO1 Base'!D298,-'FPSO1 Otim'!D$3,0))</f>
        <v>102.669</v>
      </c>
      <c r="E301" s="19">
        <f ca="1">IF($A301-E$3&lt;2,0,OFFSET('FPSO1 Base'!E298,-'FPSO1 Otim'!E$3,0))</f>
        <v>337.887</v>
      </c>
      <c r="F301" s="19">
        <f ca="1">IF($A301-F$3&lt;2,0,OFFSET('FPSO1 Base'!F298,-'FPSO1 Otim'!F$3,0))</f>
        <v>383.74950000000001</v>
      </c>
      <c r="G301" s="19">
        <f ca="1">IF($A301-G$3&lt;2,0,OFFSET('FPSO1 Base'!G298,-'FPSO1 Otim'!G$3,0))</f>
        <v>129.327</v>
      </c>
      <c r="H301" s="19">
        <f ca="1">IF($A301-H$3&lt;2,0,OFFSET('FPSO1 Base'!H298,-'FPSO1 Otim'!H$3,0))</f>
        <v>558.423</v>
      </c>
      <c r="I301" s="19">
        <f ca="1">IF($A301-I$3&lt;2,0,OFFSET('FPSO1 Base'!I298,-'FPSO1 Otim'!I$3,0))</f>
        <v>410.202</v>
      </c>
      <c r="J301" s="19">
        <f ca="1">IF($A301-J$3&lt;2,0,OFFSET('FPSO1 Base'!J298,-'FPSO1 Otim'!J$3,0))</f>
        <v>230.39550000000003</v>
      </c>
      <c r="K301" s="19">
        <f ca="1">IF($A301-K$3&lt;2,0,OFFSET('FPSO1 Base'!K298,-'FPSO1 Otim'!K$3,0))</f>
        <v>237.96750000000003</v>
      </c>
      <c r="L301" s="19">
        <f ca="1">IF($A301-L$3&lt;2,0,OFFSET('FPSO1 Base'!L298,-'FPSO1 Otim'!L$3,0))</f>
        <v>268.71750000000003</v>
      </c>
      <c r="M301" s="19">
        <f ca="1">IF($A301-M$3&lt;2,0,OFFSET('FPSO1 Base'!M298,-'FPSO1 Otim'!M$3,0))</f>
        <v>369.87450000000001</v>
      </c>
      <c r="N301" s="19">
        <f ca="1">IF($A301-N$3&lt;2,0,OFFSET('FPSO1 Base'!N298,-'FPSO1 Otim'!N$3,0))</f>
        <v>17.65199656546271</v>
      </c>
      <c r="O301" s="19">
        <f ca="1">IF($A301-O$3&lt;2,0,OFFSET('FPSO1 Base'!O298,-'FPSO1 Otim'!O$3,0))</f>
        <v>259.27499999999998</v>
      </c>
      <c r="P301" s="19">
        <f ca="1">IF($A301-P$3&lt;2,0,OFFSET('FPSO1 Base'!P298,-'FPSO1 Otim'!P$3,0))</f>
        <v>100.63542586145473</v>
      </c>
      <c r="Q301" s="19">
        <f ca="1">IF($A301-Q$3&lt;2,0,OFFSET('FPSO1 Base'!Q298,-'FPSO1 Otim'!Q$3,0))</f>
        <v>389.87849999999997</v>
      </c>
      <c r="R301" s="19">
        <f ca="1">IF($A301-R$3&lt;2,0,OFFSET('FPSO1 Base'!R298,-'FPSO1 Otim'!R$3,0))</f>
        <v>31.329452402233812</v>
      </c>
      <c r="S301" s="19">
        <f ca="1">IF($A301-S$3&lt;2,0,OFFSET('FPSO1 Base'!S298,-'FPSO1 Otim'!S$3,0))</f>
        <v>259.71750000000003</v>
      </c>
      <c r="T301" s="19">
        <f ca="1">IF($A301-T$3&lt;2,0,OFFSET('FPSO1 Base'!T298,-'FPSO1 Otim'!T$3,0))</f>
        <v>529.04999999999995</v>
      </c>
      <c r="U301" s="19">
        <f ca="1">IF($A301-U$3&lt;2,0,OFFSET('FPSO1 Base'!U298,-'FPSO1 Otim'!U$3,0))</f>
        <v>548.298</v>
      </c>
      <c r="V301" s="19">
        <f ca="1">IF($A301-V$3&lt;2,0,OFFSET('FPSO1 Base'!V298,-'FPSO1 Otim'!V$3,0))</f>
        <v>504.59999999999997</v>
      </c>
      <c r="W301" s="19">
        <f ca="1">IF($A301-W$3&lt;2,0,OFFSET('FPSO1 Base'!W298,-'FPSO1 Otim'!W$3,0))</f>
        <v>226.52549999999999</v>
      </c>
      <c r="X301" s="19">
        <f ca="1">IF($A301-X$3&lt;2,0,OFFSET('FPSO1 Base'!X298,-'FPSO1 Otim'!X$3,0))</f>
        <v>687.09749999999997</v>
      </c>
      <c r="Y301" s="19">
        <f ca="1">IF($A301-Y$3&lt;2,0,OFFSET('FPSO1 Base'!Y298,-'FPSO1 Otim'!Y$3,0))</f>
        <v>421.75349999999997</v>
      </c>
      <c r="Z301" s="19">
        <f ca="1">IF($A301-Z$3&lt;2,0,OFFSET('FPSO1 Base'!Z298,-'FPSO1 Otim'!Z$3,0))</f>
        <v>332.178</v>
      </c>
      <c r="AA301" s="20">
        <v>15000</v>
      </c>
      <c r="AB301" s="19">
        <f t="shared" ca="1" si="16"/>
        <v>7897.8833748291518</v>
      </c>
      <c r="AC301" s="20">
        <f t="shared" ca="1" si="17"/>
        <v>7102.1166251708482</v>
      </c>
      <c r="AD301" s="19">
        <f t="shared" ca="1" si="18"/>
        <v>682.80085627547396</v>
      </c>
    </row>
    <row r="302" spans="1:30" x14ac:dyDescent="0.25">
      <c r="A302" s="19">
        <v>298</v>
      </c>
      <c r="B302" s="31">
        <v>54667</v>
      </c>
      <c r="C302" s="19">
        <f ca="1">IF($A302-C$3&lt;2,0,OFFSET('FPSO1 Base'!C299,-'FPSO1 Otim'!C$3,0))</f>
        <v>558.81299999999999</v>
      </c>
      <c r="D302" s="19">
        <f ca="1">IF($A302-D$3&lt;2,0,OFFSET('FPSO1 Base'!D299,-'FPSO1 Otim'!D$3,0))</f>
        <v>102.14850000000001</v>
      </c>
      <c r="E302" s="19">
        <f ca="1">IF($A302-E$3&lt;2,0,OFFSET('FPSO1 Base'!E299,-'FPSO1 Otim'!E$3,0))</f>
        <v>336.303</v>
      </c>
      <c r="F302" s="19">
        <f ca="1">IF($A302-F$3&lt;2,0,OFFSET('FPSO1 Base'!F299,-'FPSO1 Otim'!F$3,0))</f>
        <v>382.28249999999997</v>
      </c>
      <c r="G302" s="19">
        <f ca="1">IF($A302-G$3&lt;2,0,OFFSET('FPSO1 Base'!G299,-'FPSO1 Otim'!G$3,0))</f>
        <v>129.285</v>
      </c>
      <c r="H302" s="19">
        <f ca="1">IF($A302-H$3&lt;2,0,OFFSET('FPSO1 Base'!H299,-'FPSO1 Otim'!H$3,0))</f>
        <v>557.96399999999994</v>
      </c>
      <c r="I302" s="19">
        <f ca="1">IF($A302-I$3&lt;2,0,OFFSET('FPSO1 Base'!I299,-'FPSO1 Otim'!I$3,0))</f>
        <v>409.42499999999995</v>
      </c>
      <c r="J302" s="19">
        <f ca="1">IF($A302-J$3&lt;2,0,OFFSET('FPSO1 Base'!J299,-'FPSO1 Otim'!J$3,0))</f>
        <v>229.99950000000001</v>
      </c>
      <c r="K302" s="19">
        <f ca="1">IF($A302-K$3&lt;2,0,OFFSET('FPSO1 Base'!K299,-'FPSO1 Otim'!K$3,0))</f>
        <v>236.95050000000003</v>
      </c>
      <c r="L302" s="19">
        <f ca="1">IF($A302-L$3&lt;2,0,OFFSET('FPSO1 Base'!L299,-'FPSO1 Otim'!L$3,0))</f>
        <v>267.9255</v>
      </c>
      <c r="M302" s="19">
        <f ca="1">IF($A302-M$3&lt;2,0,OFFSET('FPSO1 Base'!M299,-'FPSO1 Otim'!M$3,0))</f>
        <v>369.012</v>
      </c>
      <c r="N302" s="19">
        <f ca="1">IF($A302-N$3&lt;2,0,OFFSET('FPSO1 Base'!N299,-'FPSO1 Otim'!N$3,0))</f>
        <v>17.475476599808083</v>
      </c>
      <c r="O302" s="19">
        <f ca="1">IF($A302-O$3&lt;2,0,OFFSET('FPSO1 Base'!O299,-'FPSO1 Otim'!O$3,0))</f>
        <v>258.024</v>
      </c>
      <c r="P302" s="19">
        <f ca="1">IF($A302-P$3&lt;2,0,OFFSET('FPSO1 Base'!P299,-'FPSO1 Otim'!P$3,0))</f>
        <v>99.629071602840185</v>
      </c>
      <c r="Q302" s="19">
        <f ca="1">IF($A302-Q$3&lt;2,0,OFFSET('FPSO1 Base'!Q299,-'FPSO1 Otim'!Q$3,0))</f>
        <v>389.73449999999997</v>
      </c>
      <c r="R302" s="19">
        <f ca="1">IF($A302-R$3&lt;2,0,OFFSET('FPSO1 Base'!R299,-'FPSO1 Otim'!R$3,0))</f>
        <v>31.016157878211473</v>
      </c>
      <c r="S302" s="19">
        <f ca="1">IF($A302-S$3&lt;2,0,OFFSET('FPSO1 Base'!S299,-'FPSO1 Otim'!S$3,0))</f>
        <v>258.702</v>
      </c>
      <c r="T302" s="19">
        <f ca="1">IF($A302-T$3&lt;2,0,OFFSET('FPSO1 Base'!T299,-'FPSO1 Otim'!T$3,0))</f>
        <v>526.71749999999997</v>
      </c>
      <c r="U302" s="19">
        <f ca="1">IF($A302-U$3&lt;2,0,OFFSET('FPSO1 Base'!U299,-'FPSO1 Otim'!U$3,0))</f>
        <v>547.30649999999991</v>
      </c>
      <c r="V302" s="19">
        <f ca="1">IF($A302-V$3&lt;2,0,OFFSET('FPSO1 Base'!V299,-'FPSO1 Otim'!V$3,0))</f>
        <v>504.339</v>
      </c>
      <c r="W302" s="19">
        <f ca="1">IF($A302-W$3&lt;2,0,OFFSET('FPSO1 Base'!W299,-'FPSO1 Otim'!W$3,0))</f>
        <v>226.01549999999997</v>
      </c>
      <c r="X302" s="19">
        <f ca="1">IF($A302-X$3&lt;2,0,OFFSET('FPSO1 Base'!X299,-'FPSO1 Otim'!X$3,0))</f>
        <v>684.62850000000003</v>
      </c>
      <c r="Y302" s="19">
        <f ca="1">IF($A302-Y$3&lt;2,0,OFFSET('FPSO1 Base'!Y299,-'FPSO1 Otim'!Y$3,0))</f>
        <v>420.97499999999997</v>
      </c>
      <c r="Z302" s="19">
        <f ca="1">IF($A302-Z$3&lt;2,0,OFFSET('FPSO1 Base'!Z299,-'FPSO1 Otim'!Z$3,0))</f>
        <v>331.17449999999997</v>
      </c>
      <c r="AA302" s="20">
        <v>15000</v>
      </c>
      <c r="AB302" s="19">
        <f t="shared" ca="1" si="16"/>
        <v>7875.8462060808597</v>
      </c>
      <c r="AC302" s="20">
        <f t="shared" ca="1" si="17"/>
        <v>7124.1537939191403</v>
      </c>
      <c r="AD302" s="19">
        <f t="shared" ca="1" si="18"/>
        <v>675.2684256893906</v>
      </c>
    </row>
    <row r="303" spans="1:30" x14ac:dyDescent="0.25">
      <c r="A303" s="19">
        <v>299</v>
      </c>
      <c r="B303" s="31">
        <v>54697</v>
      </c>
      <c r="C303" s="19">
        <f ca="1">IF($A303-C$3&lt;2,0,OFFSET('FPSO1 Base'!C300,-'FPSO1 Otim'!C$3,0))</f>
        <v>556.90049999999997</v>
      </c>
      <c r="D303" s="19">
        <f ca="1">IF($A303-D$3&lt;2,0,OFFSET('FPSO1 Base'!D300,-'FPSO1 Otim'!D$3,0))</f>
        <v>101.66250000000001</v>
      </c>
      <c r="E303" s="19">
        <f ca="1">IF($A303-E$3&lt;2,0,OFFSET('FPSO1 Base'!E300,-'FPSO1 Otim'!E$3,0))</f>
        <v>334.76549999999997</v>
      </c>
      <c r="F303" s="19">
        <f ca="1">IF($A303-F$3&lt;2,0,OFFSET('FPSO1 Base'!F300,-'FPSO1 Otim'!F$3,0))</f>
        <v>380.928</v>
      </c>
      <c r="G303" s="19">
        <f ca="1">IF($A303-G$3&lt;2,0,OFFSET('FPSO1 Base'!G300,-'FPSO1 Otim'!G$3,0))</f>
        <v>128.7405</v>
      </c>
      <c r="H303" s="19">
        <f ca="1">IF($A303-H$3&lt;2,0,OFFSET('FPSO1 Base'!H300,-'FPSO1 Otim'!H$3,0))</f>
        <v>557.46749999999997</v>
      </c>
      <c r="I303" s="19">
        <f ca="1">IF($A303-I$3&lt;2,0,OFFSET('FPSO1 Base'!I300,-'FPSO1 Otim'!I$3,0))</f>
        <v>408.75</v>
      </c>
      <c r="J303" s="19">
        <f ca="1">IF($A303-J$3&lt;2,0,OFFSET('FPSO1 Base'!J300,-'FPSO1 Otim'!J$3,0))</f>
        <v>229.69349999999997</v>
      </c>
      <c r="K303" s="19">
        <f ca="1">IF($A303-K$3&lt;2,0,OFFSET('FPSO1 Base'!K300,-'FPSO1 Otim'!K$3,0))</f>
        <v>236.0085</v>
      </c>
      <c r="L303" s="19">
        <f ca="1">IF($A303-L$3&lt;2,0,OFFSET('FPSO1 Base'!L300,-'FPSO1 Otim'!L$3,0))</f>
        <v>267.14550000000003</v>
      </c>
      <c r="M303" s="19">
        <f ca="1">IF($A303-M$3&lt;2,0,OFFSET('FPSO1 Base'!M300,-'FPSO1 Otim'!M$3,0))</f>
        <v>368.12850000000003</v>
      </c>
      <c r="N303" s="19">
        <f ca="1">IF($A303-N$3&lt;2,0,OFFSET('FPSO1 Base'!N300,-'FPSO1 Otim'!N$3,0))</f>
        <v>17.300721833810002</v>
      </c>
      <c r="O303" s="19">
        <f ca="1">IF($A303-O$3&lt;2,0,OFFSET('FPSO1 Base'!O300,-'FPSO1 Otim'!O$3,0))</f>
        <v>256.815</v>
      </c>
      <c r="P303" s="19">
        <f ca="1">IF($A303-P$3&lt;2,0,OFFSET('FPSO1 Base'!P300,-'FPSO1 Otim'!P$3,0))</f>
        <v>98.632780886811787</v>
      </c>
      <c r="Q303" s="19">
        <f ca="1">IF($A303-Q$3&lt;2,0,OFFSET('FPSO1 Base'!Q300,-'FPSO1 Otim'!Q$3,0))</f>
        <v>389.58600000000001</v>
      </c>
      <c r="R303" s="19">
        <f ca="1">IF($A303-R$3&lt;2,0,OFFSET('FPSO1 Base'!R300,-'FPSO1 Otim'!R$3,0))</f>
        <v>30.705996299429358</v>
      </c>
      <c r="S303" s="19">
        <f ca="1">IF($A303-S$3&lt;2,0,OFFSET('FPSO1 Base'!S300,-'FPSO1 Otim'!S$3,0))</f>
        <v>257.57100000000003</v>
      </c>
      <c r="T303" s="19">
        <f ca="1">IF($A303-T$3&lt;2,0,OFFSET('FPSO1 Base'!T300,-'FPSO1 Otim'!T$3,0))</f>
        <v>524.56499999999994</v>
      </c>
      <c r="U303" s="19">
        <f ca="1">IF($A303-U$3&lt;2,0,OFFSET('FPSO1 Base'!U300,-'FPSO1 Otim'!U$3,0))</f>
        <v>546.13350000000003</v>
      </c>
      <c r="V303" s="19">
        <f ca="1">IF($A303-V$3&lt;2,0,OFFSET('FPSO1 Base'!V300,-'FPSO1 Otim'!V$3,0))</f>
        <v>503.80649999999997</v>
      </c>
      <c r="W303" s="19">
        <f ca="1">IF($A303-W$3&lt;2,0,OFFSET('FPSO1 Base'!W300,-'FPSO1 Otim'!W$3,0))</f>
        <v>225.64949999999999</v>
      </c>
      <c r="X303" s="19">
        <f ca="1">IF($A303-X$3&lt;2,0,OFFSET('FPSO1 Base'!X300,-'FPSO1 Otim'!X$3,0))</f>
        <v>682.09950000000003</v>
      </c>
      <c r="Y303" s="19">
        <f ca="1">IF($A303-Y$3&lt;2,0,OFFSET('FPSO1 Base'!Y300,-'FPSO1 Otim'!Y$3,0))</f>
        <v>420.22950000000003</v>
      </c>
      <c r="Z303" s="19">
        <f ca="1">IF($A303-Z$3&lt;2,0,OFFSET('FPSO1 Base'!Z300,-'FPSO1 Otim'!Z$3,0))</f>
        <v>330.15749999999997</v>
      </c>
      <c r="AA303" s="20">
        <v>15000</v>
      </c>
      <c r="AB303" s="19">
        <f t="shared" ca="1" si="16"/>
        <v>7853.4429990200497</v>
      </c>
      <c r="AC303" s="20">
        <f t="shared" ca="1" si="17"/>
        <v>7146.5570009799503</v>
      </c>
      <c r="AD303" s="19">
        <f t="shared" ca="1" si="18"/>
        <v>667.78273742450062</v>
      </c>
    </row>
    <row r="304" spans="1:30" x14ac:dyDescent="0.25">
      <c r="A304" s="19">
        <v>300</v>
      </c>
      <c r="B304" s="31">
        <v>54728</v>
      </c>
      <c r="C304" s="19">
        <f ca="1">IF($A304-C$3&lt;2,0,OFFSET('FPSO1 Base'!C301,-'FPSO1 Otim'!C$3,0))</f>
        <v>555.10199999999998</v>
      </c>
      <c r="D304" s="19">
        <f ca="1">IF($A304-D$3&lt;2,0,OFFSET('FPSO1 Base'!D301,-'FPSO1 Otim'!D$3,0))</f>
        <v>101.15700000000001</v>
      </c>
      <c r="E304" s="19">
        <f ca="1">IF($A304-E$3&lt;2,0,OFFSET('FPSO1 Base'!E301,-'FPSO1 Otim'!E$3,0))</f>
        <v>333.07799999999997</v>
      </c>
      <c r="F304" s="19">
        <f ca="1">IF($A304-F$3&lt;2,0,OFFSET('FPSO1 Base'!F301,-'FPSO1 Otim'!F$3,0))</f>
        <v>379.42499999999995</v>
      </c>
      <c r="G304" s="19">
        <f ca="1">IF($A304-G$3&lt;2,0,OFFSET('FPSO1 Base'!G301,-'FPSO1 Otim'!G$3,0))</f>
        <v>128.56649999999999</v>
      </c>
      <c r="H304" s="19">
        <f ca="1">IF($A304-H$3&lt;2,0,OFFSET('FPSO1 Base'!H301,-'FPSO1 Otim'!H$3,0))</f>
        <v>557.04449999999997</v>
      </c>
      <c r="I304" s="19">
        <f ca="1">IF($A304-I$3&lt;2,0,OFFSET('FPSO1 Base'!I301,-'FPSO1 Otim'!I$3,0))</f>
        <v>408.048</v>
      </c>
      <c r="J304" s="19">
        <f ca="1">IF($A304-J$3&lt;2,0,OFFSET('FPSO1 Base'!J301,-'FPSO1 Otim'!J$3,0))</f>
        <v>229.24950000000001</v>
      </c>
      <c r="K304" s="19">
        <f ca="1">IF($A304-K$3&lt;2,0,OFFSET('FPSO1 Base'!K301,-'FPSO1 Otim'!K$3,0))</f>
        <v>235.089</v>
      </c>
      <c r="L304" s="19">
        <f ca="1">IF($A304-L$3&lt;2,0,OFFSET('FPSO1 Base'!L301,-'FPSO1 Otim'!L$3,0))</f>
        <v>266.44349999999997</v>
      </c>
      <c r="M304" s="19">
        <f ca="1">IF($A304-M$3&lt;2,0,OFFSET('FPSO1 Base'!M301,-'FPSO1 Otim'!M$3,0))</f>
        <v>367.23749999999995</v>
      </c>
      <c r="N304" s="19">
        <f ca="1">IF($A304-N$3&lt;2,0,OFFSET('FPSO1 Base'!N301,-'FPSO1 Otim'!N$3,0))</f>
        <v>17.127714615471902</v>
      </c>
      <c r="O304" s="19">
        <f ca="1">IF($A304-O$3&lt;2,0,OFFSET('FPSO1 Base'!O301,-'FPSO1 Otim'!O$3,0))</f>
        <v>255.41400000000002</v>
      </c>
      <c r="P304" s="19">
        <f ca="1">IF($A304-P$3&lt;2,0,OFFSET('FPSO1 Base'!P301,-'FPSO1 Otim'!P$3,0))</f>
        <v>97.646453077943661</v>
      </c>
      <c r="Q304" s="19">
        <f ca="1">IF($A304-Q$3&lt;2,0,OFFSET('FPSO1 Base'!Q301,-'FPSO1 Otim'!Q$3,0))</f>
        <v>389.37150000000003</v>
      </c>
      <c r="R304" s="19">
        <f ca="1">IF($A304-R$3&lt;2,0,OFFSET('FPSO1 Base'!R301,-'FPSO1 Otim'!R$3,0))</f>
        <v>30.398936336435064</v>
      </c>
      <c r="S304" s="19">
        <f ca="1">IF($A304-S$3&lt;2,0,OFFSET('FPSO1 Base'!S301,-'FPSO1 Otim'!S$3,0))</f>
        <v>256.64550000000003</v>
      </c>
      <c r="T304" s="19">
        <f ca="1">IF($A304-T$3&lt;2,0,OFFSET('FPSO1 Base'!T301,-'FPSO1 Otim'!T$3,0))</f>
        <v>522</v>
      </c>
      <c r="U304" s="19">
        <f ca="1">IF($A304-U$3&lt;2,0,OFFSET('FPSO1 Base'!U301,-'FPSO1 Otim'!U$3,0))</f>
        <v>545.15250000000003</v>
      </c>
      <c r="V304" s="19">
        <f ca="1">IF($A304-V$3&lt;2,0,OFFSET('FPSO1 Base'!V301,-'FPSO1 Otim'!V$3,0))</f>
        <v>503.35050000000001</v>
      </c>
      <c r="W304" s="19">
        <f ca="1">IF($A304-W$3&lt;2,0,OFFSET('FPSO1 Base'!W301,-'FPSO1 Otim'!W$3,0))</f>
        <v>225.1695</v>
      </c>
      <c r="X304" s="19">
        <f ca="1">IF($A304-X$3&lt;2,0,OFFSET('FPSO1 Base'!X301,-'FPSO1 Otim'!X$3,0))</f>
        <v>679.79100000000005</v>
      </c>
      <c r="Y304" s="19">
        <f ca="1">IF($A304-Y$3&lt;2,0,OFFSET('FPSO1 Base'!Y301,-'FPSO1 Otim'!Y$3,0))</f>
        <v>419.4375</v>
      </c>
      <c r="Z304" s="19">
        <f ca="1">IF($A304-Z$3&lt;2,0,OFFSET('FPSO1 Base'!Z301,-'FPSO1 Otim'!Z$3,0))</f>
        <v>329.06849999999997</v>
      </c>
      <c r="AA304" s="20">
        <v>15000</v>
      </c>
      <c r="AB304" s="19">
        <f t="shared" ca="1" si="16"/>
        <v>7831.0141040298495</v>
      </c>
      <c r="AC304" s="20">
        <f t="shared" ca="1" si="17"/>
        <v>7168.9858959701505</v>
      </c>
      <c r="AD304" s="19">
        <f t="shared" ca="1" si="18"/>
        <v>660.37249159452369</v>
      </c>
    </row>
    <row r="305" spans="1:30" x14ac:dyDescent="0.25">
      <c r="A305" s="19">
        <v>301</v>
      </c>
      <c r="B305" s="31">
        <v>54758</v>
      </c>
      <c r="C305" s="19">
        <f ca="1">IF($A305-C$3&lt;2,0,OFFSET('FPSO1 Base'!C302,-'FPSO1 Otim'!C$3,0))</f>
        <v>553.23900000000003</v>
      </c>
      <c r="D305" s="19">
        <f ca="1">IF($A305-D$3&lt;2,0,OFFSET('FPSO1 Base'!D302,-'FPSO1 Otim'!D$3,0))</f>
        <v>100.65899999999999</v>
      </c>
      <c r="E305" s="19">
        <f ca="1">IF($A305-E$3&lt;2,0,OFFSET('FPSO1 Base'!E302,-'FPSO1 Otim'!E$3,0))</f>
        <v>331.62149999999997</v>
      </c>
      <c r="F305" s="19">
        <f ca="1">IF($A305-F$3&lt;2,0,OFFSET('FPSO1 Base'!F302,-'FPSO1 Otim'!F$3,0))</f>
        <v>377.952</v>
      </c>
      <c r="G305" s="19">
        <f ca="1">IF($A305-G$3&lt;2,0,OFFSET('FPSO1 Base'!G302,-'FPSO1 Otim'!G$3,0))</f>
        <v>128.262</v>
      </c>
      <c r="H305" s="19">
        <f ca="1">IF($A305-H$3&lt;2,0,OFFSET('FPSO1 Base'!H302,-'FPSO1 Otim'!H$3,0))</f>
        <v>556.54650000000004</v>
      </c>
      <c r="I305" s="19">
        <f ca="1">IF($A305-I$3&lt;2,0,OFFSET('FPSO1 Base'!I302,-'FPSO1 Otim'!I$3,0))</f>
        <v>407.29950000000002</v>
      </c>
      <c r="J305" s="19">
        <f ca="1">IF($A305-J$3&lt;2,0,OFFSET('FPSO1 Base'!J302,-'FPSO1 Otim'!J$3,0))</f>
        <v>228.87149999999997</v>
      </c>
      <c r="K305" s="19">
        <f ca="1">IF($A305-K$3&lt;2,0,OFFSET('FPSO1 Base'!K302,-'FPSO1 Otim'!K$3,0))</f>
        <v>234.12450000000001</v>
      </c>
      <c r="L305" s="19">
        <f ca="1">IF($A305-L$3&lt;2,0,OFFSET('FPSO1 Base'!L302,-'FPSO1 Otim'!L$3,0))</f>
        <v>265.55399999999997</v>
      </c>
      <c r="M305" s="19">
        <f ca="1">IF($A305-M$3&lt;2,0,OFFSET('FPSO1 Base'!M302,-'FPSO1 Otim'!M$3,0))</f>
        <v>366.375</v>
      </c>
      <c r="N305" s="19">
        <f ca="1">IF($A305-N$3&lt;2,0,OFFSET('FPSO1 Base'!N302,-'FPSO1 Otim'!N$3,0))</f>
        <v>16.956437469317184</v>
      </c>
      <c r="O305" s="19">
        <f ca="1">IF($A305-O$3&lt;2,0,OFFSET('FPSO1 Base'!O302,-'FPSO1 Otim'!O$3,0))</f>
        <v>254.25</v>
      </c>
      <c r="P305" s="19">
        <f ca="1">IF($A305-P$3&lt;2,0,OFFSET('FPSO1 Base'!P302,-'FPSO1 Otim'!P$3,0))</f>
        <v>96.669988547164223</v>
      </c>
      <c r="Q305" s="19">
        <f ca="1">IF($A305-Q$3&lt;2,0,OFFSET('FPSO1 Base'!Q302,-'FPSO1 Otim'!Q$3,0))</f>
        <v>389.14949999999999</v>
      </c>
      <c r="R305" s="19">
        <f ca="1">IF($A305-R$3&lt;2,0,OFFSET('FPSO1 Base'!R302,-'FPSO1 Otim'!R$3,0))</f>
        <v>30.094946973070712</v>
      </c>
      <c r="S305" s="19">
        <f ca="1">IF($A305-S$3&lt;2,0,OFFSET('FPSO1 Base'!S302,-'FPSO1 Otim'!S$3,0))</f>
        <v>255.5745</v>
      </c>
      <c r="T305" s="19">
        <f ca="1">IF($A305-T$3&lt;2,0,OFFSET('FPSO1 Base'!T302,-'FPSO1 Otim'!T$3,0))</f>
        <v>519.91949999999997</v>
      </c>
      <c r="U305" s="19">
        <f ca="1">IF($A305-U$3&lt;2,0,OFFSET('FPSO1 Base'!U302,-'FPSO1 Otim'!U$3,0))</f>
        <v>544.07549999999992</v>
      </c>
      <c r="V305" s="19">
        <f ca="1">IF($A305-V$3&lt;2,0,OFFSET('FPSO1 Base'!V302,-'FPSO1 Otim'!V$3,0))</f>
        <v>502.69350000000003</v>
      </c>
      <c r="W305" s="19">
        <f ca="1">IF($A305-W$3&lt;2,0,OFFSET('FPSO1 Base'!W302,-'FPSO1 Otim'!W$3,0))</f>
        <v>224.7585</v>
      </c>
      <c r="X305" s="19">
        <f ca="1">IF($A305-X$3&lt;2,0,OFFSET('FPSO1 Base'!X302,-'FPSO1 Otim'!X$3,0))</f>
        <v>677.35050000000001</v>
      </c>
      <c r="Y305" s="19">
        <f ca="1">IF($A305-Y$3&lt;2,0,OFFSET('FPSO1 Base'!Y302,-'FPSO1 Otim'!Y$3,0))</f>
        <v>418.66949999999997</v>
      </c>
      <c r="Z305" s="19">
        <f ca="1">IF($A305-Z$3&lt;2,0,OFFSET('FPSO1 Base'!Z302,-'FPSO1 Otim'!Z$3,0))</f>
        <v>327.88800000000003</v>
      </c>
      <c r="AA305" s="20">
        <v>15000</v>
      </c>
      <c r="AB305" s="19">
        <f t="shared" ca="1" si="16"/>
        <v>7808.5548729895518</v>
      </c>
      <c r="AC305" s="20">
        <f t="shared" ca="1" si="17"/>
        <v>7191.4451270104482</v>
      </c>
      <c r="AD305" s="19">
        <f t="shared" ca="1" si="18"/>
        <v>653.03658167560388</v>
      </c>
    </row>
    <row r="306" spans="1:30" x14ac:dyDescent="0.25">
      <c r="A306" s="19">
        <v>302</v>
      </c>
      <c r="B306" s="31">
        <v>54789</v>
      </c>
      <c r="C306" s="19">
        <f ca="1">IF($A306-C$3&lt;2,0,OFFSET('FPSO1 Base'!C303,-'FPSO1 Otim'!C$3,0))</f>
        <v>551.41949999999997</v>
      </c>
      <c r="D306" s="19">
        <f ca="1">IF($A306-D$3&lt;2,0,OFFSET('FPSO1 Base'!D303,-'FPSO1 Otim'!D$3,0))</f>
        <v>100.15350000000001</v>
      </c>
      <c r="E306" s="19">
        <f ca="1">IF($A306-E$3&lt;2,0,OFFSET('FPSO1 Base'!E303,-'FPSO1 Otim'!E$3,0))</f>
        <v>330.02549999999997</v>
      </c>
      <c r="F306" s="19">
        <f ca="1">IF($A306-F$3&lt;2,0,OFFSET('FPSO1 Base'!F303,-'FPSO1 Otim'!F$3,0))</f>
        <v>376.27499999999998</v>
      </c>
      <c r="G306" s="19">
        <f ca="1">IF($A306-G$3&lt;2,0,OFFSET('FPSO1 Base'!G303,-'FPSO1 Otim'!G$3,0))</f>
        <v>128.0085</v>
      </c>
      <c r="H306" s="19">
        <f ca="1">IF($A306-H$3&lt;2,0,OFFSET('FPSO1 Base'!H303,-'FPSO1 Otim'!H$3,0))</f>
        <v>556.07849999999996</v>
      </c>
      <c r="I306" s="19">
        <f ca="1">IF($A306-I$3&lt;2,0,OFFSET('FPSO1 Base'!I303,-'FPSO1 Otim'!I$3,0))</f>
        <v>406.62150000000003</v>
      </c>
      <c r="J306" s="19">
        <f ca="1">IF($A306-J$3&lt;2,0,OFFSET('FPSO1 Base'!J303,-'FPSO1 Otim'!J$3,0))</f>
        <v>228.435</v>
      </c>
      <c r="K306" s="19">
        <f ca="1">IF($A306-K$3&lt;2,0,OFFSET('FPSO1 Base'!K303,-'FPSO1 Otim'!K$3,0))</f>
        <v>233.25</v>
      </c>
      <c r="L306" s="19">
        <f ca="1">IF($A306-L$3&lt;2,0,OFFSET('FPSO1 Base'!L303,-'FPSO1 Otim'!L$3,0))</f>
        <v>264.85950000000003</v>
      </c>
      <c r="M306" s="19">
        <f ca="1">IF($A306-M$3&lt;2,0,OFFSET('FPSO1 Base'!M303,-'FPSO1 Otim'!M$3,0))</f>
        <v>365.48699999999997</v>
      </c>
      <c r="N306" s="19">
        <f ca="1">IF($A306-N$3&lt;2,0,OFFSET('FPSO1 Base'!N303,-'FPSO1 Otim'!N$3,0))</f>
        <v>16.78687309462401</v>
      </c>
      <c r="O306" s="19">
        <f ca="1">IF($A306-O$3&lt;2,0,OFFSET('FPSO1 Base'!O303,-'FPSO1 Otim'!O$3,0))</f>
        <v>253.00049999999999</v>
      </c>
      <c r="P306" s="19">
        <f ca="1">IF($A306-P$3&lt;2,0,OFFSET('FPSO1 Base'!P303,-'FPSO1 Otim'!P$3,0))</f>
        <v>95.703288661692582</v>
      </c>
      <c r="Q306" s="19">
        <f ca="1">IF($A306-Q$3&lt;2,0,OFFSET('FPSO1 Base'!Q303,-'FPSO1 Otim'!Q$3,0))</f>
        <v>388.95899999999995</v>
      </c>
      <c r="R306" s="19">
        <f ca="1">IF($A306-R$3&lt;2,0,OFFSET('FPSO1 Base'!R303,-'FPSO1 Otim'!R$3,0))</f>
        <v>29.793997503340005</v>
      </c>
      <c r="S306" s="19">
        <f ca="1">IF($A306-S$3&lt;2,0,OFFSET('FPSO1 Base'!S303,-'FPSO1 Otim'!S$3,0))</f>
        <v>254.613</v>
      </c>
      <c r="T306" s="19">
        <f ca="1">IF($A306-T$3&lt;2,0,OFFSET('FPSO1 Base'!T303,-'FPSO1 Otim'!T$3,0))</f>
        <v>517.5</v>
      </c>
      <c r="U306" s="19">
        <f ca="1">IF($A306-U$3&lt;2,0,OFFSET('FPSO1 Base'!U303,-'FPSO1 Otim'!U$3,0))</f>
        <v>543.048</v>
      </c>
      <c r="V306" s="19">
        <f ca="1">IF($A306-V$3&lt;2,0,OFFSET('FPSO1 Base'!V303,-'FPSO1 Otim'!V$3,0))</f>
        <v>501.90000000000003</v>
      </c>
      <c r="W306" s="19">
        <f ca="1">IF($A306-W$3&lt;2,0,OFFSET('FPSO1 Base'!W303,-'FPSO1 Otim'!W$3,0))</f>
        <v>224.37450000000001</v>
      </c>
      <c r="X306" s="19">
        <f ca="1">IF($A306-X$3&lt;2,0,OFFSET('FPSO1 Base'!X303,-'FPSO1 Otim'!X$3,0))</f>
        <v>674.952</v>
      </c>
      <c r="Y306" s="19">
        <f ca="1">IF($A306-Y$3&lt;2,0,OFFSET('FPSO1 Base'!Y303,-'FPSO1 Otim'!Y$3,0))</f>
        <v>417.93149999999997</v>
      </c>
      <c r="Z306" s="19">
        <f ca="1">IF($A306-Z$3&lt;2,0,OFFSET('FPSO1 Base'!Z303,-'FPSO1 Otim'!Z$3,0))</f>
        <v>328.149</v>
      </c>
      <c r="AA306" s="20">
        <v>15000</v>
      </c>
      <c r="AB306" s="19">
        <f t="shared" ca="1" si="16"/>
        <v>7787.3251592596562</v>
      </c>
      <c r="AC306" s="20">
        <f t="shared" ca="1" si="17"/>
        <v>7212.6748407403438</v>
      </c>
      <c r="AD306" s="19">
        <f t="shared" ca="1" si="18"/>
        <v>645.87879799408859</v>
      </c>
    </row>
    <row r="307" spans="1:30" x14ac:dyDescent="0.25">
      <c r="A307" s="19">
        <v>303</v>
      </c>
      <c r="B307" s="31">
        <v>54820</v>
      </c>
      <c r="C307" s="19">
        <f ca="1">IF($A307-C$3&lt;2,0,OFFSET('FPSO1 Base'!C304,-'FPSO1 Otim'!C$3,0))</f>
        <v>549.69450000000006</v>
      </c>
      <c r="D307" s="19">
        <f ca="1">IF($A307-D$3&lt;2,0,OFFSET('FPSO1 Base'!D304,-'FPSO1 Otim'!D$3,0))</f>
        <v>99.670500000000004</v>
      </c>
      <c r="E307" s="19">
        <f ca="1">IF($A307-E$3&lt;2,0,OFFSET('FPSO1 Base'!E304,-'FPSO1 Otim'!E$3,0))</f>
        <v>328.536</v>
      </c>
      <c r="F307" s="19">
        <f ca="1">IF($A307-F$3&lt;2,0,OFFSET('FPSO1 Base'!F304,-'FPSO1 Otim'!F$3,0))</f>
        <v>374.709</v>
      </c>
      <c r="G307" s="19">
        <f ca="1">IF($A307-G$3&lt;2,0,OFFSET('FPSO1 Base'!G304,-'FPSO1 Otim'!G$3,0))</f>
        <v>127.63050000000001</v>
      </c>
      <c r="H307" s="19">
        <f ca="1">IF($A307-H$3&lt;2,0,OFFSET('FPSO1 Base'!H304,-'FPSO1 Otim'!H$3,0))</f>
        <v>555.60149999999999</v>
      </c>
      <c r="I307" s="19">
        <f ca="1">IF($A307-I$3&lt;2,0,OFFSET('FPSO1 Base'!I304,-'FPSO1 Otim'!I$3,0))</f>
        <v>405.87450000000001</v>
      </c>
      <c r="J307" s="19">
        <f ca="1">IF($A307-J$3&lt;2,0,OFFSET('FPSO1 Base'!J304,-'FPSO1 Otim'!J$3,0))</f>
        <v>228</v>
      </c>
      <c r="K307" s="19">
        <f ca="1">IF($A307-K$3&lt;2,0,OFFSET('FPSO1 Base'!K304,-'FPSO1 Otim'!K$3,0))</f>
        <v>232.35000000000002</v>
      </c>
      <c r="L307" s="19">
        <f ca="1">IF($A307-L$3&lt;2,0,OFFSET('FPSO1 Base'!L304,-'FPSO1 Otim'!L$3,0))</f>
        <v>264.03750000000002</v>
      </c>
      <c r="M307" s="19">
        <f ca="1">IF($A307-M$3&lt;2,0,OFFSET('FPSO1 Base'!M304,-'FPSO1 Otim'!M$3,0))</f>
        <v>364.62149999999997</v>
      </c>
      <c r="N307" s="19">
        <f ca="1">IF($A307-N$3&lt;2,0,OFFSET('FPSO1 Base'!N304,-'FPSO1 Otim'!N$3,0))</f>
        <v>16.619004363677771</v>
      </c>
      <c r="O307" s="19">
        <f ca="1">IF($A307-O$3&lt;2,0,OFFSET('FPSO1 Base'!O304,-'FPSO1 Otim'!O$3,0))</f>
        <v>251.85449999999997</v>
      </c>
      <c r="P307" s="19">
        <f ca="1">IF($A307-P$3&lt;2,0,OFFSET('FPSO1 Base'!P304,-'FPSO1 Otim'!P$3,0))</f>
        <v>94.746255775075653</v>
      </c>
      <c r="Q307" s="19">
        <f ca="1">IF($A307-Q$3&lt;2,0,OFFSET('FPSO1 Base'!Q304,-'FPSO1 Otim'!Q$3,0))</f>
        <v>388.65000000000003</v>
      </c>
      <c r="R307" s="19">
        <f ca="1">IF($A307-R$3&lt;2,0,OFFSET('FPSO1 Base'!R304,-'FPSO1 Otim'!R$3,0))</f>
        <v>29.496057528306604</v>
      </c>
      <c r="S307" s="19">
        <f ca="1">IF($A307-S$3&lt;2,0,OFFSET('FPSO1 Base'!S304,-'FPSO1 Otim'!S$3,0))</f>
        <v>253.57500000000002</v>
      </c>
      <c r="T307" s="19">
        <f ca="1">IF($A307-T$3&lt;2,0,OFFSET('FPSO1 Base'!T304,-'FPSO1 Otim'!T$3,0))</f>
        <v>515.274</v>
      </c>
      <c r="U307" s="19">
        <f ca="1">IF($A307-U$3&lt;2,0,OFFSET('FPSO1 Base'!U304,-'FPSO1 Otim'!U$3,0))</f>
        <v>541.97550000000001</v>
      </c>
      <c r="V307" s="19">
        <f ca="1">IF($A307-V$3&lt;2,0,OFFSET('FPSO1 Base'!V304,-'FPSO1 Otim'!V$3,0))</f>
        <v>501.14549999999997</v>
      </c>
      <c r="W307" s="19">
        <f ca="1">IF($A307-W$3&lt;2,0,OFFSET('FPSO1 Base'!W304,-'FPSO1 Otim'!W$3,0))</f>
        <v>224.05650000000003</v>
      </c>
      <c r="X307" s="19">
        <f ca="1">IF($A307-X$3&lt;2,0,OFFSET('FPSO1 Base'!X304,-'FPSO1 Otim'!X$3,0))</f>
        <v>672.822</v>
      </c>
      <c r="Y307" s="19">
        <f ca="1">IF($A307-Y$3&lt;2,0,OFFSET('FPSO1 Base'!Y304,-'FPSO1 Otim'!Y$3,0))</f>
        <v>417.13799999999998</v>
      </c>
      <c r="Z307" s="19">
        <f ca="1">IF($A307-Z$3&lt;2,0,OFFSET('FPSO1 Base'!Z304,-'FPSO1 Otim'!Z$3,0))</f>
        <v>328.24950000000001</v>
      </c>
      <c r="AA307" s="20">
        <v>15000</v>
      </c>
      <c r="AB307" s="19">
        <f t="shared" ca="1" si="16"/>
        <v>7766.3273176670582</v>
      </c>
      <c r="AC307" s="20">
        <f t="shared" ca="1" si="17"/>
        <v>7233.6726823329418</v>
      </c>
      <c r="AD307" s="19">
        <f t="shared" ca="1" si="18"/>
        <v>638.81379398908848</v>
      </c>
    </row>
    <row r="308" spans="1:30" x14ac:dyDescent="0.25">
      <c r="A308" s="19">
        <v>304</v>
      </c>
      <c r="B308" s="31">
        <v>54848</v>
      </c>
      <c r="C308" s="19">
        <f ca="1">IF($A308-C$3&lt;2,0,OFFSET('FPSO1 Base'!C305,-'FPSO1 Otim'!C$3,0))</f>
        <v>547.875</v>
      </c>
      <c r="D308" s="19">
        <f ca="1">IF($A308-D$3&lt;2,0,OFFSET('FPSO1 Base'!D305,-'FPSO1 Otim'!D$3,0))</f>
        <v>99.1965</v>
      </c>
      <c r="E308" s="19">
        <f ca="1">IF($A308-E$3&lt;2,0,OFFSET('FPSO1 Base'!E305,-'FPSO1 Otim'!E$3,0))</f>
        <v>326.87549999999999</v>
      </c>
      <c r="F308" s="19">
        <f ca="1">IF($A308-F$3&lt;2,0,OFFSET('FPSO1 Base'!F305,-'FPSO1 Otim'!F$3,0))</f>
        <v>373.065</v>
      </c>
      <c r="G308" s="19">
        <f ca="1">IF($A308-G$3&lt;2,0,OFFSET('FPSO1 Base'!G305,-'FPSO1 Otim'!G$3,0))</f>
        <v>127.38600000000001</v>
      </c>
      <c r="H308" s="19">
        <f ca="1">IF($A308-H$3&lt;2,0,OFFSET('FPSO1 Base'!H305,-'FPSO1 Otim'!H$3,0))</f>
        <v>555.17550000000006</v>
      </c>
      <c r="I308" s="19">
        <f ca="1">IF($A308-I$3&lt;2,0,OFFSET('FPSO1 Base'!I305,-'FPSO1 Otim'!I$3,0))</f>
        <v>405.19350000000003</v>
      </c>
      <c r="J308" s="19">
        <f ca="1">IF($A308-J$3&lt;2,0,OFFSET('FPSO1 Base'!J305,-'FPSO1 Otim'!J$3,0))</f>
        <v>227.589</v>
      </c>
      <c r="K308" s="19">
        <f ca="1">IF($A308-K$3&lt;2,0,OFFSET('FPSO1 Base'!K305,-'FPSO1 Otim'!K$3,0))</f>
        <v>231.48450000000003</v>
      </c>
      <c r="L308" s="19">
        <f ca="1">IF($A308-L$3&lt;2,0,OFFSET('FPSO1 Base'!L305,-'FPSO1 Otim'!L$3,0))</f>
        <v>263.274</v>
      </c>
      <c r="M308" s="19">
        <f ca="1">IF($A308-M$3&lt;2,0,OFFSET('FPSO1 Base'!M305,-'FPSO1 Otim'!M$3,0))</f>
        <v>363.81</v>
      </c>
      <c r="N308" s="19">
        <f ca="1">IF($A308-N$3&lt;2,0,OFFSET('FPSO1 Base'!N305,-'FPSO1 Otim'!N$3,0))</f>
        <v>16.452814320040993</v>
      </c>
      <c r="O308" s="19">
        <f ca="1">IF($A308-O$3&lt;2,0,OFFSET('FPSO1 Base'!O305,-'FPSO1 Otim'!O$3,0))</f>
        <v>250.64999999999998</v>
      </c>
      <c r="P308" s="19">
        <f ca="1">IF($A308-P$3&lt;2,0,OFFSET('FPSO1 Base'!P305,-'FPSO1 Otim'!P$3,0))</f>
        <v>93.798793217324899</v>
      </c>
      <c r="Q308" s="19">
        <f ca="1">IF($A308-Q$3&lt;2,0,OFFSET('FPSO1 Base'!Q305,-'FPSO1 Otim'!Q$3,0))</f>
        <v>388.33050000000003</v>
      </c>
      <c r="R308" s="19">
        <f ca="1">IF($A308-R$3&lt;2,0,OFFSET('FPSO1 Base'!R305,-'FPSO1 Otim'!R$3,0))</f>
        <v>29.201096953023537</v>
      </c>
      <c r="S308" s="19">
        <f ca="1">IF($A308-S$3&lt;2,0,OFFSET('FPSO1 Base'!S305,-'FPSO1 Otim'!S$3,0))</f>
        <v>252.62850000000003</v>
      </c>
      <c r="T308" s="19">
        <f ca="1">IF($A308-T$3&lt;2,0,OFFSET('FPSO1 Base'!T305,-'FPSO1 Otim'!T$3,0))</f>
        <v>512.87549999999999</v>
      </c>
      <c r="U308" s="19">
        <f ca="1">IF($A308-U$3&lt;2,0,OFFSET('FPSO1 Base'!U305,-'FPSO1 Otim'!U$3,0))</f>
        <v>540.99149999999997</v>
      </c>
      <c r="V308" s="19">
        <f ca="1">IF($A308-V$3&lt;2,0,OFFSET('FPSO1 Base'!V305,-'FPSO1 Otim'!V$3,0))</f>
        <v>500.274</v>
      </c>
      <c r="W308" s="19">
        <f ca="1">IF($A308-W$3&lt;2,0,OFFSET('FPSO1 Base'!W305,-'FPSO1 Otim'!W$3,0))</f>
        <v>223.64999999999998</v>
      </c>
      <c r="X308" s="19">
        <f ca="1">IF($A308-X$3&lt;2,0,OFFSET('FPSO1 Base'!X305,-'FPSO1 Otim'!X$3,0))</f>
        <v>670.2315000000001</v>
      </c>
      <c r="Y308" s="19">
        <f ca="1">IF($A308-Y$3&lt;2,0,OFFSET('FPSO1 Base'!Y305,-'FPSO1 Otim'!Y$3,0))</f>
        <v>416.41949999999997</v>
      </c>
      <c r="Z308" s="19">
        <f ca="1">IF($A308-Z$3&lt;2,0,OFFSET('FPSO1 Base'!Z305,-'FPSO1 Otim'!Z$3,0))</f>
        <v>328.62149999999997</v>
      </c>
      <c r="AA308" s="20">
        <v>15000</v>
      </c>
      <c r="AB308" s="19">
        <f t="shared" ca="1" si="16"/>
        <v>7745.0497044903896</v>
      </c>
      <c r="AC308" s="20">
        <f t="shared" ca="1" si="17"/>
        <v>7254.9502955096104</v>
      </c>
      <c r="AD308" s="19">
        <f t="shared" ca="1" si="18"/>
        <v>631.79863028910631</v>
      </c>
    </row>
    <row r="309" spans="1:30" x14ac:dyDescent="0.25">
      <c r="A309" s="19">
        <v>305</v>
      </c>
      <c r="B309" s="31">
        <v>54879</v>
      </c>
      <c r="C309" s="19">
        <f ca="1">IF($A309-C$3&lt;2,0,OFFSET('FPSO1 Base'!C306,-'FPSO1 Otim'!C$3,0))</f>
        <v>546.16650000000004</v>
      </c>
      <c r="D309" s="19">
        <f ca="1">IF($A309-D$3&lt;2,0,OFFSET('FPSO1 Base'!D306,-'FPSO1 Otim'!D$3,0))</f>
        <v>98.712000000000018</v>
      </c>
      <c r="E309" s="19">
        <f ca="1">IF($A309-E$3&lt;2,0,OFFSET('FPSO1 Base'!E306,-'FPSO1 Otim'!E$3,0))</f>
        <v>325.24649999999997</v>
      </c>
      <c r="F309" s="19">
        <f ca="1">IF($A309-F$3&lt;2,0,OFFSET('FPSO1 Base'!F306,-'FPSO1 Otim'!F$3,0))</f>
        <v>371.19900000000001</v>
      </c>
      <c r="G309" s="19">
        <f ca="1">IF($A309-G$3&lt;2,0,OFFSET('FPSO1 Base'!G306,-'FPSO1 Otim'!G$3,0))</f>
        <v>126.33150000000001</v>
      </c>
      <c r="H309" s="19">
        <f ca="1">IF($A309-H$3&lt;2,0,OFFSET('FPSO1 Base'!H306,-'FPSO1 Otim'!H$3,0))</f>
        <v>554.67899999999997</v>
      </c>
      <c r="I309" s="19">
        <f ca="1">IF($A309-I$3&lt;2,0,OFFSET('FPSO1 Base'!I306,-'FPSO1 Otim'!I$3,0))</f>
        <v>404.56499999999994</v>
      </c>
      <c r="J309" s="19">
        <f ca="1">IF($A309-J$3&lt;2,0,OFFSET('FPSO1 Base'!J306,-'FPSO1 Otim'!J$3,0))</f>
        <v>227.12549999999999</v>
      </c>
      <c r="K309" s="19">
        <f ca="1">IF($A309-K$3&lt;2,0,OFFSET('FPSO1 Base'!K306,-'FPSO1 Otim'!K$3,0))</f>
        <v>230.673</v>
      </c>
      <c r="L309" s="19">
        <f ca="1">IF($A309-L$3&lt;2,0,OFFSET('FPSO1 Base'!L306,-'FPSO1 Otim'!L$3,0))</f>
        <v>262.64999999999998</v>
      </c>
      <c r="M309" s="19">
        <f ca="1">IF($A309-M$3&lt;2,0,OFFSET('FPSO1 Base'!M306,-'FPSO1 Otim'!M$3,0))</f>
        <v>362.86649999999997</v>
      </c>
      <c r="N309" s="19">
        <f ca="1">IF($A309-N$3&lt;2,0,OFFSET('FPSO1 Base'!N306,-'FPSO1 Otim'!N$3,0))</f>
        <v>16.288286176840582</v>
      </c>
      <c r="O309" s="19">
        <f ca="1">IF($A309-O$3&lt;2,0,OFFSET('FPSO1 Base'!O306,-'FPSO1 Otim'!O$3,0))</f>
        <v>249.5085</v>
      </c>
      <c r="P309" s="19">
        <f ca="1">IF($A309-P$3&lt;2,0,OFFSET('FPSO1 Base'!P306,-'FPSO1 Otim'!P$3,0))</f>
        <v>92.860805285151656</v>
      </c>
      <c r="Q309" s="19">
        <f ca="1">IF($A309-Q$3&lt;2,0,OFFSET('FPSO1 Base'!Q306,-'FPSO1 Otim'!Q$3,0))</f>
        <v>388.04100000000005</v>
      </c>
      <c r="R309" s="19">
        <f ca="1">IF($A309-R$3&lt;2,0,OFFSET('FPSO1 Base'!R306,-'FPSO1 Otim'!R$3,0))</f>
        <v>28.909085983493302</v>
      </c>
      <c r="S309" s="19">
        <f ca="1">IF($A309-S$3&lt;2,0,OFFSET('FPSO1 Base'!S306,-'FPSO1 Otim'!S$3,0))</f>
        <v>251.661</v>
      </c>
      <c r="T309" s="19">
        <f ca="1">IF($A309-T$3&lt;2,0,OFFSET('FPSO1 Base'!T306,-'FPSO1 Otim'!T$3,0))</f>
        <v>510.62849999999997</v>
      </c>
      <c r="U309" s="19">
        <f ca="1">IF($A309-U$3&lt;2,0,OFFSET('FPSO1 Base'!U306,-'FPSO1 Otim'!U$3,0))</f>
        <v>539.90250000000003</v>
      </c>
      <c r="V309" s="19">
        <f ca="1">IF($A309-V$3&lt;2,0,OFFSET('FPSO1 Base'!V306,-'FPSO1 Otim'!V$3,0))</f>
        <v>499.24199999999996</v>
      </c>
      <c r="W309" s="19">
        <f ca="1">IF($A309-W$3&lt;2,0,OFFSET('FPSO1 Base'!W306,-'FPSO1 Otim'!W$3,0))</f>
        <v>223.3305</v>
      </c>
      <c r="X309" s="19">
        <f ca="1">IF($A309-X$3&lt;2,0,OFFSET('FPSO1 Base'!X306,-'FPSO1 Otim'!X$3,0))</f>
        <v>668.12850000000003</v>
      </c>
      <c r="Y309" s="19">
        <f ca="1">IF($A309-Y$3&lt;2,0,OFFSET('FPSO1 Base'!Y306,-'FPSO1 Otim'!Y$3,0))</f>
        <v>415.60050000000001</v>
      </c>
      <c r="Z309" s="19">
        <f ca="1">IF($A309-Z$3&lt;2,0,OFFSET('FPSO1 Base'!Z306,-'FPSO1 Otim'!Z$3,0))</f>
        <v>329.19</v>
      </c>
      <c r="AA309" s="20">
        <v>15000</v>
      </c>
      <c r="AB309" s="19">
        <f t="shared" ca="1" si="16"/>
        <v>7723.5056774454852</v>
      </c>
      <c r="AC309" s="20">
        <f t="shared" ca="1" si="17"/>
        <v>7276.4943225545148</v>
      </c>
      <c r="AD309" s="19">
        <f t="shared" ca="1" si="18"/>
        <v>624.83423489394841</v>
      </c>
    </row>
    <row r="310" spans="1:30" x14ac:dyDescent="0.25">
      <c r="A310" s="19">
        <v>306</v>
      </c>
      <c r="B310" s="31">
        <v>54909</v>
      </c>
      <c r="C310" s="19">
        <f ca="1">IF($A310-C$3&lt;2,0,OFFSET('FPSO1 Base'!C307,-'FPSO1 Otim'!C$3,0))</f>
        <v>544.33050000000003</v>
      </c>
      <c r="D310" s="19">
        <f ca="1">IF($A310-D$3&lt;2,0,OFFSET('FPSO1 Base'!D307,-'FPSO1 Otim'!D$3,0))</f>
        <v>98.218500000000006</v>
      </c>
      <c r="E310" s="19">
        <f ca="1">IF($A310-E$3&lt;2,0,OFFSET('FPSO1 Base'!E307,-'FPSO1 Otim'!E$3,0))</f>
        <v>323.673</v>
      </c>
      <c r="F310" s="19">
        <f ca="1">IF($A310-F$3&lt;2,0,OFFSET('FPSO1 Base'!F307,-'FPSO1 Otim'!F$3,0))</f>
        <v>369.62850000000003</v>
      </c>
      <c r="G310" s="19">
        <f ca="1">IF($A310-G$3&lt;2,0,OFFSET('FPSO1 Base'!G307,-'FPSO1 Otim'!G$3,0))</f>
        <v>125.66399999999999</v>
      </c>
      <c r="H310" s="19">
        <f ca="1">IF($A310-H$3&lt;2,0,OFFSET('FPSO1 Base'!H307,-'FPSO1 Otim'!H$3,0))</f>
        <v>554.25450000000001</v>
      </c>
      <c r="I310" s="19">
        <f ca="1">IF($A310-I$3&lt;2,0,OFFSET('FPSO1 Base'!I307,-'FPSO1 Otim'!I$3,0))</f>
        <v>403.79400000000004</v>
      </c>
      <c r="J310" s="19">
        <f ca="1">IF($A310-J$3&lt;2,0,OFFSET('FPSO1 Base'!J307,-'FPSO1 Otim'!J$3,0))</f>
        <v>226.69349999999997</v>
      </c>
      <c r="K310" s="19">
        <f ca="1">IF($A310-K$3&lt;2,0,OFFSET('FPSO1 Base'!K307,-'FPSO1 Otim'!K$3,0))</f>
        <v>229.7415</v>
      </c>
      <c r="L310" s="19">
        <f ca="1">IF($A310-L$3&lt;2,0,OFFSET('FPSO1 Base'!L307,-'FPSO1 Otim'!L$3,0))</f>
        <v>261.726</v>
      </c>
      <c r="M310" s="19">
        <f ca="1">IF($A310-M$3&lt;2,0,OFFSET('FPSO1 Base'!M307,-'FPSO1 Otim'!M$3,0))</f>
        <v>362.10449999999997</v>
      </c>
      <c r="N310" s="19">
        <f ca="1">IF($A310-N$3&lt;2,0,OFFSET('FPSO1 Base'!N307,-'FPSO1 Otim'!N$3,0))</f>
        <v>16.125403315072177</v>
      </c>
      <c r="O310" s="19">
        <f ca="1">IF($A310-O$3&lt;2,0,OFFSET('FPSO1 Base'!O307,-'FPSO1 Otim'!O$3,0))</f>
        <v>248.44349999999997</v>
      </c>
      <c r="P310" s="19">
        <f ca="1">IF($A310-P$3&lt;2,0,OFFSET('FPSO1 Base'!P307,-'FPSO1 Otim'!P$3,0))</f>
        <v>91.93219723230014</v>
      </c>
      <c r="Q310" s="19">
        <f ca="1">IF($A310-Q$3&lt;2,0,OFFSET('FPSO1 Base'!Q307,-'FPSO1 Otim'!Q$3,0))</f>
        <v>387.75</v>
      </c>
      <c r="R310" s="19">
        <f ca="1">IF($A310-R$3&lt;2,0,OFFSET('FPSO1 Base'!R307,-'FPSO1 Otim'!R$3,0))</f>
        <v>28.61999512365837</v>
      </c>
      <c r="S310" s="19">
        <f ca="1">IF($A310-S$3&lt;2,0,OFFSET('FPSO1 Base'!S307,-'FPSO1 Otim'!S$3,0))</f>
        <v>250.6995</v>
      </c>
      <c r="T310" s="19">
        <f ca="1">IF($A310-T$3&lt;2,0,OFFSET('FPSO1 Base'!T307,-'FPSO1 Otim'!T$3,0))</f>
        <v>508.40250000000003</v>
      </c>
      <c r="U310" s="19">
        <f ca="1">IF($A310-U$3&lt;2,0,OFFSET('FPSO1 Base'!U307,-'FPSO1 Otim'!U$3,0))</f>
        <v>538.90049999999997</v>
      </c>
      <c r="V310" s="19">
        <f ca="1">IF($A310-V$3&lt;2,0,OFFSET('FPSO1 Base'!V307,-'FPSO1 Otim'!V$3,0))</f>
        <v>498.38699999999994</v>
      </c>
      <c r="W310" s="19">
        <f ca="1">IF($A310-W$3&lt;2,0,OFFSET('FPSO1 Base'!W307,-'FPSO1 Otim'!W$3,0))</f>
        <v>223.01549999999997</v>
      </c>
      <c r="X310" s="19">
        <f ca="1">IF($A310-X$3&lt;2,0,OFFSET('FPSO1 Base'!X307,-'FPSO1 Otim'!X$3,0))</f>
        <v>665.84999999999991</v>
      </c>
      <c r="Y310" s="19">
        <f ca="1">IF($A310-Y$3&lt;2,0,OFFSET('FPSO1 Base'!Y307,-'FPSO1 Otim'!Y$3,0))</f>
        <v>414.85949999999997</v>
      </c>
      <c r="Z310" s="19">
        <f ca="1">IF($A310-Z$3&lt;2,0,OFFSET('FPSO1 Base'!Z307,-'FPSO1 Otim'!Z$3,0))</f>
        <v>328.8075</v>
      </c>
      <c r="AA310" s="20">
        <v>15000</v>
      </c>
      <c r="AB310" s="19">
        <f t="shared" ca="1" si="16"/>
        <v>7701.6215956710294</v>
      </c>
      <c r="AC310" s="20">
        <f t="shared" ca="1" si="17"/>
        <v>7298.3784043289706</v>
      </c>
      <c r="AD310" s="19">
        <f t="shared" ca="1" si="18"/>
        <v>617.91451759234701</v>
      </c>
    </row>
    <row r="311" spans="1:30" x14ac:dyDescent="0.25">
      <c r="A311" s="19">
        <v>307</v>
      </c>
      <c r="B311" s="31">
        <v>54940</v>
      </c>
      <c r="C311" s="19">
        <f ca="1">IF($A311-C$3&lt;2,0,OFFSET('FPSO1 Base'!C308,-'FPSO1 Otim'!C$3,0))</f>
        <v>542.60249999999996</v>
      </c>
      <c r="D311" s="19">
        <f ca="1">IF($A311-D$3&lt;2,0,OFFSET('FPSO1 Base'!D308,-'FPSO1 Otim'!D$3,0))</f>
        <v>97.766999999999996</v>
      </c>
      <c r="E311" s="19">
        <f ca="1">IF($A311-E$3&lt;2,0,OFFSET('FPSO1 Base'!E308,-'FPSO1 Otim'!E$3,0))</f>
        <v>322.02449999999999</v>
      </c>
      <c r="F311" s="19">
        <f ca="1">IF($A311-F$3&lt;2,0,OFFSET('FPSO1 Base'!F308,-'FPSO1 Otim'!F$3,0))</f>
        <v>367.77449999999999</v>
      </c>
      <c r="G311" s="19">
        <f ca="1">IF($A311-G$3&lt;2,0,OFFSET('FPSO1 Base'!G308,-'FPSO1 Otim'!G$3,0))</f>
        <v>125.15849999999999</v>
      </c>
      <c r="H311" s="19">
        <f ca="1">IF($A311-H$3&lt;2,0,OFFSET('FPSO1 Base'!H308,-'FPSO1 Otim'!H$3,0))</f>
        <v>553.7595</v>
      </c>
      <c r="I311" s="19">
        <f ca="1">IF($A311-I$3&lt;2,0,OFFSET('FPSO1 Base'!I308,-'FPSO1 Otim'!I$3,0))</f>
        <v>403.20899999999995</v>
      </c>
      <c r="J311" s="19">
        <f ca="1">IF($A311-J$3&lt;2,0,OFFSET('FPSO1 Base'!J308,-'FPSO1 Otim'!J$3,0))</f>
        <v>226.30650000000003</v>
      </c>
      <c r="K311" s="19">
        <f ca="1">IF($A311-K$3&lt;2,0,OFFSET('FPSO1 Base'!K308,-'FPSO1 Otim'!K$3,0))</f>
        <v>229.00350000000003</v>
      </c>
      <c r="L311" s="19">
        <f ca="1">IF($A311-L$3&lt;2,0,OFFSET('FPSO1 Base'!L308,-'FPSO1 Otim'!L$3,0))</f>
        <v>260.988</v>
      </c>
      <c r="M311" s="19">
        <f ca="1">IF($A311-M$3&lt;2,0,OFFSET('FPSO1 Base'!M308,-'FPSO1 Otim'!M$3,0))</f>
        <v>361.20000000000005</v>
      </c>
      <c r="N311" s="19">
        <f ca="1">IF($A311-N$3&lt;2,0,OFFSET('FPSO1 Base'!N308,-'FPSO1 Otim'!N$3,0))</f>
        <v>15.964149281921454</v>
      </c>
      <c r="O311" s="19">
        <f ca="1">IF($A311-O$3&lt;2,0,OFFSET('FPSO1 Base'!O308,-'FPSO1 Otim'!O$3,0))</f>
        <v>247.22550000000001</v>
      </c>
      <c r="P311" s="19">
        <f ca="1">IF($A311-P$3&lt;2,0,OFFSET('FPSO1 Base'!P308,-'FPSO1 Otim'!P$3,0))</f>
        <v>91.012875259977136</v>
      </c>
      <c r="Q311" s="19">
        <f ca="1">IF($A311-Q$3&lt;2,0,OFFSET('FPSO1 Base'!Q308,-'FPSO1 Otim'!Q$3,0))</f>
        <v>387.43500000000006</v>
      </c>
      <c r="R311" s="19">
        <f ca="1">IF($A311-R$3&lt;2,0,OFFSET('FPSO1 Base'!R308,-'FPSO1 Otim'!R$3,0))</f>
        <v>28.333795172421787</v>
      </c>
      <c r="S311" s="19">
        <f ca="1">IF($A311-S$3&lt;2,0,OFFSET('FPSO1 Base'!S308,-'FPSO1 Otim'!S$3,0))</f>
        <v>249.75</v>
      </c>
      <c r="T311" s="19">
        <f ca="1">IF($A311-T$3&lt;2,0,OFFSET('FPSO1 Base'!T308,-'FPSO1 Otim'!T$3,0))</f>
        <v>505.99950000000001</v>
      </c>
      <c r="U311" s="19">
        <f ca="1">IF($A311-U$3&lt;2,0,OFFSET('FPSO1 Base'!U308,-'FPSO1 Otim'!U$3,0))</f>
        <v>537.91949999999997</v>
      </c>
      <c r="V311" s="19">
        <f ca="1">IF($A311-V$3&lt;2,0,OFFSET('FPSO1 Base'!V308,-'FPSO1 Otim'!V$3,0))</f>
        <v>497.29950000000002</v>
      </c>
      <c r="W311" s="19">
        <f ca="1">IF($A311-W$3&lt;2,0,OFFSET('FPSO1 Base'!W308,-'FPSO1 Otim'!W$3,0))</f>
        <v>222.62099999999998</v>
      </c>
      <c r="X311" s="19">
        <f ca="1">IF($A311-X$3&lt;2,0,OFFSET('FPSO1 Base'!X308,-'FPSO1 Otim'!X$3,0))</f>
        <v>663.58050000000003</v>
      </c>
      <c r="Y311" s="19">
        <f ca="1">IF($A311-Y$3&lt;2,0,OFFSET('FPSO1 Base'!Y308,-'FPSO1 Otim'!Y$3,0))</f>
        <v>414.10949999999997</v>
      </c>
      <c r="Z311" s="19">
        <f ca="1">IF($A311-Z$3&lt;2,0,OFFSET('FPSO1 Base'!Z308,-'FPSO1 Otim'!Z$3,0))</f>
        <v>328.791</v>
      </c>
      <c r="AA311" s="20">
        <v>15000</v>
      </c>
      <c r="AB311" s="19">
        <f t="shared" ca="1" si="16"/>
        <v>7679.8353197143197</v>
      </c>
      <c r="AC311" s="20">
        <f t="shared" ca="1" si="17"/>
        <v>7320.1646802856803</v>
      </c>
      <c r="AD311" s="19">
        <f t="shared" ca="1" si="18"/>
        <v>611.07428104317501</v>
      </c>
    </row>
    <row r="312" spans="1:30" x14ac:dyDescent="0.25">
      <c r="A312" s="19">
        <v>308</v>
      </c>
      <c r="B312" s="31">
        <v>54970</v>
      </c>
      <c r="C312" s="19">
        <f ca="1">IF($A312-C$3&lt;2,0,OFFSET('FPSO1 Base'!C309,-'FPSO1 Otim'!C$3,0))</f>
        <v>540.83399999999995</v>
      </c>
      <c r="D312" s="19">
        <f ca="1">IF($A312-D$3&lt;2,0,OFFSET('FPSO1 Base'!D309,-'FPSO1 Otim'!D$3,0))</f>
        <v>97.301999999999992</v>
      </c>
      <c r="E312" s="19">
        <f ca="1">IF($A312-E$3&lt;2,0,OFFSET('FPSO1 Base'!E309,-'FPSO1 Otim'!E$3,0))</f>
        <v>320.52750000000003</v>
      </c>
      <c r="F312" s="19">
        <f ca="1">IF($A312-F$3&lt;2,0,OFFSET('FPSO1 Base'!F309,-'FPSO1 Otim'!F$3,0))</f>
        <v>366.12149999999997</v>
      </c>
      <c r="G312" s="19">
        <f ca="1">IF($A312-G$3&lt;2,0,OFFSET('FPSO1 Base'!G309,-'FPSO1 Otim'!G$3,0))</f>
        <v>125.44499999999999</v>
      </c>
      <c r="H312" s="19">
        <f ca="1">IF($A312-H$3&lt;2,0,OFFSET('FPSO1 Base'!H309,-'FPSO1 Otim'!H$3,0))</f>
        <v>553.33349999999996</v>
      </c>
      <c r="I312" s="19">
        <f ca="1">IF($A312-I$3&lt;2,0,OFFSET('FPSO1 Base'!I309,-'FPSO1 Otim'!I$3,0))</f>
        <v>402.47550000000001</v>
      </c>
      <c r="J312" s="19">
        <f ca="1">IF($A312-J$3&lt;2,0,OFFSET('FPSO1 Base'!J309,-'FPSO1 Otim'!J$3,0))</f>
        <v>225.85649999999998</v>
      </c>
      <c r="K312" s="19">
        <f ca="1">IF($A312-K$3&lt;2,0,OFFSET('FPSO1 Base'!K309,-'FPSO1 Otim'!K$3,0))</f>
        <v>228.12450000000001</v>
      </c>
      <c r="L312" s="19">
        <f ca="1">IF($A312-L$3&lt;2,0,OFFSET('FPSO1 Base'!L309,-'FPSO1 Otim'!L$3,0))</f>
        <v>260.22450000000003</v>
      </c>
      <c r="M312" s="19">
        <f ca="1">IF($A312-M$3&lt;2,0,OFFSET('FPSO1 Base'!M309,-'FPSO1 Otim'!M$3,0))</f>
        <v>360.411</v>
      </c>
      <c r="N312" s="19">
        <f ca="1">IF($A312-N$3&lt;2,0,OFFSET('FPSO1 Base'!N309,-'FPSO1 Otim'!N$3,0))</f>
        <v>15.804507789102239</v>
      </c>
      <c r="O312" s="19">
        <f ca="1">IF($A312-O$3&lt;2,0,OFFSET('FPSO1 Base'!O309,-'FPSO1 Otim'!O$3,0))</f>
        <v>246.21750000000003</v>
      </c>
      <c r="P312" s="19">
        <f ca="1">IF($A312-P$3&lt;2,0,OFFSET('FPSO1 Base'!P309,-'FPSO1 Otim'!P$3,0))</f>
        <v>90.102746507377361</v>
      </c>
      <c r="Q312" s="19">
        <f ca="1">IF($A312-Q$3&lt;2,0,OFFSET('FPSO1 Base'!Q309,-'FPSO1 Otim'!Q$3,0))</f>
        <v>387.07500000000005</v>
      </c>
      <c r="R312" s="19">
        <f ca="1">IF($A312-R$3&lt;2,0,OFFSET('FPSO1 Base'!R309,-'FPSO1 Otim'!R$3,0))</f>
        <v>28.05045722069757</v>
      </c>
      <c r="S312" s="19">
        <f ca="1">IF($A312-S$3&lt;2,0,OFFSET('FPSO1 Base'!S309,-'FPSO1 Otim'!S$3,0))</f>
        <v>248.8245</v>
      </c>
      <c r="T312" s="19">
        <f ca="1">IF($A312-T$3&lt;2,0,OFFSET('FPSO1 Base'!T309,-'FPSO1 Otim'!T$3,0))</f>
        <v>503.75850000000003</v>
      </c>
      <c r="U312" s="19">
        <f ca="1">IF($A312-U$3&lt;2,0,OFFSET('FPSO1 Base'!U309,-'FPSO1 Otim'!U$3,0))</f>
        <v>536.87549999999999</v>
      </c>
      <c r="V312" s="19">
        <f ca="1">IF($A312-V$3&lt;2,0,OFFSET('FPSO1 Base'!V309,-'FPSO1 Otim'!V$3,0))</f>
        <v>496.35450000000003</v>
      </c>
      <c r="W312" s="19">
        <f ca="1">IF($A312-W$3&lt;2,0,OFFSET('FPSO1 Base'!W309,-'FPSO1 Otim'!W$3,0))</f>
        <v>222.363</v>
      </c>
      <c r="X312" s="19">
        <f ca="1">IF($A312-X$3&lt;2,0,OFFSET('FPSO1 Base'!X309,-'FPSO1 Otim'!X$3,0))</f>
        <v>661.2</v>
      </c>
      <c r="Y312" s="19">
        <f ca="1">IF($A312-Y$3&lt;2,0,OFFSET('FPSO1 Base'!Y309,-'FPSO1 Otim'!Y$3,0))</f>
        <v>413.28899999999999</v>
      </c>
      <c r="Z312" s="19">
        <f ca="1">IF($A312-Z$3&lt;2,0,OFFSET('FPSO1 Base'!Z309,-'FPSO1 Otim'!Z$3,0))</f>
        <v>328.58699999999999</v>
      </c>
      <c r="AA312" s="20">
        <v>15000</v>
      </c>
      <c r="AB312" s="19">
        <f t="shared" ca="1" si="16"/>
        <v>7659.1577115171767</v>
      </c>
      <c r="AC312" s="20">
        <f t="shared" ca="1" si="17"/>
        <v>7340.8422884828233</v>
      </c>
      <c r="AD312" s="19">
        <f t="shared" ca="1" si="18"/>
        <v>604.39238802970442</v>
      </c>
    </row>
    <row r="313" spans="1:30" x14ac:dyDescent="0.25">
      <c r="A313" s="19">
        <v>309</v>
      </c>
      <c r="B313" s="31">
        <v>55001</v>
      </c>
      <c r="C313" s="19">
        <f ca="1">IF($A313-C$3&lt;2,0,OFFSET('FPSO1 Base'!C310,-'FPSO1 Otim'!C$3,0))</f>
        <v>539.0385</v>
      </c>
      <c r="D313" s="19">
        <f ca="1">IF($A313-D$3&lt;2,0,OFFSET('FPSO1 Base'!D310,-'FPSO1 Otim'!D$3,0))</f>
        <v>96.834000000000003</v>
      </c>
      <c r="E313" s="19">
        <f ca="1">IF($A313-E$3&lt;2,0,OFFSET('FPSO1 Base'!E310,-'FPSO1 Otim'!E$3,0))</f>
        <v>318.9255</v>
      </c>
      <c r="F313" s="19">
        <f ca="1">IF($A313-F$3&lt;2,0,OFFSET('FPSO1 Base'!F310,-'FPSO1 Otim'!F$3,0))</f>
        <v>364.3005</v>
      </c>
      <c r="G313" s="19">
        <f ca="1">IF($A313-G$3&lt;2,0,OFFSET('FPSO1 Base'!G310,-'FPSO1 Otim'!G$3,0))</f>
        <v>124.92</v>
      </c>
      <c r="H313" s="19">
        <f ca="1">IF($A313-H$3&lt;2,0,OFFSET('FPSO1 Base'!H310,-'FPSO1 Otim'!H$3,0))</f>
        <v>552.90599999999995</v>
      </c>
      <c r="I313" s="19">
        <f ca="1">IF($A313-I$3&lt;2,0,OFFSET('FPSO1 Base'!I310,-'FPSO1 Otim'!I$3,0))</f>
        <v>401.85450000000003</v>
      </c>
      <c r="J313" s="19">
        <f ca="1">IF($A313-J$3&lt;2,0,OFFSET('FPSO1 Base'!J310,-'FPSO1 Otim'!J$3,0))</f>
        <v>225.459</v>
      </c>
      <c r="K313" s="19">
        <f ca="1">IF($A313-K$3&lt;2,0,OFFSET('FPSO1 Base'!K310,-'FPSO1 Otim'!K$3,0))</f>
        <v>227.334</v>
      </c>
      <c r="L313" s="19">
        <f ca="1">IF($A313-L$3&lt;2,0,OFFSET('FPSO1 Base'!L310,-'FPSO1 Otim'!L$3,0))</f>
        <v>259.56</v>
      </c>
      <c r="M313" s="19">
        <f ca="1">IF($A313-M$3&lt;2,0,OFFSET('FPSO1 Base'!M310,-'FPSO1 Otim'!M$3,0))</f>
        <v>359.57550000000003</v>
      </c>
      <c r="N313" s="19">
        <f ca="1">IF($A313-N$3&lt;2,0,OFFSET('FPSO1 Base'!N310,-'FPSO1 Otim'!N$3,0))</f>
        <v>15.646462711211216</v>
      </c>
      <c r="O313" s="19">
        <f ca="1">IF($A313-O$3&lt;2,0,OFFSET('FPSO1 Base'!O310,-'FPSO1 Otim'!O$3,0))</f>
        <v>245.0505</v>
      </c>
      <c r="P313" s="19">
        <f ca="1">IF($A313-P$3&lt;2,0,OFFSET('FPSO1 Base'!P310,-'FPSO1 Otim'!P$3,0))</f>
        <v>89.20171904230358</v>
      </c>
      <c r="Q313" s="19">
        <f ca="1">IF($A313-Q$3&lt;2,0,OFFSET('FPSO1 Base'!Q310,-'FPSO1 Otim'!Q$3,0))</f>
        <v>386.73449999999997</v>
      </c>
      <c r="R313" s="19">
        <f ca="1">IF($A313-R$3&lt;2,0,OFFSET('FPSO1 Base'!R310,-'FPSO1 Otim'!R$3,0))</f>
        <v>27.769952648490595</v>
      </c>
      <c r="S313" s="19">
        <f ca="1">IF($A313-S$3&lt;2,0,OFFSET('FPSO1 Base'!S310,-'FPSO1 Otim'!S$3,0))</f>
        <v>247.935</v>
      </c>
      <c r="T313" s="19">
        <f ca="1">IF($A313-T$3&lt;2,0,OFFSET('FPSO1 Base'!T310,-'FPSO1 Otim'!T$3,0))</f>
        <v>501.42450000000002</v>
      </c>
      <c r="U313" s="19">
        <f ca="1">IF($A313-U$3&lt;2,0,OFFSET('FPSO1 Base'!U310,-'FPSO1 Otim'!U$3,0))</f>
        <v>535.88699999999994</v>
      </c>
      <c r="V313" s="19">
        <f ca="1">IF($A313-V$3&lt;2,0,OFFSET('FPSO1 Base'!V310,-'FPSO1 Otim'!V$3,0))</f>
        <v>495.25049999999999</v>
      </c>
      <c r="W313" s="19">
        <f ca="1">IF($A313-W$3&lt;2,0,OFFSET('FPSO1 Base'!W310,-'FPSO1 Otim'!W$3,0))</f>
        <v>221.97450000000001</v>
      </c>
      <c r="X313" s="19">
        <f ca="1">IF($A313-X$3&lt;2,0,OFFSET('FPSO1 Base'!X310,-'FPSO1 Otim'!X$3,0))</f>
        <v>658.93500000000006</v>
      </c>
      <c r="Y313" s="19">
        <f ca="1">IF($A313-Y$3&lt;2,0,OFFSET('FPSO1 Base'!Y310,-'FPSO1 Otim'!Y$3,0))</f>
        <v>412.58399999999995</v>
      </c>
      <c r="Z313" s="19">
        <f ca="1">IF($A313-Z$3&lt;2,0,OFFSET('FPSO1 Base'!Z310,-'FPSO1 Otim'!Z$3,0))</f>
        <v>328.22249999999997</v>
      </c>
      <c r="AA313" s="20">
        <v>15000</v>
      </c>
      <c r="AB313" s="19">
        <f t="shared" ca="1" si="16"/>
        <v>7637.3236344020052</v>
      </c>
      <c r="AC313" s="20">
        <f t="shared" ca="1" si="17"/>
        <v>7362.6763655979948</v>
      </c>
      <c r="AD313" s="19">
        <f t="shared" ca="1" si="18"/>
        <v>597.68869832484734</v>
      </c>
    </row>
    <row r="314" spans="1:30" x14ac:dyDescent="0.25">
      <c r="A314" s="19">
        <v>310</v>
      </c>
      <c r="B314" s="31">
        <v>55032</v>
      </c>
      <c r="C314" s="19">
        <f ca="1">IF($A314-C$3&lt;2,0,OFFSET('FPSO1 Base'!C311,-'FPSO1 Otim'!C$3,0))</f>
        <v>537.32849999999996</v>
      </c>
      <c r="D314" s="19">
        <f ca="1">IF($A314-D$3&lt;2,0,OFFSET('FPSO1 Base'!D311,-'FPSO1 Otim'!D$3,0))</f>
        <v>96.359999999999985</v>
      </c>
      <c r="E314" s="19">
        <f ca="1">IF($A314-E$3&lt;2,0,OFFSET('FPSO1 Base'!E311,-'FPSO1 Otim'!E$3,0))</f>
        <v>317.39550000000003</v>
      </c>
      <c r="F314" s="19">
        <f ca="1">IF($A314-F$3&lt;2,0,OFFSET('FPSO1 Base'!F311,-'FPSO1 Otim'!F$3,0))</f>
        <v>362.565</v>
      </c>
      <c r="G314" s="19">
        <f ca="1">IF($A314-G$3&lt;2,0,OFFSET('FPSO1 Base'!G311,-'FPSO1 Otim'!G$3,0))</f>
        <v>125.04900000000001</v>
      </c>
      <c r="H314" s="19">
        <f ca="1">IF($A314-H$3&lt;2,0,OFFSET('FPSO1 Base'!H311,-'FPSO1 Otim'!H$3,0))</f>
        <v>552.43500000000006</v>
      </c>
      <c r="I314" s="19">
        <f ca="1">IF($A314-I$3&lt;2,0,OFFSET('FPSO1 Base'!I311,-'FPSO1 Otim'!I$3,0))</f>
        <v>401.14949999999999</v>
      </c>
      <c r="J314" s="19">
        <f ca="1">IF($A314-J$3&lt;2,0,OFFSET('FPSO1 Base'!J311,-'FPSO1 Otim'!J$3,0))</f>
        <v>225.02549999999999</v>
      </c>
      <c r="K314" s="19">
        <f ca="1">IF($A314-K$3&lt;2,0,OFFSET('FPSO1 Base'!K311,-'FPSO1 Otim'!K$3,0))</f>
        <v>226.488</v>
      </c>
      <c r="L314" s="19">
        <f ca="1">IF($A314-L$3&lt;2,0,OFFSET('FPSO1 Base'!L311,-'FPSO1 Otim'!L$3,0))</f>
        <v>258.85050000000001</v>
      </c>
      <c r="M314" s="19">
        <f ca="1">IF($A314-M$3&lt;2,0,OFFSET('FPSO1 Base'!M311,-'FPSO1 Otim'!M$3,0))</f>
        <v>358.74149999999997</v>
      </c>
      <c r="N314" s="19">
        <f ca="1">IF($A314-N$3&lt;2,0,OFFSET('FPSO1 Base'!N311,-'FPSO1 Otim'!N$3,0))</f>
        <v>15.489998084099103</v>
      </c>
      <c r="O314" s="19">
        <f ca="1">IF($A314-O$3&lt;2,0,OFFSET('FPSO1 Base'!O311,-'FPSO1 Otim'!O$3,0))</f>
        <v>244.01549999999997</v>
      </c>
      <c r="P314" s="19">
        <f ca="1">IF($A314-P$3&lt;2,0,OFFSET('FPSO1 Base'!P311,-'FPSO1 Otim'!P$3,0))</f>
        <v>88.309701851880547</v>
      </c>
      <c r="Q314" s="19">
        <f ca="1">IF($A314-Q$3&lt;2,0,OFFSET('FPSO1 Base'!Q311,-'FPSO1 Otim'!Q$3,0))</f>
        <v>386.44350000000003</v>
      </c>
      <c r="R314" s="19">
        <f ca="1">IF($A314-R$3&lt;2,0,OFFSET('FPSO1 Base'!R311,-'FPSO1 Otim'!R$3,0))</f>
        <v>27.492253122005689</v>
      </c>
      <c r="S314" s="19">
        <f ca="1">IF($A314-S$3&lt;2,0,OFFSET('FPSO1 Base'!S311,-'FPSO1 Otim'!S$3,0))</f>
        <v>247.065</v>
      </c>
      <c r="T314" s="19">
        <f ca="1">IF($A314-T$3&lt;2,0,OFFSET('FPSO1 Base'!T311,-'FPSO1 Otim'!T$3,0))</f>
        <v>499.20899999999995</v>
      </c>
      <c r="U314" s="19">
        <f ca="1">IF($A314-U$3&lt;2,0,OFFSET('FPSO1 Base'!U311,-'FPSO1 Otim'!U$3,0))</f>
        <v>534.96749999999997</v>
      </c>
      <c r="V314" s="19">
        <f ca="1">IF($A314-V$3&lt;2,0,OFFSET('FPSO1 Base'!V311,-'FPSO1 Otim'!V$3,0))</f>
        <v>494.178</v>
      </c>
      <c r="W314" s="19">
        <f ca="1">IF($A314-W$3&lt;2,0,OFFSET('FPSO1 Base'!W311,-'FPSO1 Otim'!W$3,0))</f>
        <v>221.685</v>
      </c>
      <c r="X314" s="19">
        <f ca="1">IF($A314-X$3&lt;2,0,OFFSET('FPSO1 Base'!X311,-'FPSO1 Otim'!X$3,0))</f>
        <v>656.75850000000003</v>
      </c>
      <c r="Y314" s="19">
        <f ca="1">IF($A314-Y$3&lt;2,0,OFFSET('FPSO1 Base'!Y311,-'FPSO1 Otim'!Y$3,0))</f>
        <v>411.78749999999997</v>
      </c>
      <c r="Z314" s="19">
        <f ca="1">IF($A314-Z$3&lt;2,0,OFFSET('FPSO1 Base'!Z311,-'FPSO1 Otim'!Z$3,0))</f>
        <v>327.61199999999997</v>
      </c>
      <c r="AA314" s="20">
        <v>15000</v>
      </c>
      <c r="AB314" s="19">
        <f t="shared" ca="1" si="16"/>
        <v>7616.4014530579852</v>
      </c>
      <c r="AC314" s="20">
        <f t="shared" ca="1" si="17"/>
        <v>7383.5985469420148</v>
      </c>
      <c r="AD314" s="19">
        <f t="shared" ca="1" si="18"/>
        <v>591.12530678830717</v>
      </c>
    </row>
    <row r="315" spans="1:30" x14ac:dyDescent="0.25">
      <c r="A315" s="19">
        <v>311</v>
      </c>
      <c r="B315" s="31">
        <v>55062</v>
      </c>
      <c r="C315" s="19">
        <f ca="1">IF($A315-C$3&lt;2,0,OFFSET('FPSO1 Base'!C312,-'FPSO1 Otim'!C$3,0))</f>
        <v>535.51800000000003</v>
      </c>
      <c r="D315" s="19">
        <f ca="1">IF($A315-D$3&lt;2,0,OFFSET('FPSO1 Base'!D312,-'FPSO1 Otim'!D$3,0))</f>
        <v>95.947500000000005</v>
      </c>
      <c r="E315" s="19">
        <f ca="1">IF($A315-E$3&lt;2,0,OFFSET('FPSO1 Base'!E312,-'FPSO1 Otim'!E$3,0))</f>
        <v>315.93150000000003</v>
      </c>
      <c r="F315" s="19">
        <f ca="1">IF($A315-F$3&lt;2,0,OFFSET('FPSO1 Base'!F312,-'FPSO1 Otim'!F$3,0))</f>
        <v>360.91949999999997</v>
      </c>
      <c r="G315" s="19">
        <f ca="1">IF($A315-G$3&lt;2,0,OFFSET('FPSO1 Base'!G312,-'FPSO1 Otim'!G$3,0))</f>
        <v>124.60049999999998</v>
      </c>
      <c r="H315" s="19">
        <f ca="1">IF($A315-H$3&lt;2,0,OFFSET('FPSO1 Base'!H312,-'FPSO1 Otim'!H$3,0))</f>
        <v>552.01049999999998</v>
      </c>
      <c r="I315" s="19">
        <f ca="1">IF($A315-I$3&lt;2,0,OFFSET('FPSO1 Base'!I312,-'FPSO1 Otim'!I$3,0))</f>
        <v>400.452</v>
      </c>
      <c r="J315" s="19">
        <f ca="1">IF($A315-J$3&lt;2,0,OFFSET('FPSO1 Base'!J312,-'FPSO1 Otim'!J$3,0))</f>
        <v>224.637</v>
      </c>
      <c r="K315" s="19">
        <f ca="1">IF($A315-K$3&lt;2,0,OFFSET('FPSO1 Base'!K312,-'FPSO1 Otim'!K$3,0))</f>
        <v>225.678</v>
      </c>
      <c r="L315" s="19">
        <f ca="1">IF($A315-L$3&lt;2,0,OFFSET('FPSO1 Base'!L312,-'FPSO1 Otim'!L$3,0))</f>
        <v>258.18150000000003</v>
      </c>
      <c r="M315" s="19">
        <f ca="1">IF($A315-M$3&lt;2,0,OFFSET('FPSO1 Base'!M312,-'FPSO1 Otim'!M$3,0))</f>
        <v>357.96750000000003</v>
      </c>
      <c r="N315" s="19">
        <f ca="1">IF($A315-N$3&lt;2,0,OFFSET('FPSO1 Base'!N312,-'FPSO1 Otim'!N$3,0))</f>
        <v>15.335098103258112</v>
      </c>
      <c r="O315" s="19">
        <f ca="1">IF($A315-O$3&lt;2,0,OFFSET('FPSO1 Base'!O312,-'FPSO1 Otim'!O$3,0))</f>
        <v>243.024</v>
      </c>
      <c r="P315" s="19">
        <f ca="1">IF($A315-P$3&lt;2,0,OFFSET('FPSO1 Base'!P312,-'FPSO1 Otim'!P$3,0))</f>
        <v>87.426604833361736</v>
      </c>
      <c r="Q315" s="19">
        <f ca="1">IF($A315-Q$3&lt;2,0,OFFSET('FPSO1 Base'!Q312,-'FPSO1 Otim'!Q$3,0))</f>
        <v>386.00850000000003</v>
      </c>
      <c r="R315" s="19">
        <f ca="1">IF($A315-R$3&lt;2,0,OFFSET('FPSO1 Base'!R312,-'FPSO1 Otim'!R$3,0))</f>
        <v>27.217330590785632</v>
      </c>
      <c r="S315" s="19">
        <f ca="1">IF($A315-S$3&lt;2,0,OFFSET('FPSO1 Base'!S312,-'FPSO1 Otim'!S$3,0))</f>
        <v>246.1335</v>
      </c>
      <c r="T315" s="19">
        <f ca="1">IF($A315-T$3&lt;2,0,OFFSET('FPSO1 Base'!T312,-'FPSO1 Otim'!T$3,0))</f>
        <v>497.15250000000003</v>
      </c>
      <c r="U315" s="19">
        <f ca="1">IF($A315-U$3&lt;2,0,OFFSET('FPSO1 Base'!U312,-'FPSO1 Otim'!U$3,0))</f>
        <v>533.86649999999997</v>
      </c>
      <c r="V315" s="19">
        <f ca="1">IF($A315-V$3&lt;2,0,OFFSET('FPSO1 Base'!V312,-'FPSO1 Otim'!V$3,0))</f>
        <v>493.161</v>
      </c>
      <c r="W315" s="19">
        <f ca="1">IF($A315-W$3&lt;2,0,OFFSET('FPSO1 Base'!W312,-'FPSO1 Otim'!W$3,0))</f>
        <v>221.32500000000002</v>
      </c>
      <c r="X315" s="19">
        <f ca="1">IF($A315-X$3&lt;2,0,OFFSET('FPSO1 Base'!X312,-'FPSO1 Otim'!X$3,0))</f>
        <v>654.34950000000003</v>
      </c>
      <c r="Y315" s="19">
        <f ca="1">IF($A315-Y$3&lt;2,0,OFFSET('FPSO1 Base'!Y312,-'FPSO1 Otim'!Y$3,0))</f>
        <v>411.072</v>
      </c>
      <c r="Z315" s="19">
        <f ca="1">IF($A315-Z$3&lt;2,0,OFFSET('FPSO1 Base'!Z312,-'FPSO1 Otim'!Z$3,0))</f>
        <v>326.601</v>
      </c>
      <c r="AA315" s="20">
        <v>15000</v>
      </c>
      <c r="AB315" s="19">
        <f t="shared" ca="1" si="16"/>
        <v>7594.5160335274059</v>
      </c>
      <c r="AC315" s="20">
        <f t="shared" ca="1" si="17"/>
        <v>7405.4839664725941</v>
      </c>
      <c r="AD315" s="19">
        <f t="shared" ca="1" si="18"/>
        <v>584.55543697437406</v>
      </c>
    </row>
    <row r="316" spans="1:30" x14ac:dyDescent="0.25">
      <c r="A316" s="19">
        <v>312</v>
      </c>
      <c r="B316" s="31">
        <v>55093</v>
      </c>
      <c r="C316" s="19">
        <f ca="1">IF($A316-C$3&lt;2,0,OFFSET('FPSO1 Base'!C313,-'FPSO1 Otim'!C$3,0))</f>
        <v>533.64300000000003</v>
      </c>
      <c r="D316" s="19">
        <f ca="1">IF($A316-D$3&lt;2,0,OFFSET('FPSO1 Base'!D313,-'FPSO1 Otim'!D$3,0))</f>
        <v>95.486999999999995</v>
      </c>
      <c r="E316" s="19">
        <f ca="1">IF($A316-E$3&lt;2,0,OFFSET('FPSO1 Base'!E313,-'FPSO1 Otim'!E$3,0))</f>
        <v>314.11649999999997</v>
      </c>
      <c r="F316" s="19">
        <f ca="1">IF($A316-F$3&lt;2,0,OFFSET('FPSO1 Base'!F313,-'FPSO1 Otim'!F$3,0))</f>
        <v>359.12549999999999</v>
      </c>
      <c r="G316" s="19">
        <f ca="1">IF($A316-G$3&lt;2,0,OFFSET('FPSO1 Base'!G313,-'FPSO1 Otim'!G$3,0))</f>
        <v>124.3215</v>
      </c>
      <c r="H316" s="19">
        <f ca="1">IF($A316-H$3&lt;2,0,OFFSET('FPSO1 Base'!H313,-'FPSO1 Otim'!H$3,0))</f>
        <v>551.59199999999998</v>
      </c>
      <c r="I316" s="19">
        <f ca="1">IF($A316-I$3&lt;2,0,OFFSET('FPSO1 Base'!I313,-'FPSO1 Otim'!I$3,0))</f>
        <v>399.84749999999997</v>
      </c>
      <c r="J316" s="19">
        <f ca="1">IF($A316-J$3&lt;2,0,OFFSET('FPSO1 Base'!J313,-'FPSO1 Otim'!J$3,0))</f>
        <v>224.25</v>
      </c>
      <c r="K316" s="19">
        <f ca="1">IF($A316-K$3&lt;2,0,OFFSET('FPSO1 Base'!K313,-'FPSO1 Otim'!K$3,0))</f>
        <v>224.89049999999997</v>
      </c>
      <c r="L316" s="19">
        <f ca="1">IF($A316-L$3&lt;2,0,OFFSET('FPSO1 Base'!L313,-'FPSO1 Otim'!L$3,0))</f>
        <v>257.553</v>
      </c>
      <c r="M316" s="19">
        <f ca="1">IF($A316-M$3&lt;2,0,OFFSET('FPSO1 Base'!M313,-'FPSO1 Otim'!M$3,0))</f>
        <v>357.1755</v>
      </c>
      <c r="N316" s="19">
        <f ca="1">IF($A316-N$3&lt;2,0,OFFSET('FPSO1 Base'!N313,-'FPSO1 Otim'!N$3,0))</f>
        <v>15.181747122225531</v>
      </c>
      <c r="O316" s="19">
        <f ca="1">IF($A316-O$3&lt;2,0,OFFSET('FPSO1 Base'!O313,-'FPSO1 Otim'!O$3,0))</f>
        <v>241.875</v>
      </c>
      <c r="P316" s="19">
        <f ca="1">IF($A316-P$3&lt;2,0,OFFSET('FPSO1 Base'!P313,-'FPSO1 Otim'!P$3,0))</f>
        <v>86.552338785028113</v>
      </c>
      <c r="Q316" s="19">
        <f ca="1">IF($A316-Q$3&lt;2,0,OFFSET('FPSO1 Base'!Q313,-'FPSO1 Otim'!Q$3,0))</f>
        <v>385.69350000000003</v>
      </c>
      <c r="R316" s="19">
        <f ca="1">IF($A316-R$3&lt;2,0,OFFSET('FPSO1 Base'!R313,-'FPSO1 Otim'!R$3,0))</f>
        <v>26.945157284877777</v>
      </c>
      <c r="S316" s="19">
        <f ca="1">IF($A316-S$3&lt;2,0,OFFSET('FPSO1 Base'!S313,-'FPSO1 Otim'!S$3,0))</f>
        <v>245.298</v>
      </c>
      <c r="T316" s="19">
        <f ca="1">IF($A316-T$3&lt;2,0,OFFSET('FPSO1 Base'!T313,-'FPSO1 Otim'!T$3,0))</f>
        <v>494.73150000000004</v>
      </c>
      <c r="U316" s="19">
        <f ca="1">IF($A316-U$3&lt;2,0,OFFSET('FPSO1 Base'!U313,-'FPSO1 Otim'!U$3,0))</f>
        <v>533.03250000000003</v>
      </c>
      <c r="V316" s="19">
        <f ca="1">IF($A316-V$3&lt;2,0,OFFSET('FPSO1 Base'!V313,-'FPSO1 Otim'!V$3,0))</f>
        <v>492.04950000000002</v>
      </c>
      <c r="W316" s="19">
        <f ca="1">IF($A316-W$3&lt;2,0,OFFSET('FPSO1 Base'!W313,-'FPSO1 Otim'!W$3,0))</f>
        <v>221.0085</v>
      </c>
      <c r="X316" s="19">
        <f ca="1">IF($A316-X$3&lt;2,0,OFFSET('FPSO1 Base'!X313,-'FPSO1 Otim'!X$3,0))</f>
        <v>652.20899999999995</v>
      </c>
      <c r="Y316" s="19">
        <f ca="1">IF($A316-Y$3&lt;2,0,OFFSET('FPSO1 Base'!Y313,-'FPSO1 Otim'!Y$3,0))</f>
        <v>410.27549999999997</v>
      </c>
      <c r="Z316" s="19">
        <f ca="1">IF($A316-Z$3&lt;2,0,OFFSET('FPSO1 Base'!Z313,-'FPSO1 Otim'!Z$3,0))</f>
        <v>325.815</v>
      </c>
      <c r="AA316" s="20">
        <v>15000</v>
      </c>
      <c r="AB316" s="19">
        <f t="shared" ca="1" si="16"/>
        <v>7572.6692431921301</v>
      </c>
      <c r="AC316" s="20">
        <f t="shared" ca="1" si="17"/>
        <v>7427.3307568078699</v>
      </c>
      <c r="AD316" s="19">
        <f t="shared" ca="1" si="18"/>
        <v>578.05673414055309</v>
      </c>
    </row>
    <row r="317" spans="1:30" x14ac:dyDescent="0.25">
      <c r="A317" s="19">
        <v>313</v>
      </c>
      <c r="B317" s="31">
        <v>55123</v>
      </c>
      <c r="C317" s="19">
        <f ca="1">IF($A317-C$3&lt;2,0,OFFSET('FPSO1 Base'!C314,-'FPSO1 Otim'!C$3,0))</f>
        <v>531.17099999999994</v>
      </c>
      <c r="D317" s="19">
        <f ca="1">IF($A317-D$3&lt;2,0,OFFSET('FPSO1 Base'!D314,-'FPSO1 Otim'!D$3,0))</f>
        <v>95.044499999999999</v>
      </c>
      <c r="E317" s="19">
        <f ca="1">IF($A317-E$3&lt;2,0,OFFSET('FPSO1 Base'!E314,-'FPSO1 Otim'!E$3,0))</f>
        <v>312.62850000000003</v>
      </c>
      <c r="F317" s="19">
        <f ca="1">IF($A317-F$3&lt;2,0,OFFSET('FPSO1 Base'!F314,-'FPSO1 Otim'!F$3,0))</f>
        <v>357.55650000000003</v>
      </c>
      <c r="G317" s="19">
        <f ca="1">IF($A317-G$3&lt;2,0,OFFSET('FPSO1 Base'!G314,-'FPSO1 Otim'!G$3,0))</f>
        <v>123.762</v>
      </c>
      <c r="H317" s="19">
        <f ca="1">IF($A317-H$3&lt;2,0,OFFSET('FPSO1 Base'!H314,-'FPSO1 Otim'!H$3,0))</f>
        <v>551.16</v>
      </c>
      <c r="I317" s="19">
        <f ca="1">IF($A317-I$3&lt;2,0,OFFSET('FPSO1 Base'!I314,-'FPSO1 Otim'!I$3,0))</f>
        <v>399.15000000000003</v>
      </c>
      <c r="J317" s="19">
        <f ca="1">IF($A317-J$3&lt;2,0,OFFSET('FPSO1 Base'!J314,-'FPSO1 Otim'!J$3,0))</f>
        <v>223.863</v>
      </c>
      <c r="K317" s="19">
        <f ca="1">IF($A317-K$3&lt;2,0,OFFSET('FPSO1 Base'!K314,-'FPSO1 Otim'!K$3,0))</f>
        <v>224.0625</v>
      </c>
      <c r="L317" s="19">
        <f ca="1">IF($A317-L$3&lt;2,0,OFFSET('FPSO1 Base'!L314,-'FPSO1 Otim'!L$3,0))</f>
        <v>256.86150000000004</v>
      </c>
      <c r="M317" s="19">
        <f ca="1">IF($A317-M$3&lt;2,0,OFFSET('FPSO1 Base'!M314,-'FPSO1 Otim'!M$3,0))</f>
        <v>356.41949999999997</v>
      </c>
      <c r="N317" s="19">
        <f ca="1">IF($A317-N$3&lt;2,0,OFFSET('FPSO1 Base'!N314,-'FPSO1 Otim'!N$3,0))</f>
        <v>15.029929651003275</v>
      </c>
      <c r="O317" s="19">
        <f ca="1">IF($A317-O$3&lt;2,0,OFFSET('FPSO1 Base'!O314,-'FPSO1 Otim'!O$3,0))</f>
        <v>240.9915</v>
      </c>
      <c r="P317" s="19">
        <f ca="1">IF($A317-P$3&lt;2,0,OFFSET('FPSO1 Base'!P314,-'FPSO1 Otim'!P$3,0))</f>
        <v>85.686815397177824</v>
      </c>
      <c r="Q317" s="19">
        <f ca="1">IF($A317-Q$3&lt;2,0,OFFSET('FPSO1 Base'!Q314,-'FPSO1 Otim'!Q$3,0))</f>
        <v>385.30050000000006</v>
      </c>
      <c r="R317" s="19">
        <f ca="1">IF($A317-R$3&lt;2,0,OFFSET('FPSO1 Base'!R314,-'FPSO1 Otim'!R$3,0))</f>
        <v>26.675705712029</v>
      </c>
      <c r="S317" s="19">
        <f ca="1">IF($A317-S$3&lt;2,0,OFFSET('FPSO1 Base'!S314,-'FPSO1 Otim'!S$3,0))</f>
        <v>244.42499999999998</v>
      </c>
      <c r="T317" s="19">
        <f ca="1">IF($A317-T$3&lt;2,0,OFFSET('FPSO1 Base'!T314,-'FPSO1 Otim'!T$3,0))</f>
        <v>492.822</v>
      </c>
      <c r="U317" s="19">
        <f ca="1">IF($A317-U$3&lt;2,0,OFFSET('FPSO1 Base'!U314,-'FPSO1 Otim'!U$3,0))</f>
        <v>532.00049999999999</v>
      </c>
      <c r="V317" s="19">
        <f ca="1">IF($A317-V$3&lt;2,0,OFFSET('FPSO1 Base'!V314,-'FPSO1 Otim'!V$3,0))</f>
        <v>491.03250000000003</v>
      </c>
      <c r="W317" s="19">
        <f ca="1">IF($A317-W$3&lt;2,0,OFFSET('FPSO1 Base'!W314,-'FPSO1 Otim'!W$3,0))</f>
        <v>220.69349999999997</v>
      </c>
      <c r="X317" s="19">
        <f ca="1">IF($A317-X$3&lt;2,0,OFFSET('FPSO1 Base'!X314,-'FPSO1 Otim'!X$3,0))</f>
        <v>649.90049999999997</v>
      </c>
      <c r="Y317" s="19">
        <f ca="1">IF($A317-Y$3&lt;2,0,OFFSET('FPSO1 Base'!Y314,-'FPSO1 Otim'!Y$3,0))</f>
        <v>409.851</v>
      </c>
      <c r="Z317" s="19">
        <f ca="1">IF($A317-Z$3&lt;2,0,OFFSET('FPSO1 Base'!Z314,-'FPSO1 Otim'!Z$3,0))</f>
        <v>324.86249999999995</v>
      </c>
      <c r="AA317" s="20">
        <v>15000</v>
      </c>
      <c r="AB317" s="19">
        <f t="shared" ca="1" si="16"/>
        <v>7550.9509507602106</v>
      </c>
      <c r="AC317" s="20">
        <f t="shared" ca="1" si="17"/>
        <v>7449.0490492397894</v>
      </c>
      <c r="AD317" s="19">
        <f t="shared" ca="1" si="18"/>
        <v>571.63524973185611</v>
      </c>
    </row>
    <row r="318" spans="1:30" x14ac:dyDescent="0.25">
      <c r="A318" s="19">
        <v>314</v>
      </c>
      <c r="B318" s="31">
        <v>55154</v>
      </c>
      <c r="C318" s="19">
        <f ca="1">IF($A318-C$3&lt;2,0,OFFSET('FPSO1 Base'!C315,-'FPSO1 Otim'!C$3,0))</f>
        <v>528.78449999999998</v>
      </c>
      <c r="D318" s="19">
        <f ca="1">IF($A318-D$3&lt;2,0,OFFSET('FPSO1 Base'!D315,-'FPSO1 Otim'!D$3,0))</f>
        <v>94.600499999999997</v>
      </c>
      <c r="E318" s="19">
        <f ca="1">IF($A318-E$3&lt;2,0,OFFSET('FPSO1 Base'!E315,-'FPSO1 Otim'!E$3,0))</f>
        <v>310.96199999999999</v>
      </c>
      <c r="F318" s="19">
        <f ca="1">IF($A318-F$3&lt;2,0,OFFSET('FPSO1 Base'!F315,-'FPSO1 Otim'!F$3,0))</f>
        <v>355.82550000000003</v>
      </c>
      <c r="G318" s="19">
        <f ca="1">IF($A318-G$3&lt;2,0,OFFSET('FPSO1 Base'!G315,-'FPSO1 Otim'!G$3,0))</f>
        <v>123.2055</v>
      </c>
      <c r="H318" s="19">
        <f ca="1">IF($A318-H$3&lt;2,0,OFFSET('FPSO1 Base'!H315,-'FPSO1 Otim'!H$3,0))</f>
        <v>550.70849999999996</v>
      </c>
      <c r="I318" s="19">
        <f ca="1">IF($A318-I$3&lt;2,0,OFFSET('FPSO1 Base'!I315,-'FPSO1 Otim'!I$3,0))</f>
        <v>398.51550000000003</v>
      </c>
      <c r="J318" s="19">
        <f ca="1">IF($A318-J$3&lt;2,0,OFFSET('FPSO1 Base'!J315,-'FPSO1 Otim'!J$3,0))</f>
        <v>223.452</v>
      </c>
      <c r="K318" s="19">
        <f ca="1">IF($A318-K$3&lt;2,0,OFFSET('FPSO1 Base'!K315,-'FPSO1 Otim'!K$3,0))</f>
        <v>223.2945</v>
      </c>
      <c r="L318" s="19">
        <f ca="1">IF($A318-L$3&lt;2,0,OFFSET('FPSO1 Base'!L315,-'FPSO1 Otim'!L$3,0))</f>
        <v>256.27050000000003</v>
      </c>
      <c r="M318" s="19">
        <f ca="1">IF($A318-M$3&lt;2,0,OFFSET('FPSO1 Base'!M315,-'FPSO1 Otim'!M$3,0))</f>
        <v>355.62450000000001</v>
      </c>
      <c r="N318" s="19">
        <f ca="1">IF($A318-N$3&lt;2,0,OFFSET('FPSO1 Base'!N315,-'FPSO1 Otim'!N$3,0))</f>
        <v>14.879630354493242</v>
      </c>
      <c r="O318" s="19">
        <f ca="1">IF($A318-O$3&lt;2,0,OFFSET('FPSO1 Base'!O315,-'FPSO1 Otim'!O$3,0))</f>
        <v>239.92499999999998</v>
      </c>
      <c r="P318" s="19">
        <f ca="1">IF($A318-P$3&lt;2,0,OFFSET('FPSO1 Base'!P315,-'FPSO1 Otim'!P$3,0))</f>
        <v>84.82994724320605</v>
      </c>
      <c r="Q318" s="19">
        <f ca="1">IF($A318-Q$3&lt;2,0,OFFSET('FPSO1 Base'!Q315,-'FPSO1 Otim'!Q$3,0))</f>
        <v>384.96749999999997</v>
      </c>
      <c r="R318" s="19">
        <f ca="1">IF($A318-R$3&lt;2,0,OFFSET('FPSO1 Base'!R315,-'FPSO1 Otim'!R$3,0))</f>
        <v>26.408948654908709</v>
      </c>
      <c r="S318" s="19">
        <f ca="1">IF($A318-S$3&lt;2,0,OFFSET('FPSO1 Base'!S315,-'FPSO1 Otim'!S$3,0))</f>
        <v>243.62850000000003</v>
      </c>
      <c r="T318" s="19">
        <f ca="1">IF($A318-T$3&lt;2,0,OFFSET('FPSO1 Base'!T315,-'FPSO1 Otim'!T$3,0))</f>
        <v>490.62450000000001</v>
      </c>
      <c r="U318" s="19">
        <f ca="1">IF($A318-U$3&lt;2,0,OFFSET('FPSO1 Base'!U315,-'FPSO1 Otim'!U$3,0))</f>
        <v>531.072</v>
      </c>
      <c r="V318" s="19">
        <f ca="1">IF($A318-V$3&lt;2,0,OFFSET('FPSO1 Base'!V315,-'FPSO1 Otim'!V$3,0))</f>
        <v>490.00049999999999</v>
      </c>
      <c r="W318" s="19">
        <f ca="1">IF($A318-W$3&lt;2,0,OFFSET('FPSO1 Base'!W315,-'FPSO1 Otim'!W$3,0))</f>
        <v>220.3245</v>
      </c>
      <c r="X318" s="19">
        <f ca="1">IF($A318-X$3&lt;2,0,OFFSET('FPSO1 Base'!X315,-'FPSO1 Otim'!X$3,0))</f>
        <v>647.66100000000006</v>
      </c>
      <c r="Y318" s="19">
        <f ca="1">IF($A318-Y$3&lt;2,0,OFFSET('FPSO1 Base'!Y315,-'FPSO1 Otim'!Y$3,0))</f>
        <v>409.62150000000003</v>
      </c>
      <c r="Z318" s="19">
        <f ca="1">IF($A318-Z$3&lt;2,0,OFFSET('FPSO1 Base'!Z315,-'FPSO1 Otim'!Z$3,0))</f>
        <v>323.87850000000003</v>
      </c>
      <c r="AA318" s="20">
        <v>15000</v>
      </c>
      <c r="AB318" s="19">
        <f t="shared" ca="1" si="16"/>
        <v>7529.065526252607</v>
      </c>
      <c r="AC318" s="20">
        <f t="shared" ca="1" si="17"/>
        <v>7470.934473747393</v>
      </c>
      <c r="AD318" s="19">
        <f t="shared" ca="1" si="18"/>
        <v>565.26787555119779</v>
      </c>
    </row>
    <row r="319" spans="1:30" x14ac:dyDescent="0.25">
      <c r="A319" s="19">
        <v>315</v>
      </c>
      <c r="B319" s="31">
        <v>55185</v>
      </c>
      <c r="C319" s="19">
        <f ca="1">IF($A319-C$3&lt;2,0,OFFSET('FPSO1 Base'!C316,-'FPSO1 Otim'!C$3,0))</f>
        <v>526.6635</v>
      </c>
      <c r="D319" s="19">
        <f ca="1">IF($A319-D$3&lt;2,0,OFFSET('FPSO1 Base'!D316,-'FPSO1 Otim'!D$3,0))</f>
        <v>94.165500000000009</v>
      </c>
      <c r="E319" s="19">
        <f ca="1">IF($A319-E$3&lt;2,0,OFFSET('FPSO1 Base'!E316,-'FPSO1 Otim'!E$3,0))</f>
        <v>309.399</v>
      </c>
      <c r="F319" s="19">
        <f ca="1">IF($A319-F$3&lt;2,0,OFFSET('FPSO1 Base'!F316,-'FPSO1 Otim'!F$3,0))</f>
        <v>354.21750000000003</v>
      </c>
      <c r="G319" s="19">
        <f ca="1">IF($A319-G$3&lt;2,0,OFFSET('FPSO1 Base'!G316,-'FPSO1 Otim'!G$3,0))</f>
        <v>122.97</v>
      </c>
      <c r="H319" s="19">
        <f ca="1">IF($A319-H$3&lt;2,0,OFFSET('FPSO1 Base'!H316,-'FPSO1 Otim'!H$3,0))</f>
        <v>550.28550000000007</v>
      </c>
      <c r="I319" s="19">
        <f ca="1">IF($A319-I$3&lt;2,0,OFFSET('FPSO1 Base'!I316,-'FPSO1 Otim'!I$3,0))</f>
        <v>397.84950000000003</v>
      </c>
      <c r="J319" s="19">
        <f ca="1">IF($A319-J$3&lt;2,0,OFFSET('FPSO1 Base'!J316,-'FPSO1 Otim'!J$3,0))</f>
        <v>223.09950000000001</v>
      </c>
      <c r="K319" s="19">
        <f ca="1">IF($A319-K$3&lt;2,0,OFFSET('FPSO1 Base'!K316,-'FPSO1 Otim'!K$3,0))</f>
        <v>222.47550000000001</v>
      </c>
      <c r="L319" s="19">
        <f ca="1">IF($A319-L$3&lt;2,0,OFFSET('FPSO1 Base'!L316,-'FPSO1 Otim'!L$3,0))</f>
        <v>255.58799999999999</v>
      </c>
      <c r="M319" s="19">
        <f ca="1">IF($A319-M$3&lt;2,0,OFFSET('FPSO1 Base'!M316,-'FPSO1 Otim'!M$3,0))</f>
        <v>354.94349999999997</v>
      </c>
      <c r="N319" s="19">
        <f ca="1">IF($A319-N$3&lt;2,0,OFFSET('FPSO1 Base'!N316,-'FPSO1 Otim'!N$3,0))</f>
        <v>14.73083405094831</v>
      </c>
      <c r="O319" s="19">
        <f ca="1">IF($A319-O$3&lt;2,0,OFFSET('FPSO1 Base'!O316,-'FPSO1 Otim'!O$3,0))</f>
        <v>238.959</v>
      </c>
      <c r="P319" s="19">
        <f ca="1">IF($A319-P$3&lt;2,0,OFFSET('FPSO1 Base'!P316,-'FPSO1 Otim'!P$3,0))</f>
        <v>83.981647770773989</v>
      </c>
      <c r="Q319" s="19">
        <f ca="1">IF($A319-Q$3&lt;2,0,OFFSET('FPSO1 Base'!Q316,-'FPSO1 Otim'!Q$3,0))</f>
        <v>384.52500000000003</v>
      </c>
      <c r="R319" s="19">
        <f ca="1">IF($A319-R$3&lt;2,0,OFFSET('FPSO1 Base'!R316,-'FPSO1 Otim'!R$3,0))</f>
        <v>26.144859168359623</v>
      </c>
      <c r="S319" s="19">
        <f ca="1">IF($A319-S$3&lt;2,0,OFFSET('FPSO1 Base'!S316,-'FPSO1 Otim'!S$3,0))</f>
        <v>242.72550000000001</v>
      </c>
      <c r="T319" s="19">
        <f ca="1">IF($A319-T$3&lt;2,0,OFFSET('FPSO1 Base'!T316,-'FPSO1 Otim'!T$3,0))</f>
        <v>488.63699999999994</v>
      </c>
      <c r="U319" s="19">
        <f ca="1">IF($A319-U$3&lt;2,0,OFFSET('FPSO1 Base'!U316,-'FPSO1 Otim'!U$3,0))</f>
        <v>530.07449999999994</v>
      </c>
      <c r="V319" s="19">
        <f ca="1">IF($A319-V$3&lt;2,0,OFFSET('FPSO1 Base'!V316,-'FPSO1 Otim'!V$3,0))</f>
        <v>488.952</v>
      </c>
      <c r="W319" s="19">
        <f ca="1">IF($A319-W$3&lt;2,0,OFFSET('FPSO1 Base'!W316,-'FPSO1 Otim'!W$3,0))</f>
        <v>219.96750000000003</v>
      </c>
      <c r="X319" s="19">
        <f ca="1">IF($A319-X$3&lt;2,0,OFFSET('FPSO1 Base'!X316,-'FPSO1 Otim'!X$3,0))</f>
        <v>645.678</v>
      </c>
      <c r="Y319" s="19">
        <f ca="1">IF($A319-Y$3&lt;2,0,OFFSET('FPSO1 Base'!Y316,-'FPSO1 Otim'!Y$3,0))</f>
        <v>409.45049999999998</v>
      </c>
      <c r="Z319" s="19">
        <f ca="1">IF($A319-Z$3&lt;2,0,OFFSET('FPSO1 Base'!Z316,-'FPSO1 Otim'!Z$3,0))</f>
        <v>322.77449999999999</v>
      </c>
      <c r="AA319" s="20">
        <v>15000</v>
      </c>
      <c r="AB319" s="19">
        <f t="shared" ca="1" si="16"/>
        <v>7508.2578409900816</v>
      </c>
      <c r="AC319" s="20">
        <f t="shared" ca="1" si="17"/>
        <v>7491.7421590099184</v>
      </c>
      <c r="AD319" s="19">
        <f t="shared" ca="1" si="18"/>
        <v>559.04694965867702</v>
      </c>
    </row>
    <row r="320" spans="1:30" x14ac:dyDescent="0.25">
      <c r="A320" s="19">
        <v>316</v>
      </c>
      <c r="B320" s="31">
        <v>55213</v>
      </c>
      <c r="C320" s="19">
        <f ca="1">IF($A320-C$3&lt;2,0,OFFSET('FPSO1 Base'!C317,-'FPSO1 Otim'!C$3,0))</f>
        <v>524.34300000000007</v>
      </c>
      <c r="D320" s="19">
        <f ca="1">IF($A320-D$3&lt;2,0,OFFSET('FPSO1 Base'!D317,-'FPSO1 Otim'!D$3,0))</f>
        <v>93.713999999999999</v>
      </c>
      <c r="E320" s="19">
        <f ca="1">IF($A320-E$3&lt;2,0,OFFSET('FPSO1 Base'!E317,-'FPSO1 Otim'!E$3,0))</f>
        <v>307.6755</v>
      </c>
      <c r="F320" s="19">
        <f ca="1">IF($A320-F$3&lt;2,0,OFFSET('FPSO1 Base'!F317,-'FPSO1 Otim'!F$3,0))</f>
        <v>352.76549999999997</v>
      </c>
      <c r="G320" s="19">
        <f ca="1">IF($A320-G$3&lt;2,0,OFFSET('FPSO1 Base'!G317,-'FPSO1 Otim'!G$3,0))</f>
        <v>123.27900000000001</v>
      </c>
      <c r="H320" s="19">
        <f ca="1">IF($A320-H$3&lt;2,0,OFFSET('FPSO1 Base'!H317,-'FPSO1 Otim'!H$3,0))</f>
        <v>549.85350000000005</v>
      </c>
      <c r="I320" s="19">
        <f ca="1">IF($A320-I$3&lt;2,0,OFFSET('FPSO1 Base'!I317,-'FPSO1 Otim'!I$3,0))</f>
        <v>397.18500000000006</v>
      </c>
      <c r="J320" s="19">
        <f ca="1">IF($A320-J$3&lt;2,0,OFFSET('FPSO1 Base'!J317,-'FPSO1 Otim'!J$3,0))</f>
        <v>222.822</v>
      </c>
      <c r="K320" s="19">
        <f ca="1">IF($A320-K$3&lt;2,0,OFFSET('FPSO1 Base'!K317,-'FPSO1 Otim'!K$3,0))</f>
        <v>221.685</v>
      </c>
      <c r="L320" s="19">
        <f ca="1">IF($A320-L$3&lt;2,0,OFFSET('FPSO1 Base'!L317,-'FPSO1 Otim'!L$3,0))</f>
        <v>254.976</v>
      </c>
      <c r="M320" s="19">
        <f ca="1">IF($A320-M$3&lt;2,0,OFFSET('FPSO1 Base'!M317,-'FPSO1 Otim'!M$3,0))</f>
        <v>354.24149999999997</v>
      </c>
      <c r="N320" s="19">
        <f ca="1">IF($A320-N$3&lt;2,0,OFFSET('FPSO1 Base'!N317,-'FPSO1 Otim'!N$3,0))</f>
        <v>14.583525710438828</v>
      </c>
      <c r="O320" s="19">
        <f ca="1">IF($A320-O$3&lt;2,0,OFFSET('FPSO1 Base'!O317,-'FPSO1 Otim'!O$3,0))</f>
        <v>237.9495</v>
      </c>
      <c r="P320" s="19">
        <f ca="1">IF($A320-P$3&lt;2,0,OFFSET('FPSO1 Base'!P317,-'FPSO1 Otim'!P$3,0))</f>
        <v>83.141831293066247</v>
      </c>
      <c r="Q320" s="19">
        <f ca="1">IF($A320-Q$3&lt;2,0,OFFSET('FPSO1 Base'!Q317,-'FPSO1 Otim'!Q$3,0))</f>
        <v>384.16949999999997</v>
      </c>
      <c r="R320" s="19">
        <f ca="1">IF($A320-R$3&lt;2,0,OFFSET('FPSO1 Base'!R317,-'FPSO1 Otim'!R$3,0))</f>
        <v>25.883410576676027</v>
      </c>
      <c r="S320" s="19">
        <f ca="1">IF($A320-S$3&lt;2,0,OFFSET('FPSO1 Base'!S317,-'FPSO1 Otim'!S$3,0))</f>
        <v>241.959</v>
      </c>
      <c r="T320" s="19">
        <f ca="1">IF($A320-T$3&lt;2,0,OFFSET('FPSO1 Base'!T317,-'FPSO1 Otim'!T$3,0))</f>
        <v>486.47550000000001</v>
      </c>
      <c r="U320" s="19">
        <f ca="1">IF($A320-U$3&lt;2,0,OFFSET('FPSO1 Base'!U317,-'FPSO1 Otim'!U$3,0))</f>
        <v>529.16100000000006</v>
      </c>
      <c r="V320" s="19">
        <f ca="1">IF($A320-V$3&lt;2,0,OFFSET('FPSO1 Base'!V317,-'FPSO1 Otim'!V$3,0))</f>
        <v>487.98449999999997</v>
      </c>
      <c r="W320" s="19">
        <f ca="1">IF($A320-W$3&lt;2,0,OFFSET('FPSO1 Base'!W317,-'FPSO1 Otim'!W$3,0))</f>
        <v>219.67499999999998</v>
      </c>
      <c r="X320" s="19">
        <f ca="1">IF($A320-X$3&lt;2,0,OFFSET('FPSO1 Base'!X317,-'FPSO1 Otim'!X$3,0))</f>
        <v>643.2315000000001</v>
      </c>
      <c r="Y320" s="19">
        <f ca="1">IF($A320-Y$3&lt;2,0,OFFSET('FPSO1 Base'!Y317,-'FPSO1 Otim'!Y$3,0))</f>
        <v>409.23449999999997</v>
      </c>
      <c r="Z320" s="19">
        <f ca="1">IF($A320-Z$3&lt;2,0,OFFSET('FPSO1 Base'!Z317,-'FPSO1 Otim'!Z$3,0))</f>
        <v>321.65250000000003</v>
      </c>
      <c r="AA320" s="20">
        <v>15000</v>
      </c>
      <c r="AB320" s="19">
        <f t="shared" ca="1" si="16"/>
        <v>7487.6412675801812</v>
      </c>
      <c r="AC320" s="20">
        <f t="shared" ca="1" si="17"/>
        <v>7512.3587324198188</v>
      </c>
      <c r="AD320" s="19">
        <f t="shared" ca="1" si="18"/>
        <v>552.90435256212402</v>
      </c>
    </row>
    <row r="321" spans="1:30" x14ac:dyDescent="0.25">
      <c r="A321" s="19">
        <v>317</v>
      </c>
      <c r="B321" s="31">
        <v>55244</v>
      </c>
      <c r="C321" s="19">
        <f ca="1">IF($A321-C$3&lt;2,0,OFFSET('FPSO1 Base'!C318,-'FPSO1 Otim'!C$3,0))</f>
        <v>522.19200000000001</v>
      </c>
      <c r="D321" s="19">
        <f ca="1">IF($A321-D$3&lt;2,0,OFFSET('FPSO1 Base'!D318,-'FPSO1 Otim'!D$3,0))</f>
        <v>93.289500000000004</v>
      </c>
      <c r="E321" s="19">
        <f ca="1">IF($A321-E$3&lt;2,0,OFFSET('FPSO1 Base'!E318,-'FPSO1 Otim'!E$3,0))</f>
        <v>306</v>
      </c>
      <c r="F321" s="19">
        <f ca="1">IF($A321-F$3&lt;2,0,OFFSET('FPSO1 Base'!F318,-'FPSO1 Otim'!F$3,0))</f>
        <v>351.02699999999999</v>
      </c>
      <c r="G321" s="19">
        <f ca="1">IF($A321-G$3&lt;2,0,OFFSET('FPSO1 Base'!G318,-'FPSO1 Otim'!G$3,0))</f>
        <v>122.86949999999999</v>
      </c>
      <c r="H321" s="19">
        <f ca="1">IF($A321-H$3&lt;2,0,OFFSET('FPSO1 Base'!H318,-'FPSO1 Otim'!H$3,0))</f>
        <v>549.43500000000006</v>
      </c>
      <c r="I321" s="19">
        <f ca="1">IF($A321-I$3&lt;2,0,OFFSET('FPSO1 Base'!I318,-'FPSO1 Otim'!I$3,0))</f>
        <v>396.58050000000003</v>
      </c>
      <c r="J321" s="19">
        <f ca="1">IF($A321-J$3&lt;2,0,OFFSET('FPSO1 Base'!J318,-'FPSO1 Otim'!J$3,0))</f>
        <v>222.47550000000001</v>
      </c>
      <c r="K321" s="19">
        <f ca="1">IF($A321-K$3&lt;2,0,OFFSET('FPSO1 Base'!K318,-'FPSO1 Otim'!K$3,0))</f>
        <v>220.9725</v>
      </c>
      <c r="L321" s="19">
        <f ca="1">IF($A321-L$3&lt;2,0,OFFSET('FPSO1 Base'!L318,-'FPSO1 Otim'!L$3,0))</f>
        <v>254.31299999999999</v>
      </c>
      <c r="M321" s="19">
        <f ca="1">IF($A321-M$3&lt;2,0,OFFSET('FPSO1 Base'!M318,-'FPSO1 Otim'!M$3,0))</f>
        <v>353.49149999999997</v>
      </c>
      <c r="N321" s="19">
        <f ca="1">IF($A321-N$3&lt;2,0,OFFSET('FPSO1 Base'!N318,-'FPSO1 Otim'!N$3,0))</f>
        <v>14.437690453334438</v>
      </c>
      <c r="O321" s="19">
        <f ca="1">IF($A321-O$3&lt;2,0,OFFSET('FPSO1 Base'!O318,-'FPSO1 Otim'!O$3,0))</f>
        <v>237</v>
      </c>
      <c r="P321" s="19">
        <f ca="1">IF($A321-P$3&lt;2,0,OFFSET('FPSO1 Base'!P318,-'FPSO1 Otim'!P$3,0))</f>
        <v>82.310412980135581</v>
      </c>
      <c r="Q321" s="19">
        <f ca="1">IF($A321-Q$3&lt;2,0,OFFSET('FPSO1 Base'!Q318,-'FPSO1 Otim'!Q$3,0))</f>
        <v>383.78249999999997</v>
      </c>
      <c r="R321" s="19">
        <f ca="1">IF($A321-R$3&lt;2,0,OFFSET('FPSO1 Base'!R318,-'FPSO1 Otim'!R$3,0))</f>
        <v>25.624576470909268</v>
      </c>
      <c r="S321" s="19">
        <f ca="1">IF($A321-S$3&lt;2,0,OFFSET('FPSO1 Base'!S318,-'FPSO1 Otim'!S$3,0))</f>
        <v>241.113</v>
      </c>
      <c r="T321" s="19">
        <f ca="1">IF($A321-T$3&lt;2,0,OFFSET('FPSO1 Base'!T318,-'FPSO1 Otim'!T$3,0))</f>
        <v>484.452</v>
      </c>
      <c r="U321" s="19">
        <f ca="1">IF($A321-U$3&lt;2,0,OFFSET('FPSO1 Base'!U318,-'FPSO1 Otim'!U$3,0))</f>
        <v>528.19350000000009</v>
      </c>
      <c r="V321" s="19">
        <f ca="1">IF($A321-V$3&lt;2,0,OFFSET('FPSO1 Base'!V318,-'FPSO1 Otim'!V$3,0))</f>
        <v>486.85650000000004</v>
      </c>
      <c r="W321" s="19">
        <f ca="1">IF($A321-W$3&lt;2,0,OFFSET('FPSO1 Base'!W318,-'FPSO1 Otim'!W$3,0))</f>
        <v>219.339</v>
      </c>
      <c r="X321" s="19">
        <f ca="1">IF($A321-X$3&lt;2,0,OFFSET('FPSO1 Base'!X318,-'FPSO1 Otim'!X$3,0))</f>
        <v>641.178</v>
      </c>
      <c r="Y321" s="19">
        <f ca="1">IF($A321-Y$3&lt;2,0,OFFSET('FPSO1 Base'!Y318,-'FPSO1 Otim'!Y$3,0))</f>
        <v>408.91200000000003</v>
      </c>
      <c r="Z321" s="19">
        <f ca="1">IF($A321-Z$3&lt;2,0,OFFSET('FPSO1 Base'!Z318,-'FPSO1 Otim'!Z$3,0))</f>
        <v>320.334</v>
      </c>
      <c r="AA321" s="20">
        <v>15000</v>
      </c>
      <c r="AB321" s="19">
        <f t="shared" ca="1" si="16"/>
        <v>7466.1791799043804</v>
      </c>
      <c r="AC321" s="20">
        <f t="shared" ca="1" si="17"/>
        <v>7533.8208200956196</v>
      </c>
      <c r="AD321" s="19">
        <f t="shared" ca="1" si="18"/>
        <v>546.76318364216161</v>
      </c>
    </row>
    <row r="322" spans="1:30" x14ac:dyDescent="0.25">
      <c r="A322" s="19">
        <v>318</v>
      </c>
      <c r="B322" s="31">
        <v>55274</v>
      </c>
      <c r="C322" s="19">
        <f ca="1">IF($A322-C$3&lt;2,0,OFFSET('FPSO1 Base'!C319,-'FPSO1 Otim'!C$3,0))</f>
        <v>519.97199999999998</v>
      </c>
      <c r="D322" s="19">
        <f ca="1">IF($A322-D$3&lt;2,0,OFFSET('FPSO1 Base'!D319,-'FPSO1 Otim'!D$3,0))</f>
        <v>92.858999999999995</v>
      </c>
      <c r="E322" s="19">
        <f ca="1">IF($A322-E$3&lt;2,0,OFFSET('FPSO1 Base'!E319,-'FPSO1 Otim'!E$3,0))</f>
        <v>304.31849999999997</v>
      </c>
      <c r="F322" s="19">
        <f ca="1">IF($A322-F$3&lt;2,0,OFFSET('FPSO1 Base'!F319,-'FPSO1 Otim'!F$3,0))</f>
        <v>349.69349999999997</v>
      </c>
      <c r="G322" s="19">
        <f ca="1">IF($A322-G$3&lt;2,0,OFFSET('FPSO1 Base'!G319,-'FPSO1 Otim'!G$3,0))</f>
        <v>122.184</v>
      </c>
      <c r="H322" s="19">
        <f ca="1">IF($A322-H$3&lt;2,0,OFFSET('FPSO1 Base'!H319,-'FPSO1 Otim'!H$3,0))</f>
        <v>549.00900000000001</v>
      </c>
      <c r="I322" s="19">
        <f ca="1">IF($A322-I$3&lt;2,0,OFFSET('FPSO1 Base'!I319,-'FPSO1 Otim'!I$3,0))</f>
        <v>395.89649999999995</v>
      </c>
      <c r="J322" s="19">
        <f ca="1">IF($A322-J$3&lt;2,0,OFFSET('FPSO1 Base'!J319,-'FPSO1 Otim'!J$3,0))</f>
        <v>222.0975</v>
      </c>
      <c r="K322" s="19">
        <f ca="1">IF($A322-K$3&lt;2,0,OFFSET('FPSO1 Base'!K319,-'FPSO1 Otim'!K$3,0))</f>
        <v>220.125</v>
      </c>
      <c r="L322" s="19">
        <f ca="1">IF($A322-L$3&lt;2,0,OFFSET('FPSO1 Base'!L319,-'FPSO1 Otim'!L$3,0))</f>
        <v>253.6695</v>
      </c>
      <c r="M322" s="19">
        <f ca="1">IF($A322-M$3&lt;2,0,OFFSET('FPSO1 Base'!M319,-'FPSO1 Otim'!M$3,0))</f>
        <v>352.887</v>
      </c>
      <c r="N322" s="19">
        <f ca="1">IF($A322-N$3&lt;2,0,OFFSET('FPSO1 Base'!N319,-'FPSO1 Otim'!N$3,0))</f>
        <v>14.293313548801093</v>
      </c>
      <c r="O322" s="19">
        <f ca="1">IF($A322-O$3&lt;2,0,OFFSET('FPSO1 Base'!O319,-'FPSO1 Otim'!O$3,0))</f>
        <v>236.10449999999997</v>
      </c>
      <c r="P322" s="19">
        <f ca="1">IF($A322-P$3&lt;2,0,OFFSET('FPSO1 Base'!P319,-'FPSO1 Otim'!P$3,0))</f>
        <v>81.48730885033423</v>
      </c>
      <c r="Q322" s="19">
        <f ca="1">IF($A322-Q$3&lt;2,0,OFFSET('FPSO1 Base'!Q319,-'FPSO1 Otim'!Q$3,0))</f>
        <v>383.4255</v>
      </c>
      <c r="R322" s="19">
        <f ca="1">IF($A322-R$3&lt;2,0,OFFSET('FPSO1 Base'!R319,-'FPSO1 Otim'!R$3,0))</f>
        <v>25.368330706200176</v>
      </c>
      <c r="S322" s="19">
        <f ca="1">IF($A322-S$3&lt;2,0,OFFSET('FPSO1 Base'!S319,-'FPSO1 Otim'!S$3,0))</f>
        <v>240.32550000000003</v>
      </c>
      <c r="T322" s="19">
        <f ca="1">IF($A322-T$3&lt;2,0,OFFSET('FPSO1 Base'!T319,-'FPSO1 Otim'!T$3,0))</f>
        <v>482.51550000000003</v>
      </c>
      <c r="U322" s="19">
        <f ca="1">IF($A322-U$3&lt;2,0,OFFSET('FPSO1 Base'!U319,-'FPSO1 Otim'!U$3,0))</f>
        <v>527.22450000000003</v>
      </c>
      <c r="V322" s="19">
        <f ca="1">IF($A322-V$3&lt;2,0,OFFSET('FPSO1 Base'!V319,-'FPSO1 Otim'!V$3,0))</f>
        <v>486</v>
      </c>
      <c r="W322" s="19">
        <f ca="1">IF($A322-W$3&lt;2,0,OFFSET('FPSO1 Base'!W319,-'FPSO1 Otim'!W$3,0))</f>
        <v>219</v>
      </c>
      <c r="X322" s="19">
        <f ca="1">IF($A322-X$3&lt;2,0,OFFSET('FPSO1 Base'!X319,-'FPSO1 Otim'!X$3,0))</f>
        <v>639</v>
      </c>
      <c r="Y322" s="19">
        <f ca="1">IF($A322-Y$3&lt;2,0,OFFSET('FPSO1 Base'!Y319,-'FPSO1 Otim'!Y$3,0))</f>
        <v>408.53250000000003</v>
      </c>
      <c r="Z322" s="19">
        <f ca="1">IF($A322-Z$3&lt;2,0,OFFSET('FPSO1 Base'!Z319,-'FPSO1 Otim'!Z$3,0))</f>
        <v>318.96449999999999</v>
      </c>
      <c r="AA322" s="20">
        <v>15000</v>
      </c>
      <c r="AB322" s="19">
        <f t="shared" ca="1" si="16"/>
        <v>7444.9529531053358</v>
      </c>
      <c r="AC322" s="20">
        <f t="shared" ca="1" si="17"/>
        <v>7555.0470468946642</v>
      </c>
      <c r="AD322" s="19">
        <f t="shared" ca="1" si="18"/>
        <v>540.70288734896076</v>
      </c>
    </row>
    <row r="323" spans="1:30" x14ac:dyDescent="0.25">
      <c r="A323" s="19">
        <v>319</v>
      </c>
      <c r="B323" s="31">
        <v>55305</v>
      </c>
      <c r="C323" s="19">
        <f ca="1">IF($A323-C$3&lt;2,0,OFFSET('FPSO1 Base'!C320,-'FPSO1 Otim'!C$3,0))</f>
        <v>517.89599999999996</v>
      </c>
      <c r="D323" s="19">
        <f ca="1">IF($A323-D$3&lt;2,0,OFFSET('FPSO1 Base'!D320,-'FPSO1 Otim'!D$3,0))</f>
        <v>92.427000000000007</v>
      </c>
      <c r="E323" s="19">
        <f ca="1">IF($A323-E$3&lt;2,0,OFFSET('FPSO1 Base'!E320,-'FPSO1 Otim'!E$3,0))</f>
        <v>302.50049999999999</v>
      </c>
      <c r="F323" s="19">
        <f ca="1">IF($A323-F$3&lt;2,0,OFFSET('FPSO1 Base'!F320,-'FPSO1 Otim'!F$3,0))</f>
        <v>348.12450000000001</v>
      </c>
      <c r="G323" s="19">
        <f ca="1">IF($A323-G$3&lt;2,0,OFFSET('FPSO1 Base'!G320,-'FPSO1 Otim'!G$3,0))</f>
        <v>121.7535</v>
      </c>
      <c r="H323" s="19">
        <f ca="1">IF($A323-H$3&lt;2,0,OFFSET('FPSO1 Base'!H320,-'FPSO1 Otim'!H$3,0))</f>
        <v>548.58450000000005</v>
      </c>
      <c r="I323" s="19">
        <f ca="1">IF($A323-I$3&lt;2,0,OFFSET('FPSO1 Base'!I320,-'FPSO1 Otim'!I$3,0))</f>
        <v>395.298</v>
      </c>
      <c r="J323" s="19">
        <f ca="1">IF($A323-J$3&lt;2,0,OFFSET('FPSO1 Base'!J320,-'FPSO1 Otim'!J$3,0))</f>
        <v>221.7585</v>
      </c>
      <c r="K323" s="19">
        <f ca="1">IF($A323-K$3&lt;2,0,OFFSET('FPSO1 Base'!K320,-'FPSO1 Otim'!K$3,0))</f>
        <v>219.435</v>
      </c>
      <c r="L323" s="19">
        <f ca="1">IF($A323-L$3&lt;2,0,OFFSET('FPSO1 Base'!L320,-'FPSO1 Otim'!L$3,0))</f>
        <v>253.053</v>
      </c>
      <c r="M323" s="19">
        <f ca="1">IF($A323-M$3&lt;2,0,OFFSET('FPSO1 Base'!M320,-'FPSO1 Otim'!M$3,0))</f>
        <v>352.20000000000005</v>
      </c>
      <c r="N323" s="19">
        <f ca="1">IF($A323-N$3&lt;2,0,OFFSET('FPSO1 Base'!N320,-'FPSO1 Otim'!N$3,0))</f>
        <v>14.150380413313082</v>
      </c>
      <c r="O323" s="19">
        <f ca="1">IF($A323-O$3&lt;2,0,OFFSET('FPSO1 Base'!O320,-'FPSO1 Otim'!O$3,0))</f>
        <v>235.09950000000001</v>
      </c>
      <c r="P323" s="19">
        <f ca="1">IF($A323-P$3&lt;2,0,OFFSET('FPSO1 Base'!P320,-'FPSO1 Otim'!P$3,0))</f>
        <v>80.672435761830883</v>
      </c>
      <c r="Q323" s="19">
        <f ca="1">IF($A323-Q$3&lt;2,0,OFFSET('FPSO1 Base'!Q320,-'FPSO1 Otim'!Q$3,0))</f>
        <v>383.10449999999997</v>
      </c>
      <c r="R323" s="19">
        <f ca="1">IF($A323-R$3&lt;2,0,OFFSET('FPSO1 Base'!R320,-'FPSO1 Otim'!R$3,0))</f>
        <v>25.114647399138175</v>
      </c>
      <c r="S323" s="19">
        <f ca="1">IF($A323-S$3&lt;2,0,OFFSET('FPSO1 Base'!S320,-'FPSO1 Otim'!S$3,0))</f>
        <v>239.541</v>
      </c>
      <c r="T323" s="19">
        <f ca="1">IF($A323-T$3&lt;2,0,OFFSET('FPSO1 Base'!T320,-'FPSO1 Otim'!T$3,0))</f>
        <v>480.45000000000005</v>
      </c>
      <c r="U323" s="19">
        <f ca="1">IF($A323-U$3&lt;2,0,OFFSET('FPSO1 Base'!U320,-'FPSO1 Otim'!U$3,0))</f>
        <v>526.33050000000003</v>
      </c>
      <c r="V323" s="19">
        <f ca="1">IF($A323-V$3&lt;2,0,OFFSET('FPSO1 Base'!V320,-'FPSO1 Otim'!V$3,0))</f>
        <v>484.90049999999997</v>
      </c>
      <c r="W323" s="19">
        <f ca="1">IF($A323-W$3&lt;2,0,OFFSET('FPSO1 Base'!W320,-'FPSO1 Otim'!W$3,0))</f>
        <v>218.625</v>
      </c>
      <c r="X323" s="19">
        <f ca="1">IF($A323-X$3&lt;2,0,OFFSET('FPSO1 Base'!X320,-'FPSO1 Otim'!X$3,0))</f>
        <v>636.87149999999997</v>
      </c>
      <c r="Y323" s="19">
        <f ca="1">IF($A323-Y$3&lt;2,0,OFFSET('FPSO1 Base'!Y320,-'FPSO1 Otim'!Y$3,0))</f>
        <v>408.072</v>
      </c>
      <c r="Z323" s="19">
        <f ca="1">IF($A323-Z$3&lt;2,0,OFFSET('FPSO1 Base'!Z320,-'FPSO1 Otim'!Z$3,0))</f>
        <v>317.84250000000003</v>
      </c>
      <c r="AA323" s="20">
        <v>15000</v>
      </c>
      <c r="AB323" s="19">
        <f t="shared" ca="1" si="16"/>
        <v>7423.8049635742818</v>
      </c>
      <c r="AC323" s="20">
        <f t="shared" ca="1" si="17"/>
        <v>7576.1950364257182</v>
      </c>
      <c r="AD323" s="19">
        <f t="shared" ca="1" si="18"/>
        <v>534.711051741706</v>
      </c>
    </row>
    <row r="324" spans="1:30" x14ac:dyDescent="0.25">
      <c r="A324" s="19">
        <v>320</v>
      </c>
      <c r="B324" s="31">
        <v>55335</v>
      </c>
      <c r="C324" s="19">
        <f ca="1">IF($A324-C$3&lt;2,0,OFFSET('FPSO1 Base'!C321,-'FPSO1 Otim'!C$3,0))</f>
        <v>515.81399999999996</v>
      </c>
      <c r="D324" s="19">
        <f ca="1">IF($A324-D$3&lt;2,0,OFFSET('FPSO1 Base'!D321,-'FPSO1 Otim'!D$3,0))</f>
        <v>92.003999999999991</v>
      </c>
      <c r="E324" s="19">
        <f ca="1">IF($A324-E$3&lt;2,0,OFFSET('FPSO1 Base'!E321,-'FPSO1 Otim'!E$3,0))</f>
        <v>300.84749999999997</v>
      </c>
      <c r="F324" s="19">
        <f ca="1">IF($A324-F$3&lt;2,0,OFFSET('FPSO1 Base'!F321,-'FPSO1 Otim'!F$3,0))</f>
        <v>346.74149999999997</v>
      </c>
      <c r="G324" s="19">
        <f ca="1">IF($A324-G$3&lt;2,0,OFFSET('FPSO1 Base'!G321,-'FPSO1 Otim'!G$3,0))</f>
        <v>121.34550000000002</v>
      </c>
      <c r="H324" s="19">
        <f ca="1">IF($A324-H$3&lt;2,0,OFFSET('FPSO1 Base'!H321,-'FPSO1 Otim'!H$3,0))</f>
        <v>548.1825</v>
      </c>
      <c r="I324" s="19">
        <f ca="1">IF($A324-I$3&lt;2,0,OFFSET('FPSO1 Base'!I321,-'FPSO1 Otim'!I$3,0))</f>
        <v>394.65000000000003</v>
      </c>
      <c r="J324" s="19">
        <f ca="1">IF($A324-J$3&lt;2,0,OFFSET('FPSO1 Base'!J321,-'FPSO1 Otim'!J$3,0))</f>
        <v>221.45699999999999</v>
      </c>
      <c r="K324" s="19">
        <f ca="1">IF($A324-K$3&lt;2,0,OFFSET('FPSO1 Base'!K321,-'FPSO1 Otim'!K$3,0))</f>
        <v>218.637</v>
      </c>
      <c r="L324" s="19">
        <f ca="1">IF($A324-L$3&lt;2,0,OFFSET('FPSO1 Base'!L321,-'FPSO1 Otim'!L$3,0))</f>
        <v>252.375</v>
      </c>
      <c r="M324" s="19">
        <f ca="1">IF($A324-M$3&lt;2,0,OFFSET('FPSO1 Base'!M321,-'FPSO1 Otim'!M$3,0))</f>
        <v>351.60449999999997</v>
      </c>
      <c r="N324" s="19">
        <f ca="1">IF($A324-N$3&lt;2,0,OFFSET('FPSO1 Base'!N321,-'FPSO1 Otim'!N$3,0))</f>
        <v>14.00887660917995</v>
      </c>
      <c r="O324" s="19">
        <f ca="1">IF($A324-O$3&lt;2,0,OFFSET('FPSO1 Base'!O321,-'FPSO1 Otim'!O$3,0))</f>
        <v>234.21750000000003</v>
      </c>
      <c r="P324" s="19">
        <f ca="1">IF($A324-P$3&lt;2,0,OFFSET('FPSO1 Base'!P321,-'FPSO1 Otim'!P$3,0))</f>
        <v>79.865711404212576</v>
      </c>
      <c r="Q324" s="19">
        <f ca="1">IF($A324-Q$3&lt;2,0,OFFSET('FPSO1 Base'!Q321,-'FPSO1 Otim'!Q$3,0))</f>
        <v>382.6995</v>
      </c>
      <c r="R324" s="19">
        <f ca="1">IF($A324-R$3&lt;2,0,OFFSET('FPSO1 Base'!R321,-'FPSO1 Otim'!R$3,0))</f>
        <v>24.863500925146791</v>
      </c>
      <c r="S324" s="19">
        <f ca="1">IF($A324-S$3&lt;2,0,OFFSET('FPSO1 Base'!S321,-'FPSO1 Otim'!S$3,0))</f>
        <v>238.77449999999999</v>
      </c>
      <c r="T324" s="19">
        <f ca="1">IF($A324-T$3&lt;2,0,OFFSET('FPSO1 Base'!T321,-'FPSO1 Otim'!T$3,0))</f>
        <v>478.59749999999997</v>
      </c>
      <c r="U324" s="19">
        <f ca="1">IF($A324-U$3&lt;2,0,OFFSET('FPSO1 Base'!U321,-'FPSO1 Otim'!U$3,0))</f>
        <v>525.375</v>
      </c>
      <c r="V324" s="19">
        <f ca="1">IF($A324-V$3&lt;2,0,OFFSET('FPSO1 Base'!V321,-'FPSO1 Otim'!V$3,0))</f>
        <v>484.01550000000003</v>
      </c>
      <c r="W324" s="19">
        <f ca="1">IF($A324-W$3&lt;2,0,OFFSET('FPSO1 Base'!W321,-'FPSO1 Otim'!W$3,0))</f>
        <v>218.322</v>
      </c>
      <c r="X324" s="19">
        <f ca="1">IF($A324-X$3&lt;2,0,OFFSET('FPSO1 Base'!X321,-'FPSO1 Otim'!X$3,0))</f>
        <v>634.60050000000001</v>
      </c>
      <c r="Y324" s="19">
        <f ca="1">IF($A324-Y$3&lt;2,0,OFFSET('FPSO1 Base'!Y321,-'FPSO1 Otim'!Y$3,0))</f>
        <v>407.4375</v>
      </c>
      <c r="Z324" s="19">
        <f ca="1">IF($A324-Z$3&lt;2,0,OFFSET('FPSO1 Base'!Z321,-'FPSO1 Otim'!Z$3,0))</f>
        <v>316.37549999999999</v>
      </c>
      <c r="AA324" s="20">
        <v>15000</v>
      </c>
      <c r="AB324" s="19">
        <f t="shared" ca="1" si="16"/>
        <v>7402.811588938539</v>
      </c>
      <c r="AC324" s="20">
        <f t="shared" ca="1" si="17"/>
        <v>7597.188411061461</v>
      </c>
      <c r="AD324" s="19">
        <f t="shared" ca="1" si="18"/>
        <v>528.7923683459403</v>
      </c>
    </row>
    <row r="325" spans="1:30" x14ac:dyDescent="0.25">
      <c r="A325" s="19">
        <v>321</v>
      </c>
      <c r="B325" s="31">
        <v>55366</v>
      </c>
      <c r="C325" s="19">
        <f ca="1">IF($A325-C$3&lt;2,0,OFFSET('FPSO1 Base'!C322,-'FPSO1 Otim'!C$3,0))</f>
        <v>513.73500000000001</v>
      </c>
      <c r="D325" s="19">
        <f ca="1">IF($A325-D$3&lt;2,0,OFFSET('FPSO1 Base'!D322,-'FPSO1 Otim'!D$3,0))</f>
        <v>91.57650000000001</v>
      </c>
      <c r="E325" s="19">
        <f ca="1">IF($A325-E$3&lt;2,0,OFFSET('FPSO1 Base'!E322,-'FPSO1 Otim'!E$3,0))</f>
        <v>299.03700000000003</v>
      </c>
      <c r="F325" s="19">
        <f ca="1">IF($A325-F$3&lt;2,0,OFFSET('FPSO1 Base'!F322,-'FPSO1 Otim'!F$3,0))</f>
        <v>345.22500000000002</v>
      </c>
      <c r="G325" s="19">
        <f ca="1">IF($A325-G$3&lt;2,0,OFFSET('FPSO1 Base'!G322,-'FPSO1 Otim'!G$3,0))</f>
        <v>120.97199999999999</v>
      </c>
      <c r="H325" s="19">
        <f ca="1">IF($A325-H$3&lt;2,0,OFFSET('FPSO1 Base'!H322,-'FPSO1 Otim'!H$3,0))</f>
        <v>547.779</v>
      </c>
      <c r="I325" s="19">
        <f ca="1">IF($A325-I$3&lt;2,0,OFFSET('FPSO1 Base'!I322,-'FPSO1 Otim'!I$3,0))</f>
        <v>394.01550000000003</v>
      </c>
      <c r="J325" s="19">
        <f ca="1">IF($A325-J$3&lt;2,0,OFFSET('FPSO1 Base'!J322,-'FPSO1 Otim'!J$3,0))</f>
        <v>221.1525</v>
      </c>
      <c r="K325" s="19">
        <f ca="1">IF($A325-K$3&lt;2,0,OFFSET('FPSO1 Base'!K322,-'FPSO1 Otim'!K$3,0))</f>
        <v>217.911</v>
      </c>
      <c r="L325" s="19">
        <f ca="1">IF($A325-L$3&lt;2,0,OFFSET('FPSO1 Base'!L322,-'FPSO1 Otim'!L$3,0))</f>
        <v>251.78249999999997</v>
      </c>
      <c r="M325" s="19">
        <f ca="1">IF($A325-M$3&lt;2,0,OFFSET('FPSO1 Base'!M322,-'FPSO1 Otim'!M$3,0))</f>
        <v>350.89949999999999</v>
      </c>
      <c r="N325" s="19">
        <f ca="1">IF($A325-N$3&lt;2,0,OFFSET('FPSO1 Base'!N322,-'FPSO1 Otim'!N$3,0))</f>
        <v>13.86878784308815</v>
      </c>
      <c r="O325" s="19">
        <f ca="1">IF($A325-O$3&lt;2,0,OFFSET('FPSO1 Base'!O322,-'FPSO1 Otim'!O$3,0))</f>
        <v>233.25</v>
      </c>
      <c r="P325" s="19">
        <f ca="1">IF($A325-P$3&lt;2,0,OFFSET('FPSO1 Base'!P322,-'FPSO1 Otim'!P$3,0))</f>
        <v>79.067054290170447</v>
      </c>
      <c r="Q325" s="19">
        <f ca="1">IF($A325-Q$3&lt;2,0,OFFSET('FPSO1 Base'!Q322,-'FPSO1 Otim'!Q$3,0))</f>
        <v>382.33050000000003</v>
      </c>
      <c r="R325" s="19">
        <f ca="1">IF($A325-R$3&lt;2,0,OFFSET('FPSO1 Base'!R322,-'FPSO1 Otim'!R$3,0))</f>
        <v>24.614865915895322</v>
      </c>
      <c r="S325" s="19">
        <f ca="1">IF($A325-S$3&lt;2,0,OFFSET('FPSO1 Base'!S322,-'FPSO1 Otim'!S$3,0))</f>
        <v>238.01549999999997</v>
      </c>
      <c r="T325" s="19">
        <f ca="1">IF($A325-T$3&lt;2,0,OFFSET('FPSO1 Base'!T322,-'FPSO1 Otim'!T$3,0))</f>
        <v>476.57549999999998</v>
      </c>
      <c r="U325" s="19">
        <f ca="1">IF($A325-U$3&lt;2,0,OFFSET('FPSO1 Base'!U322,-'FPSO1 Otim'!U$3,0))</f>
        <v>524.46749999999997</v>
      </c>
      <c r="V325" s="19">
        <f ca="1">IF($A325-V$3&lt;2,0,OFFSET('FPSO1 Base'!V322,-'FPSO1 Otim'!V$3,0))</f>
        <v>482.95049999999998</v>
      </c>
      <c r="W325" s="19">
        <f ca="1">IF($A325-W$3&lt;2,0,OFFSET('FPSO1 Base'!W322,-'FPSO1 Otim'!W$3,0))</f>
        <v>217.97550000000001</v>
      </c>
      <c r="X325" s="19">
        <f ca="1">IF($A325-X$3&lt;2,0,OFFSET('FPSO1 Base'!X322,-'FPSO1 Otim'!X$3,0))</f>
        <v>632.46749999999997</v>
      </c>
      <c r="Y325" s="19">
        <f ca="1">IF($A325-Y$3&lt;2,0,OFFSET('FPSO1 Base'!Y322,-'FPSO1 Otim'!Y$3,0))</f>
        <v>406.839</v>
      </c>
      <c r="Z325" s="19">
        <f ca="1">IF($A325-Z$3&lt;2,0,OFFSET('FPSO1 Base'!Z322,-'FPSO1 Otim'!Z$3,0))</f>
        <v>314.81849999999997</v>
      </c>
      <c r="AA325" s="20">
        <v>15000</v>
      </c>
      <c r="AB325" s="19">
        <f t="shared" ca="1" si="16"/>
        <v>7381.3262080491531</v>
      </c>
      <c r="AC325" s="20">
        <f t="shared" ca="1" si="17"/>
        <v>7618.6737919508469</v>
      </c>
      <c r="AD325" s="19">
        <f t="shared" ca="1" si="18"/>
        <v>522.90013875454167</v>
      </c>
    </row>
    <row r="326" spans="1:30" x14ac:dyDescent="0.25">
      <c r="A326" s="19">
        <v>322</v>
      </c>
      <c r="B326" s="31">
        <v>55397</v>
      </c>
      <c r="C326" s="19">
        <f ca="1">IF($A326-C$3&lt;2,0,OFFSET('FPSO1 Base'!C323,-'FPSO1 Otim'!C$3,0))</f>
        <v>511.767</v>
      </c>
      <c r="D326" s="19">
        <f ca="1">IF($A326-D$3&lt;2,0,OFFSET('FPSO1 Base'!D323,-'FPSO1 Otim'!D$3,0))</f>
        <v>91.14</v>
      </c>
      <c r="E326" s="19">
        <f ca="1">IF($A326-E$3&lt;2,0,OFFSET('FPSO1 Base'!E323,-'FPSO1 Otim'!E$3,0))</f>
        <v>297.315</v>
      </c>
      <c r="F326" s="19">
        <f ca="1">IF($A326-F$3&lt;2,0,OFFSET('FPSO1 Base'!F323,-'FPSO1 Otim'!F$3,0))</f>
        <v>343.863</v>
      </c>
      <c r="G326" s="19">
        <f ca="1">IF($A326-G$3&lt;2,0,OFFSET('FPSO1 Base'!G323,-'FPSO1 Otim'!G$3,0))</f>
        <v>120.61350000000002</v>
      </c>
      <c r="H326" s="19">
        <f ca="1">IF($A326-H$3&lt;2,0,OFFSET('FPSO1 Base'!H323,-'FPSO1 Otim'!H$3,0))</f>
        <v>547.35599999999999</v>
      </c>
      <c r="I326" s="19">
        <f ca="1">IF($A326-I$3&lt;2,0,OFFSET('FPSO1 Base'!I323,-'FPSO1 Otim'!I$3,0))</f>
        <v>393.42450000000002</v>
      </c>
      <c r="J326" s="19">
        <f ca="1">IF($A326-J$3&lt;2,0,OFFSET('FPSO1 Base'!J323,-'FPSO1 Otim'!J$3,0))</f>
        <v>220.84950000000001</v>
      </c>
      <c r="K326" s="19">
        <f ca="1">IF($A326-K$3&lt;2,0,OFFSET('FPSO1 Base'!K323,-'FPSO1 Otim'!K$3,0))</f>
        <v>217.125</v>
      </c>
      <c r="L326" s="19">
        <f ca="1">IF($A326-L$3&lt;2,0,OFFSET('FPSO1 Base'!L323,-'FPSO1 Otim'!L$3,0))</f>
        <v>251.10000000000002</v>
      </c>
      <c r="M326" s="19">
        <f ca="1">IF($A326-M$3&lt;2,0,OFFSET('FPSO1 Base'!M323,-'FPSO1 Otim'!M$3,0))</f>
        <v>350.322</v>
      </c>
      <c r="N326" s="19">
        <f ca="1">IF($A326-N$3&lt;2,0,OFFSET('FPSO1 Base'!N323,-'FPSO1 Otim'!N$3,0))</f>
        <v>13.730099964657269</v>
      </c>
      <c r="O326" s="19">
        <f ca="1">IF($A326-O$3&lt;2,0,OFFSET('FPSO1 Base'!O323,-'FPSO1 Otim'!O$3,0))</f>
        <v>232.3305</v>
      </c>
      <c r="P326" s="19">
        <f ca="1">IF($A326-P$3&lt;2,0,OFFSET('FPSO1 Base'!P323,-'FPSO1 Otim'!P$3,0))</f>
        <v>78.276383747268738</v>
      </c>
      <c r="Q326" s="19">
        <f ca="1">IF($A326-Q$3&lt;2,0,OFFSET('FPSO1 Base'!Q323,-'FPSO1 Otim'!Q$3,0))</f>
        <v>381.99149999999997</v>
      </c>
      <c r="R326" s="19">
        <f ca="1">IF($A326-R$3&lt;2,0,OFFSET('FPSO1 Base'!R323,-'FPSO1 Otim'!R$3,0))</f>
        <v>24.368717256736367</v>
      </c>
      <c r="S326" s="19">
        <f ca="1">IF($A326-S$3&lt;2,0,OFFSET('FPSO1 Base'!S323,-'FPSO1 Otim'!S$3,0))</f>
        <v>237.339</v>
      </c>
      <c r="T326" s="19">
        <f ca="1">IF($A326-T$3&lt;2,0,OFFSET('FPSO1 Base'!T323,-'FPSO1 Otim'!T$3,0))</f>
        <v>474.702</v>
      </c>
      <c r="U326" s="19">
        <f ca="1">IF($A326-U$3&lt;2,0,OFFSET('FPSO1 Base'!U323,-'FPSO1 Otim'!U$3,0))</f>
        <v>523.66949999999997</v>
      </c>
      <c r="V326" s="19">
        <f ca="1">IF($A326-V$3&lt;2,0,OFFSET('FPSO1 Base'!V323,-'FPSO1 Otim'!V$3,0))</f>
        <v>481.98449999999997</v>
      </c>
      <c r="W326" s="19">
        <f ca="1">IF($A326-W$3&lt;2,0,OFFSET('FPSO1 Base'!W323,-'FPSO1 Otim'!W$3,0))</f>
        <v>217.64550000000003</v>
      </c>
      <c r="X326" s="19">
        <f ca="1">IF($A326-X$3&lt;2,0,OFFSET('FPSO1 Base'!X323,-'FPSO1 Otim'!X$3,0))</f>
        <v>630.38699999999994</v>
      </c>
      <c r="Y326" s="19">
        <f ca="1">IF($A326-Y$3&lt;2,0,OFFSET('FPSO1 Base'!Y323,-'FPSO1 Otim'!Y$3,0))</f>
        <v>406.04999999999995</v>
      </c>
      <c r="Z326" s="19">
        <f ca="1">IF($A326-Z$3&lt;2,0,OFFSET('FPSO1 Base'!Z323,-'FPSO1 Otim'!Z$3,0))</f>
        <v>313.33799999999997</v>
      </c>
      <c r="AA326" s="20">
        <v>15000</v>
      </c>
      <c r="AB326" s="19">
        <f t="shared" ca="1" si="16"/>
        <v>7360.6882009686615</v>
      </c>
      <c r="AC326" s="20">
        <f t="shared" ca="1" si="17"/>
        <v>7639.3117990313385</v>
      </c>
      <c r="AD326" s="19">
        <f t="shared" ca="1" si="18"/>
        <v>517.12871681513855</v>
      </c>
    </row>
    <row r="327" spans="1:30" x14ac:dyDescent="0.25">
      <c r="A327" s="19">
        <v>323</v>
      </c>
      <c r="B327" s="31">
        <v>55427</v>
      </c>
      <c r="C327" s="19">
        <f ca="1">IF($A327-C$3&lt;2,0,OFFSET('FPSO1 Base'!C324,-'FPSO1 Otim'!C$3,0))</f>
        <v>509.76599999999996</v>
      </c>
      <c r="D327" s="19">
        <f ca="1">IF($A327-D$3&lt;2,0,OFFSET('FPSO1 Base'!D324,-'FPSO1 Otim'!D$3,0))</f>
        <v>90.754500000000007</v>
      </c>
      <c r="E327" s="19">
        <f ca="1">IF($A327-E$3&lt;2,0,OFFSET('FPSO1 Base'!E324,-'FPSO1 Otim'!E$3,0))</f>
        <v>295.69349999999997</v>
      </c>
      <c r="F327" s="19">
        <f ca="1">IF($A327-F$3&lt;2,0,OFFSET('FPSO1 Base'!F324,-'FPSO1 Otim'!F$3,0))</f>
        <v>342.50850000000003</v>
      </c>
      <c r="G327" s="19">
        <f ca="1">IF($A327-G$3&lt;2,0,OFFSET('FPSO1 Base'!G324,-'FPSO1 Otim'!G$3,0))</f>
        <v>120.39450000000001</v>
      </c>
      <c r="H327" s="19">
        <f ca="1">IF($A327-H$3&lt;2,0,OFFSET('FPSO1 Base'!H324,-'FPSO1 Otim'!H$3,0))</f>
        <v>546.95400000000006</v>
      </c>
      <c r="I327" s="19">
        <f ca="1">IF($A327-I$3&lt;2,0,OFFSET('FPSO1 Base'!I324,-'FPSO1 Otim'!I$3,0))</f>
        <v>392.75850000000003</v>
      </c>
      <c r="J327" s="19">
        <f ca="1">IF($A327-J$3&lt;2,0,OFFSET('FPSO1 Base'!J324,-'FPSO1 Otim'!J$3,0))</f>
        <v>220.476</v>
      </c>
      <c r="K327" s="19">
        <f ca="1">IF($A327-K$3&lt;2,0,OFFSET('FPSO1 Base'!K324,-'FPSO1 Otim'!K$3,0))</f>
        <v>216.387</v>
      </c>
      <c r="L327" s="19">
        <f ca="1">IF($A327-L$3&lt;2,0,OFFSET('FPSO1 Base'!L324,-'FPSO1 Otim'!L$3,0))</f>
        <v>250.5</v>
      </c>
      <c r="M327" s="19">
        <f ca="1">IF($A327-M$3&lt;2,0,OFFSET('FPSO1 Base'!M324,-'FPSO1 Otim'!M$3,0))</f>
        <v>349.74149999999997</v>
      </c>
      <c r="N327" s="19">
        <f ca="1">IF($A327-N$3&lt;2,0,OFFSET('FPSO1 Base'!N324,-'FPSO1 Otim'!N$3,0))</f>
        <v>13.592798965010696</v>
      </c>
      <c r="O327" s="19">
        <f ca="1">IF($A327-O$3&lt;2,0,OFFSET('FPSO1 Base'!O324,-'FPSO1 Otim'!O$3,0))</f>
        <v>231.459</v>
      </c>
      <c r="P327" s="19">
        <f ca="1">IF($A327-P$3&lt;2,0,OFFSET('FPSO1 Base'!P324,-'FPSO1 Otim'!P$3,0))</f>
        <v>77.493619909796053</v>
      </c>
      <c r="Q327" s="19">
        <f ca="1">IF($A327-Q$3&lt;2,0,OFFSET('FPSO1 Base'!Q324,-'FPSO1 Otim'!Q$3,0))</f>
        <v>381.53550000000001</v>
      </c>
      <c r="R327" s="19">
        <f ca="1">IF($A327-R$3&lt;2,0,OFFSET('FPSO1 Base'!R324,-'FPSO1 Otim'!R$3,0))</f>
        <v>24.125030084169005</v>
      </c>
      <c r="S327" s="19">
        <f ca="1">IF($A327-S$3&lt;2,0,OFFSET('FPSO1 Base'!S324,-'FPSO1 Otim'!S$3,0))</f>
        <v>236.54399999999998</v>
      </c>
      <c r="T327" s="19">
        <f ca="1">IF($A327-T$3&lt;2,0,OFFSET('FPSO1 Base'!T324,-'FPSO1 Otim'!T$3,0))</f>
        <v>472.93500000000006</v>
      </c>
      <c r="U327" s="19">
        <f ca="1">IF($A327-U$3&lt;2,0,OFFSET('FPSO1 Base'!U324,-'FPSO1 Otim'!U$3,0))</f>
        <v>522.6690000000001</v>
      </c>
      <c r="V327" s="19">
        <f ca="1">IF($A327-V$3&lt;2,0,OFFSET('FPSO1 Base'!V324,-'FPSO1 Otim'!V$3,0))</f>
        <v>481.11300000000006</v>
      </c>
      <c r="W327" s="19">
        <f ca="1">IF($A327-W$3&lt;2,0,OFFSET('FPSO1 Base'!W324,-'FPSO1 Otim'!W$3,0))</f>
        <v>217.3005</v>
      </c>
      <c r="X327" s="19">
        <f ca="1">IF($A327-X$3&lt;2,0,OFFSET('FPSO1 Base'!X324,-'FPSO1 Otim'!X$3,0))</f>
        <v>628.09950000000003</v>
      </c>
      <c r="Y327" s="19">
        <f ca="1">IF($A327-Y$3&lt;2,0,OFFSET('FPSO1 Base'!Y324,-'FPSO1 Otim'!Y$3,0))</f>
        <v>405.31499999999994</v>
      </c>
      <c r="Z327" s="19">
        <f ca="1">IF($A327-Z$3&lt;2,0,OFFSET('FPSO1 Base'!Z324,-'FPSO1 Otim'!Z$3,0))</f>
        <v>311.51549999999997</v>
      </c>
      <c r="AA327" s="20">
        <v>15000</v>
      </c>
      <c r="AB327" s="19">
        <f t="shared" ref="AB327:AB390" ca="1" si="19">SUM(C327:Z327)</f>
        <v>7339.6314489589768</v>
      </c>
      <c r="AC327" s="20">
        <f t="shared" ref="AC327:AC390" ca="1" si="20">AA327-AB327</f>
        <v>7660.3685510410232</v>
      </c>
      <c r="AD327" s="19">
        <f t="shared" ref="AD327:AD390" ca="1" si="21">AB327/(1+$AD$2)^(A327-2)</f>
        <v>511.38779950198364</v>
      </c>
    </row>
    <row r="328" spans="1:30" x14ac:dyDescent="0.25">
      <c r="A328" s="19">
        <v>324</v>
      </c>
      <c r="B328" s="31">
        <v>55458</v>
      </c>
      <c r="C328" s="19">
        <f ca="1">IF($A328-C$3&lt;2,0,OFFSET('FPSO1 Base'!C325,-'FPSO1 Otim'!C$3,0))</f>
        <v>507.81299999999999</v>
      </c>
      <c r="D328" s="19">
        <f ca="1">IF($A328-D$3&lt;2,0,OFFSET('FPSO1 Base'!D325,-'FPSO1 Otim'!D$3,0))</f>
        <v>90.335999999999999</v>
      </c>
      <c r="E328" s="19">
        <f ca="1">IF($A328-E$3&lt;2,0,OFFSET('FPSO1 Base'!E325,-'FPSO1 Otim'!E$3,0))</f>
        <v>293.71800000000002</v>
      </c>
      <c r="F328" s="19">
        <f ca="1">IF($A328-F$3&lt;2,0,OFFSET('FPSO1 Base'!F325,-'FPSO1 Otim'!F$3,0))</f>
        <v>341.0745</v>
      </c>
      <c r="G328" s="19">
        <f ca="1">IF($A328-G$3&lt;2,0,OFFSET('FPSO1 Base'!G325,-'FPSO1 Otim'!G$3,0))</f>
        <v>120</v>
      </c>
      <c r="H328" s="19">
        <f ca="1">IF($A328-H$3&lt;2,0,OFFSET('FPSO1 Base'!H325,-'FPSO1 Otim'!H$3,0))</f>
        <v>546.54300000000001</v>
      </c>
      <c r="I328" s="19">
        <f ca="1">IF($A328-I$3&lt;2,0,OFFSET('FPSO1 Base'!I325,-'FPSO1 Otim'!I$3,0))</f>
        <v>392.202</v>
      </c>
      <c r="J328" s="19">
        <f ca="1">IF($A328-J$3&lt;2,0,OFFSET('FPSO1 Base'!J325,-'FPSO1 Otim'!J$3,0))</f>
        <v>220.15049999999999</v>
      </c>
      <c r="K328" s="19">
        <f ca="1">IF($A328-K$3&lt;2,0,OFFSET('FPSO1 Base'!K325,-'FPSO1 Otim'!K$3,0))</f>
        <v>215.673</v>
      </c>
      <c r="L328" s="19">
        <f ca="1">IF($A328-L$3&lt;2,0,OFFSET('FPSO1 Base'!L325,-'FPSO1 Otim'!L$3,0))</f>
        <v>249.9195</v>
      </c>
      <c r="M328" s="19">
        <f ca="1">IF($A328-M$3&lt;2,0,OFFSET('FPSO1 Base'!M325,-'FPSO1 Otim'!M$3,0))</f>
        <v>349.15049999999997</v>
      </c>
      <c r="N328" s="19">
        <f ca="1">IF($A328-N$3&lt;2,0,OFFSET('FPSO1 Base'!N325,-'FPSO1 Otim'!N$3,0))</f>
        <v>13.456870975360589</v>
      </c>
      <c r="O328" s="19">
        <f ca="1">IF($A328-O$3&lt;2,0,OFFSET('FPSO1 Base'!O325,-'FPSO1 Otim'!O$3,0))</f>
        <v>230.41050000000001</v>
      </c>
      <c r="P328" s="19">
        <f ca="1">IF($A328-P$3&lt;2,0,OFFSET('FPSO1 Base'!P325,-'FPSO1 Otim'!P$3,0))</f>
        <v>76.718683710698087</v>
      </c>
      <c r="Q328" s="19">
        <f ca="1">IF($A328-Q$3&lt;2,0,OFFSET('FPSO1 Base'!Q325,-'FPSO1 Otim'!Q$3,0))</f>
        <v>381.19349999999997</v>
      </c>
      <c r="R328" s="19">
        <f ca="1">IF($A328-R$3&lt;2,0,OFFSET('FPSO1 Base'!R325,-'FPSO1 Otim'!R$3,0))</f>
        <v>23.883779783327313</v>
      </c>
      <c r="S328" s="19">
        <f ca="1">IF($A328-S$3&lt;2,0,OFFSET('FPSO1 Base'!S325,-'FPSO1 Otim'!S$3,0))</f>
        <v>235.911</v>
      </c>
      <c r="T328" s="19">
        <f ca="1">IF($A328-T$3&lt;2,0,OFFSET('FPSO1 Base'!T325,-'FPSO1 Otim'!T$3,0))</f>
        <v>470.86649999999997</v>
      </c>
      <c r="U328" s="19">
        <f ca="1">IF($A328-U$3&lt;2,0,OFFSET('FPSO1 Base'!U325,-'FPSO1 Otim'!U$3,0))</f>
        <v>521.90250000000003</v>
      </c>
      <c r="V328" s="19">
        <f ca="1">IF($A328-V$3&lt;2,0,OFFSET('FPSO1 Base'!V325,-'FPSO1 Otim'!V$3,0))</f>
        <v>480</v>
      </c>
      <c r="W328" s="19">
        <f ca="1">IF($A328-W$3&lt;2,0,OFFSET('FPSO1 Base'!W325,-'FPSO1 Otim'!W$3,0))</f>
        <v>216.9195</v>
      </c>
      <c r="X328" s="19">
        <f ca="1">IF($A328-X$3&lt;2,0,OFFSET('FPSO1 Base'!X325,-'FPSO1 Otim'!X$3,0))</f>
        <v>626.08050000000003</v>
      </c>
      <c r="Y328" s="19">
        <f ca="1">IF($A328-Y$3&lt;2,0,OFFSET('FPSO1 Base'!Y325,-'FPSO1 Otim'!Y$3,0))</f>
        <v>404.42550000000006</v>
      </c>
      <c r="Z328" s="19">
        <f ca="1">IF($A328-Z$3&lt;2,0,OFFSET('FPSO1 Base'!Z325,-'FPSO1 Otim'!Z$3,0))</f>
        <v>309.786</v>
      </c>
      <c r="AA328" s="20">
        <v>15000</v>
      </c>
      <c r="AB328" s="19">
        <f t="shared" ca="1" si="19"/>
        <v>7318.1348344693861</v>
      </c>
      <c r="AC328" s="20">
        <f t="shared" ca="1" si="20"/>
        <v>7681.8651655306139</v>
      </c>
      <c r="AD328" s="19">
        <f t="shared" ca="1" si="21"/>
        <v>505.67605872379914</v>
      </c>
    </row>
    <row r="329" spans="1:30" x14ac:dyDescent="0.25">
      <c r="A329" s="19">
        <v>325</v>
      </c>
      <c r="B329" s="31">
        <v>55488</v>
      </c>
      <c r="C329" s="19">
        <f ca="1">IF($A329-C$3&lt;2,0,OFFSET('FPSO1 Base'!C326,-'FPSO1 Otim'!C$3,0))</f>
        <v>505.86750000000001</v>
      </c>
      <c r="D329" s="19">
        <f ca="1">IF($A329-D$3&lt;2,0,OFFSET('FPSO1 Base'!D326,-'FPSO1 Otim'!D$3,0))</f>
        <v>89.929500000000004</v>
      </c>
      <c r="E329" s="19">
        <f ca="1">IF($A329-E$3&lt;2,0,OFFSET('FPSO1 Base'!E326,-'FPSO1 Otim'!E$3,0))</f>
        <v>292.137</v>
      </c>
      <c r="F329" s="19">
        <f ca="1">IF($A329-F$3&lt;2,0,OFFSET('FPSO1 Base'!F326,-'FPSO1 Otim'!F$3,0))</f>
        <v>339.798</v>
      </c>
      <c r="G329" s="19">
        <f ca="1">IF($A329-G$3&lt;2,0,OFFSET('FPSO1 Base'!G326,-'FPSO1 Otim'!G$3,0))</f>
        <v>119.63849999999999</v>
      </c>
      <c r="H329" s="19">
        <f ca="1">IF($A329-H$3&lt;2,0,OFFSET('FPSO1 Base'!H326,-'FPSO1 Otim'!H$3,0))</f>
        <v>546.19799999999998</v>
      </c>
      <c r="I329" s="19">
        <f ca="1">IF($A329-I$3&lt;2,0,OFFSET('FPSO1 Base'!I326,-'FPSO1 Otim'!I$3,0))</f>
        <v>391.57500000000005</v>
      </c>
      <c r="J329" s="19">
        <f ca="1">IF($A329-J$3&lt;2,0,OFFSET('FPSO1 Base'!J326,-'FPSO1 Otim'!J$3,0))</f>
        <v>219.702</v>
      </c>
      <c r="K329" s="19">
        <f ca="1">IF($A329-K$3&lt;2,0,OFFSET('FPSO1 Base'!K326,-'FPSO1 Otim'!K$3,0))</f>
        <v>214.887</v>
      </c>
      <c r="L329" s="19">
        <f ca="1">IF($A329-L$3&lt;2,0,OFFSET('FPSO1 Base'!L326,-'FPSO1 Otim'!L$3,0))</f>
        <v>249.255</v>
      </c>
      <c r="M329" s="19">
        <f ca="1">IF($A329-M$3&lt;2,0,OFFSET('FPSO1 Base'!M326,-'FPSO1 Otim'!M$3,0))</f>
        <v>348.58050000000003</v>
      </c>
      <c r="N329" s="19">
        <f ca="1">IF($A329-N$3&lt;2,0,OFFSET('FPSO1 Base'!N326,-'FPSO1 Otim'!N$3,0))</f>
        <v>13.322302265606982</v>
      </c>
      <c r="O329" s="19">
        <f ca="1">IF($A329-O$3&lt;2,0,OFFSET('FPSO1 Base'!O326,-'FPSO1 Otim'!O$3,0))</f>
        <v>229.62149999999997</v>
      </c>
      <c r="P329" s="19">
        <f ca="1">IF($A329-P$3&lt;2,0,OFFSET('FPSO1 Base'!P326,-'FPSO1 Otim'!P$3,0))</f>
        <v>75.951496873591111</v>
      </c>
      <c r="Q329" s="19">
        <f ca="1">IF($A329-Q$3&lt;2,0,OFFSET('FPSO1 Base'!Q326,-'FPSO1 Otim'!Q$3,0))</f>
        <v>380.70000000000005</v>
      </c>
      <c r="R329" s="19">
        <f ca="1">IF($A329-R$3&lt;2,0,OFFSET('FPSO1 Base'!R326,-'FPSO1 Otim'!R$3,0))</f>
        <v>23.644941985494039</v>
      </c>
      <c r="S329" s="19">
        <f ca="1">IF($A329-S$3&lt;2,0,OFFSET('FPSO1 Base'!S326,-'FPSO1 Otim'!S$3,0))</f>
        <v>235.17449999999997</v>
      </c>
      <c r="T329" s="19">
        <f ca="1">IF($A329-T$3&lt;2,0,OFFSET('FPSO1 Base'!T326,-'FPSO1 Otim'!T$3,0))</f>
        <v>469.18500000000006</v>
      </c>
      <c r="U329" s="19">
        <f ca="1">IF($A329-U$3&lt;2,0,OFFSET('FPSO1 Base'!U326,-'FPSO1 Otim'!U$3,0))</f>
        <v>520.99950000000001</v>
      </c>
      <c r="V329" s="19">
        <f ca="1">IF($A329-V$3&lt;2,0,OFFSET('FPSO1 Base'!V326,-'FPSO1 Otim'!V$3,0))</f>
        <v>479.12849999999997</v>
      </c>
      <c r="W329" s="19">
        <f ca="1">IF($A329-W$3&lt;2,0,OFFSET('FPSO1 Base'!W326,-'FPSO1 Otim'!W$3,0))</f>
        <v>216.62850000000003</v>
      </c>
      <c r="X329" s="19">
        <f ca="1">IF($A329-X$3&lt;2,0,OFFSET('FPSO1 Base'!X326,-'FPSO1 Otim'!X$3,0))</f>
        <v>623.80050000000006</v>
      </c>
      <c r="Y329" s="19">
        <f ca="1">IF($A329-Y$3&lt;2,0,OFFSET('FPSO1 Base'!Y326,-'FPSO1 Otim'!Y$3,0))</f>
        <v>403.572</v>
      </c>
      <c r="Z329" s="19">
        <f ca="1">IF($A329-Z$3&lt;2,0,OFFSET('FPSO1 Base'!Z326,-'FPSO1 Otim'!Z$3,0))</f>
        <v>308.0505</v>
      </c>
      <c r="AA329" s="20">
        <v>15000</v>
      </c>
      <c r="AB329" s="19">
        <f t="shared" ca="1" si="19"/>
        <v>7297.347241124693</v>
      </c>
      <c r="AC329" s="20">
        <f t="shared" ca="1" si="20"/>
        <v>7702.652758875307</v>
      </c>
      <c r="AD329" s="19">
        <f t="shared" ca="1" si="21"/>
        <v>500.07238618840273</v>
      </c>
    </row>
    <row r="330" spans="1:30" x14ac:dyDescent="0.25">
      <c r="A330" s="19">
        <v>326</v>
      </c>
      <c r="B330" s="31">
        <v>55519</v>
      </c>
      <c r="C330" s="19">
        <f ca="1">IF($A330-C$3&lt;2,0,OFFSET('FPSO1 Base'!C327,-'FPSO1 Otim'!C$3,0))</f>
        <v>503.90699999999998</v>
      </c>
      <c r="D330" s="19">
        <f ca="1">IF($A330-D$3&lt;2,0,OFFSET('FPSO1 Base'!D327,-'FPSO1 Otim'!D$3,0))</f>
        <v>89.509500000000003</v>
      </c>
      <c r="E330" s="19">
        <f ca="1">IF($A330-E$3&lt;2,0,OFFSET('FPSO1 Base'!E327,-'FPSO1 Otim'!E$3,0))</f>
        <v>290.262</v>
      </c>
      <c r="F330" s="19">
        <f ca="1">IF($A330-F$3&lt;2,0,OFFSET('FPSO1 Base'!F327,-'FPSO1 Otim'!F$3,0))</f>
        <v>338.4255</v>
      </c>
      <c r="G330" s="19">
        <f ca="1">IF($A330-G$3&lt;2,0,OFFSET('FPSO1 Base'!G327,-'FPSO1 Otim'!G$3,0))</f>
        <v>119.25</v>
      </c>
      <c r="H330" s="19">
        <f ca="1">IF($A330-H$3&lt;2,0,OFFSET('FPSO1 Base'!H327,-'FPSO1 Otim'!H$3,0))</f>
        <v>545.77649999999994</v>
      </c>
      <c r="I330" s="19">
        <f ca="1">IF($A330-I$3&lt;2,0,OFFSET('FPSO1 Base'!I327,-'FPSO1 Otim'!I$3,0))</f>
        <v>390.99149999999997</v>
      </c>
      <c r="J330" s="19">
        <f ca="1">IF($A330-J$3&lt;2,0,OFFSET('FPSO1 Base'!J327,-'FPSO1 Otim'!J$3,0))</f>
        <v>219.26549999999997</v>
      </c>
      <c r="K330" s="19">
        <f ca="1">IF($A330-K$3&lt;2,0,OFFSET('FPSO1 Base'!K327,-'FPSO1 Otim'!K$3,0))</f>
        <v>214.197</v>
      </c>
      <c r="L330" s="19">
        <f ca="1">IF($A330-L$3&lt;2,0,OFFSET('FPSO1 Base'!L327,-'FPSO1 Otim'!L$3,0))</f>
        <v>248.709</v>
      </c>
      <c r="M330" s="19">
        <f ca="1">IF($A330-M$3&lt;2,0,OFFSET('FPSO1 Base'!M327,-'FPSO1 Otim'!M$3,0))</f>
        <v>347.97450000000003</v>
      </c>
      <c r="N330" s="19">
        <f ca="1">IF($A330-N$3&lt;2,0,OFFSET('FPSO1 Base'!N327,-'FPSO1 Otim'!N$3,0))</f>
        <v>13.189079242950912</v>
      </c>
      <c r="O330" s="19">
        <f ca="1">IF($A330-O$3&lt;2,0,OFFSET('FPSO1 Base'!O327,-'FPSO1 Otim'!O$3,0))</f>
        <v>228.67499999999998</v>
      </c>
      <c r="P330" s="19">
        <f ca="1">IF($A330-P$3&lt;2,0,OFFSET('FPSO1 Base'!P327,-'FPSO1 Otim'!P$3,0))</f>
        <v>75.191981904855197</v>
      </c>
      <c r="Q330" s="19">
        <f ca="1">IF($A330-Q$3&lt;2,0,OFFSET('FPSO1 Base'!Q327,-'FPSO1 Otim'!Q$3,0))</f>
        <v>380.34749999999997</v>
      </c>
      <c r="R330" s="19">
        <f ca="1">IF($A330-R$3&lt;2,0,OFFSET('FPSO1 Base'!R327,-'FPSO1 Otim'!R$3,0))</f>
        <v>23.408492565639097</v>
      </c>
      <c r="S330" s="19">
        <f ca="1">IF($A330-S$3&lt;2,0,OFFSET('FPSO1 Base'!S327,-'FPSO1 Otim'!S$3,0))</f>
        <v>234.5805</v>
      </c>
      <c r="T330" s="19">
        <f ca="1">IF($A330-T$3&lt;2,0,OFFSET('FPSO1 Base'!T327,-'FPSO1 Otim'!T$3,0))</f>
        <v>467.25</v>
      </c>
      <c r="U330" s="19">
        <f ca="1">IF($A330-U$3&lt;2,0,OFFSET('FPSO1 Base'!U327,-'FPSO1 Otim'!U$3,0))</f>
        <v>520.18500000000006</v>
      </c>
      <c r="V330" s="19">
        <f ca="1">IF($A330-V$3&lt;2,0,OFFSET('FPSO1 Base'!V327,-'FPSO1 Otim'!V$3,0))</f>
        <v>478.20000000000005</v>
      </c>
      <c r="W330" s="19">
        <f ca="1">IF($A330-W$3&lt;2,0,OFFSET('FPSO1 Base'!W327,-'FPSO1 Otim'!W$3,0))</f>
        <v>216.25049999999999</v>
      </c>
      <c r="X330" s="19">
        <f ca="1">IF($A330-X$3&lt;2,0,OFFSET('FPSO1 Base'!X327,-'FPSO1 Otim'!X$3,0))</f>
        <v>621.774</v>
      </c>
      <c r="Y330" s="19">
        <f ca="1">IF($A330-Y$3&lt;2,0,OFFSET('FPSO1 Base'!Y327,-'FPSO1 Otim'!Y$3,0))</f>
        <v>402.702</v>
      </c>
      <c r="Z330" s="19">
        <f ca="1">IF($A330-Z$3&lt;2,0,OFFSET('FPSO1 Base'!Z327,-'FPSO1 Otim'!Z$3,0))</f>
        <v>306.459</v>
      </c>
      <c r="AA330" s="20">
        <v>15000</v>
      </c>
      <c r="AB330" s="19">
        <f t="shared" ca="1" si="19"/>
        <v>7276.4810537134454</v>
      </c>
      <c r="AC330" s="20">
        <f t="shared" ca="1" si="20"/>
        <v>7723.5189462865546</v>
      </c>
      <c r="AD330" s="19">
        <f t="shared" ca="1" si="21"/>
        <v>494.52145660406399</v>
      </c>
    </row>
    <row r="331" spans="1:30" x14ac:dyDescent="0.25">
      <c r="A331" s="19">
        <v>327</v>
      </c>
      <c r="B331" s="31">
        <v>55550</v>
      </c>
      <c r="C331" s="19">
        <f ca="1">IF($A331-C$3&lt;2,0,OFFSET('FPSO1 Base'!C328,-'FPSO1 Otim'!C$3,0))</f>
        <v>502.15350000000001</v>
      </c>
      <c r="D331" s="19">
        <f ca="1">IF($A331-D$3&lt;2,0,OFFSET('FPSO1 Base'!D328,-'FPSO1 Otim'!D$3,0))</f>
        <v>89.111999999999995</v>
      </c>
      <c r="E331" s="19">
        <f ca="1">IF($A331-E$3&lt;2,0,OFFSET('FPSO1 Base'!E328,-'FPSO1 Otim'!E$3,0))</f>
        <v>288.55650000000003</v>
      </c>
      <c r="F331" s="19">
        <f ca="1">IF($A331-F$3&lt;2,0,OFFSET('FPSO1 Base'!F328,-'FPSO1 Otim'!F$3,0))</f>
        <v>337.113</v>
      </c>
      <c r="G331" s="19">
        <f ca="1">IF($A331-G$3&lt;2,0,OFFSET('FPSO1 Base'!G328,-'FPSO1 Otim'!G$3,0))</f>
        <v>118.90049999999999</v>
      </c>
      <c r="H331" s="19">
        <f ca="1">IF($A331-H$3&lt;2,0,OFFSET('FPSO1 Base'!H328,-'FPSO1 Otim'!H$3,0))</f>
        <v>545.41800000000001</v>
      </c>
      <c r="I331" s="19">
        <f ca="1">IF($A331-I$3&lt;2,0,OFFSET('FPSO1 Base'!I328,-'FPSO1 Otim'!I$3,0))</f>
        <v>390.375</v>
      </c>
      <c r="J331" s="19">
        <f ca="1">IF($A331-J$3&lt;2,0,OFFSET('FPSO1 Base'!J328,-'FPSO1 Otim'!J$3,0))</f>
        <v>218.8005</v>
      </c>
      <c r="K331" s="19">
        <f ca="1">IF($A331-K$3&lt;2,0,OFFSET('FPSO1 Base'!K328,-'FPSO1 Otim'!K$3,0))</f>
        <v>213.45000000000002</v>
      </c>
      <c r="L331" s="19">
        <f ca="1">IF($A331-L$3&lt;2,0,OFFSET('FPSO1 Base'!L328,-'FPSO1 Otim'!L$3,0))</f>
        <v>248.08799999999999</v>
      </c>
      <c r="M331" s="19">
        <f ca="1">IF($A331-M$3&lt;2,0,OFFSET('FPSO1 Base'!M328,-'FPSO1 Otim'!M$3,0))</f>
        <v>347.44349999999997</v>
      </c>
      <c r="N331" s="19">
        <f ca="1">IF($A331-N$3&lt;2,0,OFFSET('FPSO1 Base'!N328,-'FPSO1 Otim'!N$3,0))</f>
        <v>13.057188450521403</v>
      </c>
      <c r="O331" s="19">
        <f ca="1">IF($A331-O$3&lt;2,0,OFFSET('FPSO1 Base'!O328,-'FPSO1 Otim'!O$3,0))</f>
        <v>227.8305</v>
      </c>
      <c r="P331" s="19">
        <f ca="1">IF($A331-P$3&lt;2,0,OFFSET('FPSO1 Base'!P328,-'FPSO1 Otim'!P$3,0))</f>
        <v>74.440062085806645</v>
      </c>
      <c r="Q331" s="19">
        <f ca="1">IF($A331-Q$3&lt;2,0,OFFSET('FPSO1 Base'!Q328,-'FPSO1 Otim'!Q$3,0))</f>
        <v>379.84950000000003</v>
      </c>
      <c r="R331" s="19">
        <f ca="1">IF($A331-R$3&lt;2,0,OFFSET('FPSO1 Base'!R328,-'FPSO1 Otim'!R$3,0))</f>
        <v>23.174407639982707</v>
      </c>
      <c r="S331" s="19">
        <f ca="1">IF($A331-S$3&lt;2,0,OFFSET('FPSO1 Base'!S328,-'FPSO1 Otim'!S$3,0))</f>
        <v>233.89949999999999</v>
      </c>
      <c r="T331" s="19">
        <f ca="1">IF($A331-T$3&lt;2,0,OFFSET('FPSO1 Base'!T328,-'FPSO1 Otim'!T$3,0))</f>
        <v>465.45899999999995</v>
      </c>
      <c r="U331" s="19">
        <f ca="1">IF($A331-U$3&lt;2,0,OFFSET('FPSO1 Base'!U328,-'FPSO1 Otim'!U$3,0))</f>
        <v>519.27449999999999</v>
      </c>
      <c r="V331" s="19">
        <f ca="1">IF($A331-V$3&lt;2,0,OFFSET('FPSO1 Base'!V328,-'FPSO1 Otim'!V$3,0))</f>
        <v>477.19350000000003</v>
      </c>
      <c r="W331" s="19">
        <f ca="1">IF($A331-W$3&lt;2,0,OFFSET('FPSO1 Base'!W328,-'FPSO1 Otim'!W$3,0))</f>
        <v>215.928</v>
      </c>
      <c r="X331" s="19">
        <f ca="1">IF($A331-X$3&lt;2,0,OFFSET('FPSO1 Base'!X328,-'FPSO1 Otim'!X$3,0))</f>
        <v>619.83899999999994</v>
      </c>
      <c r="Y331" s="19">
        <f ca="1">IF($A331-Y$3&lt;2,0,OFFSET('FPSO1 Base'!Y328,-'FPSO1 Otim'!Y$3,0))</f>
        <v>401.74950000000001</v>
      </c>
      <c r="Z331" s="19">
        <f ca="1">IF($A331-Z$3&lt;2,0,OFFSET('FPSO1 Base'!Z328,-'FPSO1 Otim'!Z$3,0))</f>
        <v>304.73699999999997</v>
      </c>
      <c r="AA331" s="20">
        <v>15000</v>
      </c>
      <c r="AB331" s="19">
        <f t="shared" ca="1" si="19"/>
        <v>7255.8421581763105</v>
      </c>
      <c r="AC331" s="20">
        <f t="shared" ca="1" si="20"/>
        <v>7744.1578418236895</v>
      </c>
      <c r="AD331" s="19">
        <f t="shared" ca="1" si="21"/>
        <v>489.04344176740403</v>
      </c>
    </row>
    <row r="332" spans="1:30" x14ac:dyDescent="0.25">
      <c r="A332" s="19">
        <v>328</v>
      </c>
      <c r="B332" s="31">
        <v>55579</v>
      </c>
      <c r="C332" s="19">
        <f ca="1">IF($A332-C$3&lt;2,0,OFFSET('FPSO1 Base'!C329,-'FPSO1 Otim'!C$3,0))</f>
        <v>500.31450000000001</v>
      </c>
      <c r="D332" s="19">
        <f ca="1">IF($A332-D$3&lt;2,0,OFFSET('FPSO1 Base'!D329,-'FPSO1 Otim'!D$3,0))</f>
        <v>88.823999999999998</v>
      </c>
      <c r="E332" s="19">
        <f ca="1">IF($A332-E$3&lt;2,0,OFFSET('FPSO1 Base'!E329,-'FPSO1 Otim'!E$3,0))</f>
        <v>286.6995</v>
      </c>
      <c r="F332" s="19">
        <f ca="1">IF($A332-F$3&lt;2,0,OFFSET('FPSO1 Base'!F329,-'FPSO1 Otim'!F$3,0))</f>
        <v>335.928</v>
      </c>
      <c r="G332" s="19">
        <f ca="1">IF($A332-G$3&lt;2,0,OFFSET('FPSO1 Base'!G329,-'FPSO1 Otim'!G$3,0))</f>
        <v>118.6455</v>
      </c>
      <c r="H332" s="19">
        <f ca="1">IF($A332-H$3&lt;2,0,OFFSET('FPSO1 Base'!H329,-'FPSO1 Otim'!H$3,0))</f>
        <v>545.01900000000001</v>
      </c>
      <c r="I332" s="19">
        <f ca="1">IF($A332-I$3&lt;2,0,OFFSET('FPSO1 Base'!I329,-'FPSO1 Otim'!I$3,0))</f>
        <v>389.78250000000003</v>
      </c>
      <c r="J332" s="19">
        <f ca="1">IF($A332-J$3&lt;2,0,OFFSET('FPSO1 Base'!J329,-'FPSO1 Otim'!J$3,0))</f>
        <v>218.322</v>
      </c>
      <c r="K332" s="19">
        <f ca="1">IF($A332-K$3&lt;2,0,OFFSET('FPSO1 Base'!K329,-'FPSO1 Otim'!K$3,0))</f>
        <v>212.73450000000003</v>
      </c>
      <c r="L332" s="19">
        <f ca="1">IF($A332-L$3&lt;2,0,OFFSET('FPSO1 Base'!L329,-'FPSO1 Otim'!L$3,0))</f>
        <v>247.512</v>
      </c>
      <c r="M332" s="19">
        <f ca="1">IF($A332-M$3&lt;2,0,OFFSET('FPSO1 Base'!M329,-'FPSO1 Otim'!M$3,0))</f>
        <v>346.959</v>
      </c>
      <c r="N332" s="19">
        <f ca="1">IF($A332-N$3&lt;2,0,OFFSET('FPSO1 Base'!N329,-'FPSO1 Otim'!N$3,0))</f>
        <v>12.92661656601619</v>
      </c>
      <c r="O332" s="19">
        <f ca="1">IF($A332-O$3&lt;2,0,OFFSET('FPSO1 Base'!O329,-'FPSO1 Otim'!O$3,0))</f>
        <v>226.92449999999997</v>
      </c>
      <c r="P332" s="19">
        <f ca="1">IF($A332-P$3&lt;2,0,OFFSET('FPSO1 Base'!P329,-'FPSO1 Otim'!P$3,0))</f>
        <v>73.695661464948572</v>
      </c>
      <c r="Q332" s="19">
        <f ca="1">IF($A332-Q$3&lt;2,0,OFFSET('FPSO1 Base'!Q329,-'FPSO1 Otim'!Q$3,0))</f>
        <v>379.40250000000003</v>
      </c>
      <c r="R332" s="19">
        <f ca="1">IF($A332-R$3&lt;2,0,OFFSET('FPSO1 Base'!R329,-'FPSO1 Otim'!R$3,0))</f>
        <v>22.94266356358288</v>
      </c>
      <c r="S332" s="19">
        <f ca="1">IF($A332-S$3&lt;2,0,OFFSET('FPSO1 Base'!S329,-'FPSO1 Otim'!S$3,0))</f>
        <v>233.274</v>
      </c>
      <c r="T332" s="19">
        <f ca="1">IF($A332-T$3&lt;2,0,OFFSET('FPSO1 Base'!T329,-'FPSO1 Otim'!T$3,0))</f>
        <v>463.52549999999997</v>
      </c>
      <c r="U332" s="19">
        <f ca="1">IF($A332-U$3&lt;2,0,OFFSET('FPSO1 Base'!U329,-'FPSO1 Otim'!U$3,0))</f>
        <v>518.46749999999997</v>
      </c>
      <c r="V332" s="19">
        <f ca="1">IF($A332-V$3&lt;2,0,OFFSET('FPSO1 Base'!V329,-'FPSO1 Otim'!V$3,0))</f>
        <v>476.322</v>
      </c>
      <c r="W332" s="19">
        <f ca="1">IF($A332-W$3&lt;2,0,OFFSET('FPSO1 Base'!W329,-'FPSO1 Otim'!W$3,0))</f>
        <v>215.57550000000003</v>
      </c>
      <c r="X332" s="19">
        <f ca="1">IF($A332-X$3&lt;2,0,OFFSET('FPSO1 Base'!X329,-'FPSO1 Otim'!X$3,0))</f>
        <v>617.68949999999995</v>
      </c>
      <c r="Y332" s="19">
        <f ca="1">IF($A332-Y$3&lt;2,0,OFFSET('FPSO1 Base'!Y329,-'FPSO1 Otim'!Y$3,0))</f>
        <v>401.74650000000003</v>
      </c>
      <c r="Z332" s="19">
        <f ca="1">IF($A332-Z$3&lt;2,0,OFFSET('FPSO1 Base'!Z329,-'FPSO1 Otim'!Z$3,0))</f>
        <v>303.06</v>
      </c>
      <c r="AA332" s="20">
        <v>15000</v>
      </c>
      <c r="AB332" s="19">
        <f t="shared" ca="1" si="19"/>
        <v>7236.2929415945473</v>
      </c>
      <c r="AC332" s="20">
        <f t="shared" ca="1" si="20"/>
        <v>7763.7070584054527</v>
      </c>
      <c r="AD332" s="19">
        <f t="shared" ca="1" si="21"/>
        <v>483.69503348542321</v>
      </c>
    </row>
    <row r="333" spans="1:30" x14ac:dyDescent="0.25">
      <c r="A333" s="19">
        <v>329</v>
      </c>
      <c r="B333" s="31">
        <v>55610</v>
      </c>
      <c r="C333" s="19">
        <f ca="1">IF($A333-C$3&lt;2,0,OFFSET('FPSO1 Base'!C330,-'FPSO1 Otim'!C$3,0))</f>
        <v>498.55949999999996</v>
      </c>
      <c r="D333" s="19">
        <f ca="1">IF($A333-D$3&lt;2,0,OFFSET('FPSO1 Base'!D330,-'FPSO1 Otim'!D$3,0))</f>
        <v>88.268999999999991</v>
      </c>
      <c r="E333" s="19">
        <f ca="1">IF($A333-E$3&lt;2,0,OFFSET('FPSO1 Base'!E330,-'FPSO1 Otim'!E$3,0))</f>
        <v>284.952</v>
      </c>
      <c r="F333" s="19">
        <f ca="1">IF($A333-F$3&lt;2,0,OFFSET('FPSO1 Base'!F330,-'FPSO1 Otim'!F$3,0))</f>
        <v>334.5</v>
      </c>
      <c r="G333" s="19">
        <f ca="1">IF($A333-G$3&lt;2,0,OFFSET('FPSO1 Base'!G330,-'FPSO1 Otim'!G$3,0))</f>
        <v>118.27499999999999</v>
      </c>
      <c r="H333" s="19">
        <f ca="1">IF($A333-H$3&lt;2,0,OFFSET('FPSO1 Base'!H330,-'FPSO1 Otim'!H$3,0))</f>
        <v>544.68600000000004</v>
      </c>
      <c r="I333" s="19">
        <f ca="1">IF($A333-I$3&lt;2,0,OFFSET('FPSO1 Base'!I330,-'FPSO1 Otim'!I$3,0))</f>
        <v>389.298</v>
      </c>
      <c r="J333" s="19">
        <f ca="1">IF($A333-J$3&lt;2,0,OFFSET('FPSO1 Base'!J330,-'FPSO1 Otim'!J$3,0))</f>
        <v>217.79999999999998</v>
      </c>
      <c r="K333" s="19">
        <f ca="1">IF($A333-K$3&lt;2,0,OFFSET('FPSO1 Base'!K330,-'FPSO1 Otim'!K$3,0))</f>
        <v>212.06849999999997</v>
      </c>
      <c r="L333" s="19">
        <f ca="1">IF($A333-L$3&lt;2,0,OFFSET('FPSO1 Base'!L330,-'FPSO1 Otim'!L$3,0))</f>
        <v>246.91200000000001</v>
      </c>
      <c r="M333" s="19">
        <f ca="1">IF($A333-M$3&lt;2,0,OFFSET('FPSO1 Base'!M330,-'FPSO1 Otim'!M$3,0))</f>
        <v>346.36649999999997</v>
      </c>
      <c r="N333" s="19">
        <f ca="1">IF($A333-N$3&lt;2,0,OFFSET('FPSO1 Base'!N330,-'FPSO1 Otim'!N$3,0))</f>
        <v>12.797350400356027</v>
      </c>
      <c r="O333" s="19">
        <f ca="1">IF($A333-O$3&lt;2,0,OFFSET('FPSO1 Base'!O330,-'FPSO1 Otim'!O$3,0))</f>
        <v>226.041</v>
      </c>
      <c r="P333" s="19">
        <f ca="1">IF($A333-P$3&lt;2,0,OFFSET('FPSO1 Base'!P330,-'FPSO1 Otim'!P$3,0))</f>
        <v>72.958704850299085</v>
      </c>
      <c r="Q333" s="19">
        <f ca="1">IF($A333-Q$3&lt;2,0,OFFSET('FPSO1 Base'!Q330,-'FPSO1 Otim'!Q$3,0))</f>
        <v>378.99149999999997</v>
      </c>
      <c r="R333" s="19">
        <f ca="1">IF($A333-R$3&lt;2,0,OFFSET('FPSO1 Base'!R330,-'FPSO1 Otim'!R$3,0))</f>
        <v>22.713236927947051</v>
      </c>
      <c r="S333" s="19">
        <f ca="1">IF($A333-S$3&lt;2,0,OFFSET('FPSO1 Base'!S330,-'FPSO1 Otim'!S$3,0))</f>
        <v>232.69349999999997</v>
      </c>
      <c r="T333" s="19">
        <f ca="1">IF($A333-T$3&lt;2,0,OFFSET('FPSO1 Base'!T330,-'FPSO1 Otim'!T$3,0))</f>
        <v>461.68500000000006</v>
      </c>
      <c r="U333" s="19">
        <f ca="1">IF($A333-U$3&lt;2,0,OFFSET('FPSO1 Base'!U330,-'FPSO1 Otim'!U$3,0))</f>
        <v>517.59749999999997</v>
      </c>
      <c r="V333" s="19">
        <f ca="1">IF($A333-V$3&lt;2,0,OFFSET('FPSO1 Base'!V330,-'FPSO1 Otim'!V$3,0))</f>
        <v>475.33949999999993</v>
      </c>
      <c r="W333" s="19">
        <f ca="1">IF($A333-W$3&lt;2,0,OFFSET('FPSO1 Base'!W330,-'FPSO1 Otim'!W$3,0))</f>
        <v>215.226</v>
      </c>
      <c r="X333" s="19">
        <f ca="1">IF($A333-X$3&lt;2,0,OFFSET('FPSO1 Base'!X330,-'FPSO1 Otim'!X$3,0))</f>
        <v>615.774</v>
      </c>
      <c r="Y333" s="19">
        <f ca="1">IF($A333-Y$3&lt;2,0,OFFSET('FPSO1 Base'!Y330,-'FPSO1 Otim'!Y$3,0))</f>
        <v>401.74950000000001</v>
      </c>
      <c r="Z333" s="19">
        <f ca="1">IF($A333-Z$3&lt;2,0,OFFSET('FPSO1 Base'!Z330,-'FPSO1 Otim'!Z$3,0))</f>
        <v>301.416</v>
      </c>
      <c r="AA333" s="20">
        <v>15000</v>
      </c>
      <c r="AB333" s="19">
        <f t="shared" ca="1" si="19"/>
        <v>7216.6692921786025</v>
      </c>
      <c r="AC333" s="20">
        <f t="shared" ca="1" si="20"/>
        <v>7783.3307078213975</v>
      </c>
      <c r="AD333" s="19">
        <f t="shared" ca="1" si="21"/>
        <v>478.39669213043891</v>
      </c>
    </row>
    <row r="334" spans="1:30" x14ac:dyDescent="0.25">
      <c r="A334" s="19">
        <v>330</v>
      </c>
      <c r="B334" s="31">
        <v>55640</v>
      </c>
      <c r="C334" s="19">
        <f ca="1">IF($A334-C$3&lt;2,0,OFFSET('FPSO1 Base'!C331,-'FPSO1 Otim'!C$3,0))</f>
        <v>496.7235</v>
      </c>
      <c r="D334" s="19">
        <f ca="1">IF($A334-D$3&lt;2,0,OFFSET('FPSO1 Base'!D331,-'FPSO1 Otim'!D$3,0))</f>
        <v>87.976500000000001</v>
      </c>
      <c r="E334" s="19">
        <f ca="1">IF($A334-E$3&lt;2,0,OFFSET('FPSO1 Base'!E331,-'FPSO1 Otim'!E$3,0))</f>
        <v>283.197</v>
      </c>
      <c r="F334" s="19">
        <f ca="1">IF($A334-F$3&lt;2,0,OFFSET('FPSO1 Base'!F331,-'FPSO1 Otim'!F$3,0))</f>
        <v>333.387</v>
      </c>
      <c r="G334" s="19">
        <f ca="1">IF($A334-G$3&lt;2,0,OFFSET('FPSO1 Base'!G331,-'FPSO1 Otim'!G$3,0))</f>
        <v>118.13249999999999</v>
      </c>
      <c r="H334" s="19">
        <f ca="1">IF($A334-H$3&lt;2,0,OFFSET('FPSO1 Base'!H331,-'FPSO1 Otim'!H$3,0))</f>
        <v>544.28399999999999</v>
      </c>
      <c r="I334" s="19">
        <f ca="1">IF($A334-I$3&lt;2,0,OFFSET('FPSO1 Base'!I331,-'FPSO1 Otim'!I$3,0))</f>
        <v>388.63350000000003</v>
      </c>
      <c r="J334" s="19">
        <f ca="1">IF($A334-J$3&lt;2,0,OFFSET('FPSO1 Base'!J331,-'FPSO1 Otim'!J$3,0))</f>
        <v>217.35449999999997</v>
      </c>
      <c r="K334" s="19">
        <f ca="1">IF($A334-K$3&lt;2,0,OFFSET('FPSO1 Base'!K331,-'FPSO1 Otim'!K$3,0))</f>
        <v>211.29900000000004</v>
      </c>
      <c r="L334" s="19">
        <f ca="1">IF($A334-L$3&lt;2,0,OFFSET('FPSO1 Base'!L331,-'FPSO1 Otim'!L$3,0))</f>
        <v>246.351</v>
      </c>
      <c r="M334" s="19">
        <f ca="1">IF($A334-M$3&lt;2,0,OFFSET('FPSO1 Base'!M331,-'FPSO1 Otim'!M$3,0))</f>
        <v>345.89550000000003</v>
      </c>
      <c r="N334" s="19">
        <f ca="1">IF($A334-N$3&lt;2,0,OFFSET('FPSO1 Base'!N331,-'FPSO1 Otim'!N$3,0))</f>
        <v>12.669376896352468</v>
      </c>
      <c r="O334" s="19">
        <f ca="1">IF($A334-O$3&lt;2,0,OFFSET('FPSO1 Base'!O331,-'FPSO1 Otim'!O$3,0))</f>
        <v>225.26549999999997</v>
      </c>
      <c r="P334" s="19">
        <f ca="1">IF($A334-P$3&lt;2,0,OFFSET('FPSO1 Base'!P331,-'FPSO1 Otim'!P$3,0))</f>
        <v>72.229117801796093</v>
      </c>
      <c r="Q334" s="19">
        <f ca="1">IF($A334-Q$3&lt;2,0,OFFSET('FPSO1 Base'!Q331,-'FPSO1 Otim'!Q$3,0))</f>
        <v>378.45000000000005</v>
      </c>
      <c r="R334" s="19">
        <f ca="1">IF($A334-R$3&lt;2,0,OFFSET('FPSO1 Base'!R331,-'FPSO1 Otim'!R$3,0))</f>
        <v>22.486104558667581</v>
      </c>
      <c r="S334" s="19">
        <f ca="1">IF($A334-S$3&lt;2,0,OFFSET('FPSO1 Base'!S331,-'FPSO1 Otim'!S$3,0))</f>
        <v>232.09950000000001</v>
      </c>
      <c r="T334" s="19">
        <f ca="1">IF($A334-T$3&lt;2,0,OFFSET('FPSO1 Base'!T331,-'FPSO1 Otim'!T$3,0))</f>
        <v>459.822</v>
      </c>
      <c r="U334" s="19">
        <f ca="1">IF($A334-U$3&lt;2,0,OFFSET('FPSO1 Base'!U331,-'FPSO1 Otim'!U$3,0))</f>
        <v>516.72450000000003</v>
      </c>
      <c r="V334" s="19">
        <f ca="1">IF($A334-V$3&lt;2,0,OFFSET('FPSO1 Base'!V331,-'FPSO1 Otim'!V$3,0))</f>
        <v>474.48449999999997</v>
      </c>
      <c r="W334" s="19">
        <f ca="1">IF($A334-W$3&lt;2,0,OFFSET('FPSO1 Base'!W331,-'FPSO1 Otim'!W$3,0))</f>
        <v>214.911</v>
      </c>
      <c r="X334" s="19">
        <f ca="1">IF($A334-X$3&lt;2,0,OFFSET('FPSO1 Base'!X331,-'FPSO1 Otim'!X$3,0))</f>
        <v>613.69949999999994</v>
      </c>
      <c r="Y334" s="19">
        <f ca="1">IF($A334-Y$3&lt;2,0,OFFSET('FPSO1 Base'!Y331,-'FPSO1 Otim'!Y$3,0))</f>
        <v>401.51550000000003</v>
      </c>
      <c r="Z334" s="19">
        <f ca="1">IF($A334-Z$3&lt;2,0,OFFSET('FPSO1 Base'!Z331,-'FPSO1 Otim'!Z$3,0))</f>
        <v>299.65049999999997</v>
      </c>
      <c r="AA334" s="20">
        <v>15000</v>
      </c>
      <c r="AB334" s="19">
        <f t="shared" ca="1" si="19"/>
        <v>7197.2410992568166</v>
      </c>
      <c r="AC334" s="20">
        <f t="shared" ca="1" si="20"/>
        <v>7802.7589007431834</v>
      </c>
      <c r="AD334" s="19">
        <f t="shared" ca="1" si="21"/>
        <v>473.1657394728914</v>
      </c>
    </row>
    <row r="335" spans="1:30" x14ac:dyDescent="0.25">
      <c r="A335" s="19">
        <v>331</v>
      </c>
      <c r="B335" s="31">
        <v>55671</v>
      </c>
      <c r="C335" s="19">
        <f ca="1">IF($A335-C$3&lt;2,0,OFFSET('FPSO1 Base'!C332,-'FPSO1 Otim'!C$3,0))</f>
        <v>495.06899999999996</v>
      </c>
      <c r="D335" s="19">
        <f ca="1">IF($A335-D$3&lt;2,0,OFFSET('FPSO1 Base'!D332,-'FPSO1 Otim'!D$3,0))</f>
        <v>87.453000000000003</v>
      </c>
      <c r="E335" s="19">
        <f ca="1">IF($A335-E$3&lt;2,0,OFFSET('FPSO1 Base'!E332,-'FPSO1 Otim'!E$3,0))</f>
        <v>281.39999999999998</v>
      </c>
      <c r="F335" s="19">
        <f ca="1">IF($A335-F$3&lt;2,0,OFFSET('FPSO1 Base'!F332,-'FPSO1 Otim'!F$3,0))</f>
        <v>332.12549999999999</v>
      </c>
      <c r="G335" s="19">
        <f ca="1">IF($A335-G$3&lt;2,0,OFFSET('FPSO1 Base'!G332,-'FPSO1 Otim'!G$3,0))</f>
        <v>117.99300000000001</v>
      </c>
      <c r="H335" s="19">
        <f ca="1">IF($A335-H$3&lt;2,0,OFFSET('FPSO1 Base'!H332,-'FPSO1 Otim'!H$3,0))</f>
        <v>543.92099999999994</v>
      </c>
      <c r="I335" s="19">
        <f ca="1">IF($A335-I$3&lt;2,0,OFFSET('FPSO1 Base'!I332,-'FPSO1 Otim'!I$3,0))</f>
        <v>388.13699999999994</v>
      </c>
      <c r="J335" s="19">
        <f ca="1">IF($A335-J$3&lt;2,0,OFFSET('FPSO1 Base'!J332,-'FPSO1 Otim'!J$3,0))</f>
        <v>216.89550000000003</v>
      </c>
      <c r="K335" s="19">
        <f ca="1">IF($A335-K$3&lt;2,0,OFFSET('FPSO1 Base'!K332,-'FPSO1 Otim'!K$3,0))</f>
        <v>210.678</v>
      </c>
      <c r="L335" s="19">
        <f ca="1">IF($A335-L$3&lt;2,0,OFFSET('FPSO1 Base'!L332,-'FPSO1 Otim'!L$3,0))</f>
        <v>245.78249999999997</v>
      </c>
      <c r="M335" s="19">
        <f ca="1">IF($A335-M$3&lt;2,0,OFFSET('FPSO1 Base'!M332,-'FPSO1 Otim'!M$3,0))</f>
        <v>345.375</v>
      </c>
      <c r="N335" s="19">
        <f ca="1">IF($A335-N$3&lt;2,0,OFFSET('FPSO1 Base'!N332,-'FPSO1 Otim'!N$3,0))</f>
        <v>12.542683127388942</v>
      </c>
      <c r="O335" s="19">
        <f ca="1">IF($A335-O$3&lt;2,0,OFFSET('FPSO1 Base'!O332,-'FPSO1 Otim'!O$3,0))</f>
        <v>224.35050000000001</v>
      </c>
      <c r="P335" s="19">
        <f ca="1">IF($A335-P$3&lt;2,0,OFFSET('FPSO1 Base'!P332,-'FPSO1 Otim'!P$3,0))</f>
        <v>71.506826623778124</v>
      </c>
      <c r="Q335" s="19">
        <f ca="1">IF($A335-Q$3&lt;2,0,OFFSET('FPSO1 Base'!Q332,-'FPSO1 Otim'!Q$3,0))</f>
        <v>378.024</v>
      </c>
      <c r="R335" s="19">
        <f ca="1">IF($A335-R$3&lt;2,0,OFFSET('FPSO1 Base'!R332,-'FPSO1 Otim'!R$3,0))</f>
        <v>22.261243513080906</v>
      </c>
      <c r="S335" s="19">
        <f ca="1">IF($A335-S$3&lt;2,0,OFFSET('FPSO1 Base'!S332,-'FPSO1 Otim'!S$3,0))</f>
        <v>231.678</v>
      </c>
      <c r="T335" s="19">
        <f ca="1">IF($A335-T$3&lt;2,0,OFFSET('FPSO1 Base'!T332,-'FPSO1 Otim'!T$3,0))</f>
        <v>457.84950000000003</v>
      </c>
      <c r="U335" s="19">
        <f ca="1">IF($A335-U$3&lt;2,0,OFFSET('FPSO1 Base'!U332,-'FPSO1 Otim'!U$3,0))</f>
        <v>515.952</v>
      </c>
      <c r="V335" s="19">
        <f ca="1">IF($A335-V$3&lt;2,0,OFFSET('FPSO1 Base'!V332,-'FPSO1 Otim'!V$3,0))</f>
        <v>473.54999999999995</v>
      </c>
      <c r="W335" s="19">
        <f ca="1">IF($A335-W$3&lt;2,0,OFFSET('FPSO1 Base'!W332,-'FPSO1 Otim'!W$3,0))</f>
        <v>214.554</v>
      </c>
      <c r="X335" s="19">
        <f ca="1">IF($A335-X$3&lt;2,0,OFFSET('FPSO1 Base'!X332,-'FPSO1 Otim'!X$3,0))</f>
        <v>611.80649999999991</v>
      </c>
      <c r="Y335" s="19">
        <f ca="1">IF($A335-Y$3&lt;2,0,OFFSET('FPSO1 Base'!Y332,-'FPSO1 Otim'!Y$3,0))</f>
        <v>401.08050000000003</v>
      </c>
      <c r="Z335" s="19">
        <f ca="1">IF($A335-Z$3&lt;2,0,OFFSET('FPSO1 Base'!Z332,-'FPSO1 Otim'!Z$3,0))</f>
        <v>298.185</v>
      </c>
      <c r="AA335" s="20">
        <v>15000</v>
      </c>
      <c r="AB335" s="19">
        <f t="shared" ca="1" si="19"/>
        <v>7178.1702532642485</v>
      </c>
      <c r="AC335" s="20">
        <f t="shared" ca="1" si="20"/>
        <v>7821.8297467357515</v>
      </c>
      <c r="AD335" s="19">
        <f t="shared" ca="1" si="21"/>
        <v>468.0118724844026</v>
      </c>
    </row>
    <row r="336" spans="1:30" x14ac:dyDescent="0.25">
      <c r="A336" s="19">
        <v>332</v>
      </c>
      <c r="B336" s="31">
        <v>55701</v>
      </c>
      <c r="C336" s="19">
        <f ca="1">IF($A336-C$3&lt;2,0,OFFSET('FPSO1 Base'!C333,-'FPSO1 Otim'!C$3,0))</f>
        <v>493.32149999999996</v>
      </c>
      <c r="D336" s="19">
        <f ca="1">IF($A336-D$3&lt;2,0,OFFSET('FPSO1 Base'!D333,-'FPSO1 Otim'!D$3,0))</f>
        <v>87.085499999999996</v>
      </c>
      <c r="E336" s="19">
        <f ca="1">IF($A336-E$3&lt;2,0,OFFSET('FPSO1 Base'!E333,-'FPSO1 Otim'!E$3,0))</f>
        <v>279.702</v>
      </c>
      <c r="F336" s="19">
        <f ca="1">IF($A336-F$3&lt;2,0,OFFSET('FPSO1 Base'!F333,-'FPSO1 Otim'!F$3,0))</f>
        <v>330.91949999999997</v>
      </c>
      <c r="G336" s="19">
        <f ca="1">IF($A336-G$3&lt;2,0,OFFSET('FPSO1 Base'!G333,-'FPSO1 Otim'!G$3,0))</f>
        <v>117.76050000000001</v>
      </c>
      <c r="H336" s="19">
        <f ca="1">IF($A336-H$3&lt;2,0,OFFSET('FPSO1 Base'!H333,-'FPSO1 Otim'!H$3,0))</f>
        <v>543.57449999999994</v>
      </c>
      <c r="I336" s="19">
        <f ca="1">IF($A336-I$3&lt;2,0,OFFSET('FPSO1 Base'!I333,-'FPSO1 Otim'!I$3,0))</f>
        <v>387.55050000000006</v>
      </c>
      <c r="J336" s="19">
        <f ca="1">IF($A336-J$3&lt;2,0,OFFSET('FPSO1 Base'!J333,-'FPSO1 Otim'!J$3,0))</f>
        <v>216.375</v>
      </c>
      <c r="K336" s="19">
        <f ca="1">IF($A336-K$3&lt;2,0,OFFSET('FPSO1 Base'!K333,-'FPSO1 Otim'!K$3,0))</f>
        <v>209.93700000000001</v>
      </c>
      <c r="L336" s="19">
        <f ca="1">IF($A336-L$3&lt;2,0,OFFSET('FPSO1 Base'!L333,-'FPSO1 Otim'!L$3,0))</f>
        <v>245.22450000000001</v>
      </c>
      <c r="M336" s="19">
        <f ca="1">IF($A336-M$3&lt;2,0,OFFSET('FPSO1 Base'!M333,-'FPSO1 Otim'!M$3,0))</f>
        <v>344.87850000000003</v>
      </c>
      <c r="N336" s="19">
        <f ca="1">IF($A336-N$3&lt;2,0,OFFSET('FPSO1 Base'!N333,-'FPSO1 Otim'!N$3,0))</f>
        <v>12.417256296115053</v>
      </c>
      <c r="O336" s="19">
        <f ca="1">IF($A336-O$3&lt;2,0,OFFSET('FPSO1 Base'!O333,-'FPSO1 Otim'!O$3,0))</f>
        <v>223.548</v>
      </c>
      <c r="P336" s="19">
        <f ca="1">IF($A336-P$3&lt;2,0,OFFSET('FPSO1 Base'!P333,-'FPSO1 Otim'!P$3,0))</f>
        <v>70.791758357540346</v>
      </c>
      <c r="Q336" s="19">
        <f ca="1">IF($A336-Q$3&lt;2,0,OFFSET('FPSO1 Base'!Q333,-'FPSO1 Otim'!Q$3,0))</f>
        <v>377.50049999999999</v>
      </c>
      <c r="R336" s="19">
        <f ca="1">IF($A336-R$3&lt;2,0,OFFSET('FPSO1 Base'!R333,-'FPSO1 Otim'!R$3,0))</f>
        <v>22.038631077950097</v>
      </c>
      <c r="S336" s="19">
        <f ca="1">IF($A336-S$3&lt;2,0,OFFSET('FPSO1 Base'!S333,-'FPSO1 Otim'!S$3,0))</f>
        <v>231.1755</v>
      </c>
      <c r="T336" s="19">
        <f ca="1">IF($A336-T$3&lt;2,0,OFFSET('FPSO1 Base'!T333,-'FPSO1 Otim'!T$3,0))</f>
        <v>456.048</v>
      </c>
      <c r="U336" s="19">
        <f ca="1">IF($A336-U$3&lt;2,0,OFFSET('FPSO1 Base'!U333,-'FPSO1 Otim'!U$3,0))</f>
        <v>515.07449999999994</v>
      </c>
      <c r="V336" s="19">
        <f ca="1">IF($A336-V$3&lt;2,0,OFFSET('FPSO1 Base'!V333,-'FPSO1 Otim'!V$3,0))</f>
        <v>472.69350000000003</v>
      </c>
      <c r="W336" s="19">
        <f ca="1">IF($A336-W$3&lt;2,0,OFFSET('FPSO1 Base'!W333,-'FPSO1 Otim'!W$3,0))</f>
        <v>214.23450000000003</v>
      </c>
      <c r="X336" s="19">
        <f ca="1">IF($A336-X$3&lt;2,0,OFFSET('FPSO1 Base'!X333,-'FPSO1 Otim'!X$3,0))</f>
        <v>609.75</v>
      </c>
      <c r="Y336" s="19">
        <f ca="1">IF($A336-Y$3&lt;2,0,OFFSET('FPSO1 Base'!Y333,-'FPSO1 Otim'!Y$3,0))</f>
        <v>400.36649999999997</v>
      </c>
      <c r="Z336" s="19">
        <f ca="1">IF($A336-Z$3&lt;2,0,OFFSET('FPSO1 Base'!Z333,-'FPSO1 Otim'!Z$3,0))</f>
        <v>296.54999999999995</v>
      </c>
      <c r="AA336" s="20">
        <v>15000</v>
      </c>
      <c r="AB336" s="19">
        <f t="shared" ca="1" si="19"/>
        <v>7158.5176457316056</v>
      </c>
      <c r="AC336" s="20">
        <f t="shared" ca="1" si="20"/>
        <v>7841.4823542683944</v>
      </c>
      <c r="AD336" s="19">
        <f t="shared" ca="1" si="21"/>
        <v>462.87325853711786</v>
      </c>
    </row>
    <row r="337" spans="1:30" x14ac:dyDescent="0.25">
      <c r="A337" s="19">
        <v>333</v>
      </c>
      <c r="B337" s="31">
        <v>55732</v>
      </c>
      <c r="C337" s="19">
        <f ca="1">IF($A337-C$3&lt;2,0,OFFSET('FPSO1 Base'!C334,-'FPSO1 Otim'!C$3,0))</f>
        <v>491.62049999999999</v>
      </c>
      <c r="D337" s="19">
        <f ca="1">IF($A337-D$3&lt;2,0,OFFSET('FPSO1 Base'!D334,-'FPSO1 Otim'!D$3,0))</f>
        <v>86.697000000000003</v>
      </c>
      <c r="E337" s="19">
        <f ca="1">IF($A337-E$3&lt;2,0,OFFSET('FPSO1 Base'!E334,-'FPSO1 Otim'!E$3,0))</f>
        <v>277.91250000000002</v>
      </c>
      <c r="F337" s="19">
        <f ca="1">IF($A337-F$3&lt;2,0,OFFSET('FPSO1 Base'!F334,-'FPSO1 Otim'!F$3,0))</f>
        <v>329.67449999999997</v>
      </c>
      <c r="G337" s="19">
        <f ca="1">IF($A337-G$3&lt;2,0,OFFSET('FPSO1 Base'!G334,-'FPSO1 Otim'!G$3,0))</f>
        <v>117.102</v>
      </c>
      <c r="H337" s="19">
        <f ca="1">IF($A337-H$3&lt;2,0,OFFSET('FPSO1 Base'!H334,-'FPSO1 Otim'!H$3,0))</f>
        <v>543.23700000000008</v>
      </c>
      <c r="I337" s="19">
        <f ca="1">IF($A337-I$3&lt;2,0,OFFSET('FPSO1 Base'!I334,-'FPSO1 Otim'!I$3,0))</f>
        <v>387.024</v>
      </c>
      <c r="J337" s="19">
        <f ca="1">IF($A337-J$3&lt;2,0,OFFSET('FPSO1 Base'!J334,-'FPSO1 Otim'!J$3,0))</f>
        <v>215.976</v>
      </c>
      <c r="K337" s="19">
        <f ca="1">IF($A337-K$3&lt;2,0,OFFSET('FPSO1 Base'!K334,-'FPSO1 Otim'!K$3,0))</f>
        <v>209.274</v>
      </c>
      <c r="L337" s="19">
        <f ca="1">IF($A337-L$3&lt;2,0,OFFSET('FPSO1 Base'!L334,-'FPSO1 Otim'!L$3,0))</f>
        <v>244.68150000000003</v>
      </c>
      <c r="M337" s="19">
        <f ca="1">IF($A337-M$3&lt;2,0,OFFSET('FPSO1 Base'!M334,-'FPSO1 Otim'!M$3,0))</f>
        <v>344.4</v>
      </c>
      <c r="N337" s="19">
        <f ca="1">IF($A337-N$3&lt;2,0,OFFSET('FPSO1 Base'!N334,-'FPSO1 Otim'!N$3,0))</f>
        <v>12.293083733153901</v>
      </c>
      <c r="O337" s="19">
        <f ca="1">IF($A337-O$3&lt;2,0,OFFSET('FPSO1 Base'!O334,-'FPSO1 Otim'!O$3,0))</f>
        <v>222.70050000000003</v>
      </c>
      <c r="P337" s="19">
        <f ca="1">IF($A337-P$3&lt;2,0,OFFSET('FPSO1 Base'!P334,-'FPSO1 Otim'!P$3,0))</f>
        <v>70.083840773964937</v>
      </c>
      <c r="Q337" s="19">
        <f ca="1">IF($A337-Q$3&lt;2,0,OFFSET('FPSO1 Base'!Q334,-'FPSO1 Otim'!Q$3,0))</f>
        <v>377.03249999999997</v>
      </c>
      <c r="R337" s="19">
        <f ca="1">IF($A337-R$3&lt;2,0,OFFSET('FPSO1 Base'!R334,-'FPSO1 Otim'!R$3,0))</f>
        <v>21.818244767170597</v>
      </c>
      <c r="S337" s="19">
        <f ca="1">IF($A337-S$3&lt;2,0,OFFSET('FPSO1 Base'!S334,-'FPSO1 Otim'!S$3,0))</f>
        <v>230.541</v>
      </c>
      <c r="T337" s="19">
        <f ca="1">IF($A337-T$3&lt;2,0,OFFSET('FPSO1 Base'!T334,-'FPSO1 Otim'!T$3,0))</f>
        <v>454.07549999999998</v>
      </c>
      <c r="U337" s="19">
        <f ca="1">IF($A337-U$3&lt;2,0,OFFSET('FPSO1 Base'!U334,-'FPSO1 Otim'!U$3,0))</f>
        <v>514.25850000000003</v>
      </c>
      <c r="V337" s="19">
        <f ca="1">IF($A337-V$3&lt;2,0,OFFSET('FPSO1 Base'!V334,-'FPSO1 Otim'!V$3,0))</f>
        <v>471.70049999999998</v>
      </c>
      <c r="W337" s="19">
        <f ca="1">IF($A337-W$3&lt;2,0,OFFSET('FPSO1 Base'!W334,-'FPSO1 Otim'!W$3,0))</f>
        <v>213.87450000000001</v>
      </c>
      <c r="X337" s="19">
        <f ca="1">IF($A337-X$3&lt;2,0,OFFSET('FPSO1 Base'!X334,-'FPSO1 Otim'!X$3,0))</f>
        <v>608.322</v>
      </c>
      <c r="Y337" s="19">
        <f ca="1">IF($A337-Y$3&lt;2,0,OFFSET('FPSO1 Base'!Y334,-'FPSO1 Otim'!Y$3,0))</f>
        <v>399.68999999999994</v>
      </c>
      <c r="Z337" s="19">
        <f ca="1">IF($A337-Z$3&lt;2,0,OFFSET('FPSO1 Base'!Z334,-'FPSO1 Otim'!Z$3,0))</f>
        <v>295.077</v>
      </c>
      <c r="AA337" s="20">
        <v>15000</v>
      </c>
      <c r="AB337" s="19">
        <f t="shared" ca="1" si="19"/>
        <v>7139.0661692742888</v>
      </c>
      <c r="AC337" s="20">
        <f t="shared" ca="1" si="20"/>
        <v>7860.9338307257112</v>
      </c>
      <c r="AD337" s="19">
        <f t="shared" ca="1" si="21"/>
        <v>457.80051226954907</v>
      </c>
    </row>
    <row r="338" spans="1:30" x14ac:dyDescent="0.25">
      <c r="A338" s="19">
        <v>334</v>
      </c>
      <c r="B338" s="31">
        <v>55763</v>
      </c>
      <c r="C338" s="19">
        <f ca="1">IF($A338-C$3&lt;2,0,OFFSET('FPSO1 Base'!C335,-'FPSO1 Otim'!C$3,0))</f>
        <v>489.99</v>
      </c>
      <c r="D338" s="19">
        <f ca="1">IF($A338-D$3&lt;2,0,OFFSET('FPSO1 Base'!D335,-'FPSO1 Otim'!D$3,0))</f>
        <v>86.306999999999988</v>
      </c>
      <c r="E338" s="19">
        <f ca="1">IF($A338-E$3&lt;2,0,OFFSET('FPSO1 Base'!E335,-'FPSO1 Otim'!E$3,0))</f>
        <v>276.18150000000003</v>
      </c>
      <c r="F338" s="19">
        <f ca="1">IF($A338-F$3&lt;2,0,OFFSET('FPSO1 Base'!F335,-'FPSO1 Otim'!F$3,0))</f>
        <v>328.476</v>
      </c>
      <c r="G338" s="19">
        <f ca="1">IF($A338-G$3&lt;2,0,OFFSET('FPSO1 Base'!G335,-'FPSO1 Otim'!G$3,0))</f>
        <v>116.50200000000001</v>
      </c>
      <c r="H338" s="19">
        <f ca="1">IF($A338-H$3&lt;2,0,OFFSET('FPSO1 Base'!H335,-'FPSO1 Otim'!H$3,0))</f>
        <v>542.89049999999997</v>
      </c>
      <c r="I338" s="19">
        <f ca="1">IF($A338-I$3&lt;2,0,OFFSET('FPSO1 Base'!I335,-'FPSO1 Otim'!I$3,0))</f>
        <v>386.42550000000006</v>
      </c>
      <c r="J338" s="19">
        <f ca="1">IF($A338-J$3&lt;2,0,OFFSET('FPSO1 Base'!J335,-'FPSO1 Otim'!J$3,0))</f>
        <v>215.52449999999999</v>
      </c>
      <c r="K338" s="19">
        <f ca="1">IF($A338-K$3&lt;2,0,OFFSET('FPSO1 Base'!K335,-'FPSO1 Otim'!K$3,0))</f>
        <v>208.56299999999999</v>
      </c>
      <c r="L338" s="19">
        <f ca="1">IF($A338-L$3&lt;2,0,OFFSET('FPSO1 Base'!L335,-'FPSO1 Otim'!L$3,0))</f>
        <v>244.125</v>
      </c>
      <c r="M338" s="19">
        <f ca="1">IF($A338-M$3&lt;2,0,OFFSET('FPSO1 Base'!M335,-'FPSO1 Otim'!M$3,0))</f>
        <v>343.911</v>
      </c>
      <c r="N338" s="19">
        <f ca="1">IF($A338-N$3&lt;2,0,OFFSET('FPSO1 Base'!N335,-'FPSO1 Otim'!N$3,0))</f>
        <v>12.170152895822362</v>
      </c>
      <c r="O338" s="19">
        <f ca="1">IF($A338-O$3&lt;2,0,OFFSET('FPSO1 Base'!O335,-'FPSO1 Otim'!O$3,0))</f>
        <v>221.9025</v>
      </c>
      <c r="P338" s="19">
        <f ca="1">IF($A338-P$3&lt;2,0,OFFSET('FPSO1 Base'!P335,-'FPSO1 Otim'!P$3,0))</f>
        <v>69.383002366225284</v>
      </c>
      <c r="Q338" s="19">
        <f ca="1">IF($A338-Q$3&lt;2,0,OFFSET('FPSO1 Base'!Q335,-'FPSO1 Otim'!Q$3,0))</f>
        <v>376.572</v>
      </c>
      <c r="R338" s="19">
        <f ca="1">IF($A338-R$3&lt;2,0,OFFSET('FPSO1 Base'!R335,-'FPSO1 Otim'!R$3,0))</f>
        <v>21.600062319498893</v>
      </c>
      <c r="S338" s="19">
        <f ca="1">IF($A338-S$3&lt;2,0,OFFSET('FPSO1 Base'!S335,-'FPSO1 Otim'!S$3,0))</f>
        <v>230.0805</v>
      </c>
      <c r="T338" s="19">
        <f ca="1">IF($A338-T$3&lt;2,0,OFFSET('FPSO1 Base'!T335,-'FPSO1 Otim'!T$3,0))</f>
        <v>452.15250000000003</v>
      </c>
      <c r="U338" s="19">
        <f ca="1">IF($A338-U$3&lt;2,0,OFFSET('FPSO1 Base'!U335,-'FPSO1 Otim'!U$3,0))</f>
        <v>513.48450000000003</v>
      </c>
      <c r="V338" s="19">
        <f ca="1">IF($A338-V$3&lt;2,0,OFFSET('FPSO1 Base'!V335,-'FPSO1 Otim'!V$3,0))</f>
        <v>470.80649999999997</v>
      </c>
      <c r="W338" s="19">
        <f ca="1">IF($A338-W$3&lt;2,0,OFFSET('FPSO1 Base'!W335,-'FPSO1 Otim'!W$3,0))</f>
        <v>213.55650000000003</v>
      </c>
      <c r="X338" s="19">
        <f ca="1">IF($A338-X$3&lt;2,0,OFFSET('FPSO1 Base'!X335,-'FPSO1 Otim'!X$3,0))</f>
        <v>607.20899999999995</v>
      </c>
      <c r="Y338" s="19">
        <f ca="1">IF($A338-Y$3&lt;2,0,OFFSET('FPSO1 Base'!Y335,-'FPSO1 Otim'!Y$3,0))</f>
        <v>398.8125</v>
      </c>
      <c r="Z338" s="19">
        <f ca="1">IF($A338-Z$3&lt;2,0,OFFSET('FPSO1 Base'!Z335,-'FPSO1 Otim'!Z$3,0))</f>
        <v>293.35050000000001</v>
      </c>
      <c r="AA338" s="20">
        <v>15000</v>
      </c>
      <c r="AB338" s="19">
        <f t="shared" ca="1" si="19"/>
        <v>7119.9762175815467</v>
      </c>
      <c r="AC338" s="20">
        <f t="shared" ca="1" si="20"/>
        <v>7880.0237824184533</v>
      </c>
      <c r="AD338" s="19">
        <f t="shared" ca="1" si="21"/>
        <v>452.8029897601557</v>
      </c>
    </row>
    <row r="339" spans="1:30" x14ac:dyDescent="0.25">
      <c r="A339" s="19">
        <v>335</v>
      </c>
      <c r="B339" s="31">
        <v>55793</v>
      </c>
      <c r="C339" s="19">
        <f ca="1">IF($A339-C$3&lt;2,0,OFFSET('FPSO1 Base'!C336,-'FPSO1 Otim'!C$3,0))</f>
        <v>488.40750000000003</v>
      </c>
      <c r="D339" s="19">
        <f ca="1">IF($A339-D$3&lt;2,0,OFFSET('FPSO1 Base'!D336,-'FPSO1 Otim'!D$3,0))</f>
        <v>85.945499999999996</v>
      </c>
      <c r="E339" s="19">
        <f ca="1">IF($A339-E$3&lt;2,0,OFFSET('FPSO1 Base'!E336,-'FPSO1 Otim'!E$3,0))</f>
        <v>274.56</v>
      </c>
      <c r="F339" s="19">
        <f ca="1">IF($A339-F$3&lt;2,0,OFFSET('FPSO1 Base'!F336,-'FPSO1 Otim'!F$3,0))</f>
        <v>327.339</v>
      </c>
      <c r="G339" s="19">
        <f ca="1">IF($A339-G$3&lt;2,0,OFFSET('FPSO1 Base'!G336,-'FPSO1 Otim'!G$3,0))</f>
        <v>115.941</v>
      </c>
      <c r="H339" s="19">
        <f ca="1">IF($A339-H$3&lt;2,0,OFFSET('FPSO1 Base'!H336,-'FPSO1 Otim'!H$3,0))</f>
        <v>542.53499999999997</v>
      </c>
      <c r="I339" s="19">
        <f ca="1">IF($A339-I$3&lt;2,0,OFFSET('FPSO1 Base'!I336,-'FPSO1 Otim'!I$3,0))</f>
        <v>385.88699999999994</v>
      </c>
      <c r="J339" s="19">
        <f ca="1">IF($A339-J$3&lt;2,0,OFFSET('FPSO1 Base'!J336,-'FPSO1 Otim'!J$3,0))</f>
        <v>215.10449999999997</v>
      </c>
      <c r="K339" s="19">
        <f ca="1">IF($A339-K$3&lt;2,0,OFFSET('FPSO1 Base'!K336,-'FPSO1 Otim'!K$3,0))</f>
        <v>207.8835</v>
      </c>
      <c r="L339" s="19">
        <f ca="1">IF($A339-L$3&lt;2,0,OFFSET('FPSO1 Base'!L336,-'FPSO1 Otim'!L$3,0))</f>
        <v>243.60449999999997</v>
      </c>
      <c r="M339" s="19">
        <f ca="1">IF($A339-M$3&lt;2,0,OFFSET('FPSO1 Base'!M336,-'FPSO1 Otim'!M$3,0))</f>
        <v>343.452</v>
      </c>
      <c r="N339" s="19">
        <f ca="1">IF($A339-N$3&lt;2,0,OFFSET('FPSO1 Base'!N336,-'FPSO1 Otim'!N$3,0))</f>
        <v>12.048451366864137</v>
      </c>
      <c r="O339" s="19">
        <f ca="1">IF($A339-O$3&lt;2,0,OFFSET('FPSO1 Base'!O336,-'FPSO1 Otim'!O$3,0))</f>
        <v>221.10449999999997</v>
      </c>
      <c r="P339" s="19">
        <f ca="1">IF($A339-P$3&lt;2,0,OFFSET('FPSO1 Base'!P336,-'FPSO1 Otim'!P$3,0))</f>
        <v>68.689172342563026</v>
      </c>
      <c r="Q339" s="19">
        <f ca="1">IF($A339-Q$3&lt;2,0,OFFSET('FPSO1 Base'!Q336,-'FPSO1 Otim'!Q$3,0))</f>
        <v>375.99149999999997</v>
      </c>
      <c r="R339" s="19">
        <f ca="1">IF($A339-R$3&lt;2,0,OFFSET('FPSO1 Base'!R336,-'FPSO1 Otim'!R$3,0))</f>
        <v>21.384061696303903</v>
      </c>
      <c r="S339" s="19">
        <f ca="1">IF($A339-S$3&lt;2,0,OFFSET('FPSO1 Base'!S336,-'FPSO1 Otim'!S$3,0))</f>
        <v>229.65450000000001</v>
      </c>
      <c r="T339" s="19">
        <f ca="1">IF($A339-T$3&lt;2,0,OFFSET('FPSO1 Base'!T336,-'FPSO1 Otim'!T$3,0))</f>
        <v>450.31499999999994</v>
      </c>
      <c r="U339" s="19">
        <f ca="1">IF($A339-U$3&lt;2,0,OFFSET('FPSO1 Base'!U336,-'FPSO1 Otim'!U$3,0))</f>
        <v>512.61149999999998</v>
      </c>
      <c r="V339" s="19">
        <f ca="1">IF($A339-V$3&lt;2,0,OFFSET('FPSO1 Base'!V336,-'FPSO1 Otim'!V$3,0))</f>
        <v>469.93500000000006</v>
      </c>
      <c r="W339" s="19">
        <f ca="1">IF($A339-W$3&lt;2,0,OFFSET('FPSO1 Base'!W336,-'FPSO1 Otim'!W$3,0))</f>
        <v>213.1995</v>
      </c>
      <c r="X339" s="19">
        <f ca="1">IF($A339-X$3&lt;2,0,OFFSET('FPSO1 Base'!X336,-'FPSO1 Otim'!X$3,0))</f>
        <v>606.10050000000001</v>
      </c>
      <c r="Y339" s="19">
        <f ca="1">IF($A339-Y$3&lt;2,0,OFFSET('FPSO1 Base'!Y336,-'FPSO1 Otim'!Y$3,0))</f>
        <v>397.97249999999997</v>
      </c>
      <c r="Z339" s="19">
        <f ca="1">IF($A339-Z$3&lt;2,0,OFFSET('FPSO1 Base'!Z336,-'FPSO1 Otim'!Z$3,0))</f>
        <v>291.702</v>
      </c>
      <c r="AA339" s="20">
        <v>15000</v>
      </c>
      <c r="AB339" s="19">
        <f t="shared" ca="1" si="19"/>
        <v>7101.3676854057312</v>
      </c>
      <c r="AC339" s="20">
        <f t="shared" ca="1" si="20"/>
        <v>7898.6323145942688</v>
      </c>
      <c r="AD339" s="19">
        <f t="shared" ca="1" si="21"/>
        <v>447.88716593135939</v>
      </c>
    </row>
    <row r="340" spans="1:30" x14ac:dyDescent="0.25">
      <c r="A340" s="19">
        <v>336</v>
      </c>
      <c r="B340" s="31">
        <v>55824</v>
      </c>
      <c r="C340" s="19">
        <f ca="1">IF($A340-C$3&lt;2,0,OFFSET('FPSO1 Base'!C337,-'FPSO1 Otim'!C$3,0))</f>
        <v>486.76800000000003</v>
      </c>
      <c r="D340" s="19">
        <f ca="1">IF($A340-D$3&lt;2,0,OFFSET('FPSO1 Base'!D337,-'FPSO1 Otim'!D$3,0))</f>
        <v>85.551000000000002</v>
      </c>
      <c r="E340" s="19">
        <f ca="1">IF($A340-E$3&lt;2,0,OFFSET('FPSO1 Base'!E337,-'FPSO1 Otim'!E$3,0))</f>
        <v>272.625</v>
      </c>
      <c r="F340" s="19">
        <f ca="1">IF($A340-F$3&lt;2,0,OFFSET('FPSO1 Base'!F337,-'FPSO1 Otim'!F$3,0))</f>
        <v>326.12549999999999</v>
      </c>
      <c r="G340" s="19">
        <f ca="1">IF($A340-G$3&lt;2,0,OFFSET('FPSO1 Base'!G337,-'FPSO1 Otim'!G$3,0))</f>
        <v>115.419</v>
      </c>
      <c r="H340" s="19">
        <f ca="1">IF($A340-H$3&lt;2,0,OFFSET('FPSO1 Base'!H337,-'FPSO1 Otim'!H$3,0))</f>
        <v>542.25450000000001</v>
      </c>
      <c r="I340" s="19">
        <f ca="1">IF($A340-I$3&lt;2,0,OFFSET('FPSO1 Base'!I337,-'FPSO1 Otim'!I$3,0))</f>
        <v>385.35450000000003</v>
      </c>
      <c r="J340" s="19">
        <f ca="1">IF($A340-J$3&lt;2,0,OFFSET('FPSO1 Base'!J337,-'FPSO1 Otim'!J$3,0))</f>
        <v>214.64999999999998</v>
      </c>
      <c r="K340" s="19">
        <f ca="1">IF($A340-K$3&lt;2,0,OFFSET('FPSO1 Base'!K337,-'FPSO1 Otim'!K$3,0))</f>
        <v>207.19349999999997</v>
      </c>
      <c r="L340" s="19">
        <f ca="1">IF($A340-L$3&lt;2,0,OFFSET('FPSO1 Base'!L337,-'FPSO1 Otim'!L$3,0))</f>
        <v>243.10950000000003</v>
      </c>
      <c r="M340" s="19">
        <f ca="1">IF($A340-M$3&lt;2,0,OFFSET('FPSO1 Base'!M337,-'FPSO1 Otim'!M$3,0))</f>
        <v>342.9495</v>
      </c>
      <c r="N340" s="19">
        <f ca="1">IF($A340-N$3&lt;2,0,OFFSET('FPSO1 Base'!N337,-'FPSO1 Otim'!N$3,0))</f>
        <v>11.927966853195496</v>
      </c>
      <c r="O340" s="19">
        <f ca="1">IF($A340-O$3&lt;2,0,OFFSET('FPSO1 Base'!O337,-'FPSO1 Otim'!O$3,0))</f>
        <v>220.23149999999998</v>
      </c>
      <c r="P340" s="19">
        <f ca="1">IF($A340-P$3&lt;2,0,OFFSET('FPSO1 Base'!P337,-'FPSO1 Otim'!P$3,0))</f>
        <v>68.002280619137395</v>
      </c>
      <c r="Q340" s="19">
        <f ca="1">IF($A340-Q$3&lt;2,0,OFFSET('FPSO1 Base'!Q337,-'FPSO1 Otim'!Q$3,0))</f>
        <v>375.53249999999997</v>
      </c>
      <c r="R340" s="19">
        <f ca="1">IF($A340-R$3&lt;2,0,OFFSET('FPSO1 Base'!R337,-'FPSO1 Otim'!R$3,0))</f>
        <v>21.170221079340863</v>
      </c>
      <c r="S340" s="19">
        <f ca="1">IF($A340-S$3&lt;2,0,OFFSET('FPSO1 Base'!S337,-'FPSO1 Otim'!S$3,0))</f>
        <v>229.28249999999997</v>
      </c>
      <c r="T340" s="19">
        <f ca="1">IF($A340-T$3&lt;2,0,OFFSET('FPSO1 Base'!T337,-'FPSO1 Otim'!T$3,0))</f>
        <v>448.18950000000001</v>
      </c>
      <c r="U340" s="19">
        <f ca="1">IF($A340-U$3&lt;2,0,OFFSET('FPSO1 Base'!U337,-'FPSO1 Otim'!U$3,0))</f>
        <v>511.86300000000006</v>
      </c>
      <c r="V340" s="19">
        <f ca="1">IF($A340-V$3&lt;2,0,OFFSET('FPSO1 Base'!V337,-'FPSO1 Otim'!V$3,0))</f>
        <v>468.94949999999994</v>
      </c>
      <c r="W340" s="19">
        <f ca="1">IF($A340-W$3&lt;2,0,OFFSET('FPSO1 Base'!W337,-'FPSO1 Otim'!W$3,0))</f>
        <v>212.87850000000003</v>
      </c>
      <c r="X340" s="19">
        <f ca="1">IF($A340-X$3&lt;2,0,OFFSET('FPSO1 Base'!X337,-'FPSO1 Otim'!X$3,0))</f>
        <v>604.98450000000003</v>
      </c>
      <c r="Y340" s="19">
        <f ca="1">IF($A340-Y$3&lt;2,0,OFFSET('FPSO1 Base'!Y337,-'FPSO1 Otim'!Y$3,0))</f>
        <v>397.03800000000001</v>
      </c>
      <c r="Z340" s="19">
        <f ca="1">IF($A340-Z$3&lt;2,0,OFFSET('FPSO1 Base'!Z337,-'FPSO1 Otim'!Z$3,0))</f>
        <v>290.08050000000003</v>
      </c>
      <c r="AA340" s="20">
        <v>15000</v>
      </c>
      <c r="AB340" s="19">
        <f t="shared" ca="1" si="19"/>
        <v>7082.1304685516752</v>
      </c>
      <c r="AC340" s="20">
        <f t="shared" ca="1" si="20"/>
        <v>7917.8695314483248</v>
      </c>
      <c r="AD340" s="19">
        <f t="shared" ca="1" si="21"/>
        <v>442.9823445453211</v>
      </c>
    </row>
    <row r="341" spans="1:30" x14ac:dyDescent="0.25">
      <c r="A341" s="19">
        <v>337</v>
      </c>
      <c r="B341" s="31">
        <v>55854</v>
      </c>
      <c r="C341" s="19">
        <f ca="1">IF($A341-C$3&lt;2,0,OFFSET('FPSO1 Base'!C338,-'FPSO1 Otim'!C$3,0))</f>
        <v>485.19450000000006</v>
      </c>
      <c r="D341" s="19">
        <f ca="1">IF($A341-D$3&lt;2,0,OFFSET('FPSO1 Base'!D338,-'FPSO1 Otim'!D$3,0))</f>
        <v>85.180499999999995</v>
      </c>
      <c r="E341" s="19">
        <f ca="1">IF($A341-E$3&lt;2,0,OFFSET('FPSO1 Base'!E338,-'FPSO1 Otim'!E$3,0))</f>
        <v>271.053</v>
      </c>
      <c r="F341" s="19">
        <f ca="1">IF($A341-F$3&lt;2,0,OFFSET('FPSO1 Base'!F338,-'FPSO1 Otim'!F$3,0))</f>
        <v>325.01549999999997</v>
      </c>
      <c r="G341" s="19">
        <f ca="1">IF($A341-G$3&lt;2,0,OFFSET('FPSO1 Base'!G338,-'FPSO1 Otim'!G$3,0))</f>
        <v>115.185</v>
      </c>
      <c r="H341" s="19">
        <f ca="1">IF($A341-H$3&lt;2,0,OFFSET('FPSO1 Base'!H338,-'FPSO1 Otim'!H$3,0))</f>
        <v>541.94550000000004</v>
      </c>
      <c r="I341" s="19">
        <f ca="1">IF($A341-I$3&lt;2,0,OFFSET('FPSO1 Base'!I338,-'FPSO1 Otim'!I$3,0))</f>
        <v>384.77549999999997</v>
      </c>
      <c r="J341" s="19">
        <f ca="1">IF($A341-J$3&lt;2,0,OFFSET('FPSO1 Base'!J338,-'FPSO1 Otim'!J$3,0))</f>
        <v>214.28249999999997</v>
      </c>
      <c r="K341" s="19">
        <f ca="1">IF($A341-K$3&lt;2,0,OFFSET('FPSO1 Base'!K338,-'FPSO1 Otim'!K$3,0))</f>
        <v>206.48699999999997</v>
      </c>
      <c r="L341" s="19">
        <f ca="1">IF($A341-L$3&lt;2,0,OFFSET('FPSO1 Base'!L338,-'FPSO1 Otim'!L$3,0))</f>
        <v>242.5575</v>
      </c>
      <c r="M341" s="19">
        <f ca="1">IF($A341-M$3&lt;2,0,OFFSET('FPSO1 Base'!M338,-'FPSO1 Otim'!M$3,0))</f>
        <v>342.55650000000003</v>
      </c>
      <c r="N341" s="19">
        <f ca="1">IF($A341-N$3&lt;2,0,OFFSET('FPSO1 Base'!N338,-'FPSO1 Otim'!N$3,0))</f>
        <v>11.80868718466354</v>
      </c>
      <c r="O341" s="19">
        <f ca="1">IF($A341-O$3&lt;2,0,OFFSET('FPSO1 Base'!O338,-'FPSO1 Otim'!O$3,0))</f>
        <v>219.48450000000003</v>
      </c>
      <c r="P341" s="19">
        <f ca="1">IF($A341-P$3&lt;2,0,OFFSET('FPSO1 Base'!P338,-'FPSO1 Otim'!P$3,0))</f>
        <v>67.32225781294602</v>
      </c>
      <c r="Q341" s="19">
        <f ca="1">IF($A341-Q$3&lt;2,0,OFFSET('FPSO1 Base'!Q338,-'FPSO1 Otim'!Q$3,0))</f>
        <v>374.97450000000003</v>
      </c>
      <c r="R341" s="19">
        <f ca="1">IF($A341-R$3&lt;2,0,OFFSET('FPSO1 Base'!R338,-'FPSO1 Otim'!R$3,0))</f>
        <v>20.958518868547454</v>
      </c>
      <c r="S341" s="19">
        <f ca="1">IF($A341-S$3&lt;2,0,OFFSET('FPSO1 Base'!S338,-'FPSO1 Otim'!S$3,0))</f>
        <v>228.89999999999998</v>
      </c>
      <c r="T341" s="19">
        <f ca="1">IF($A341-T$3&lt;2,0,OFFSET('FPSO1 Base'!T338,-'FPSO1 Otim'!T$3,0))</f>
        <v>446.322</v>
      </c>
      <c r="U341" s="19">
        <f ca="1">IF($A341-U$3&lt;2,0,OFFSET('FPSO1 Base'!U338,-'FPSO1 Otim'!U$3,0))</f>
        <v>511.02449999999999</v>
      </c>
      <c r="V341" s="19">
        <f ca="1">IF($A341-V$3&lt;2,0,OFFSET('FPSO1 Base'!V338,-'FPSO1 Otim'!V$3,0))</f>
        <v>468.09749999999997</v>
      </c>
      <c r="W341" s="19">
        <f ca="1">IF($A341-W$3&lt;2,0,OFFSET('FPSO1 Base'!W338,-'FPSO1 Otim'!W$3,0))</f>
        <v>212.51549999999997</v>
      </c>
      <c r="X341" s="19">
        <f ca="1">IF($A341-X$3&lt;2,0,OFFSET('FPSO1 Base'!X338,-'FPSO1 Otim'!X$3,0))</f>
        <v>603.55050000000006</v>
      </c>
      <c r="Y341" s="19">
        <f ca="1">IF($A341-Y$3&lt;2,0,OFFSET('FPSO1 Base'!Y338,-'FPSO1 Otim'!Y$3,0))</f>
        <v>396.16949999999997</v>
      </c>
      <c r="Z341" s="19">
        <f ca="1">IF($A341-Z$3&lt;2,0,OFFSET('FPSO1 Base'!Z338,-'FPSO1 Otim'!Z$3,0))</f>
        <v>288.40049999999997</v>
      </c>
      <c r="AA341" s="20">
        <v>15000</v>
      </c>
      <c r="AB341" s="19">
        <f t="shared" ca="1" si="19"/>
        <v>7063.7614638661571</v>
      </c>
      <c r="AC341" s="20">
        <f t="shared" ca="1" si="20"/>
        <v>7936.2385361338429</v>
      </c>
      <c r="AD341" s="19">
        <f t="shared" ca="1" si="21"/>
        <v>438.18186054903452</v>
      </c>
    </row>
    <row r="342" spans="1:30" x14ac:dyDescent="0.25">
      <c r="A342" s="19">
        <v>338</v>
      </c>
      <c r="B342" s="31">
        <v>55885</v>
      </c>
      <c r="C342" s="19">
        <f ca="1">IF($A342-C$3&lt;2,0,OFFSET('FPSO1 Base'!C339,-'FPSO1 Otim'!C$3,0))</f>
        <v>483.58799999999997</v>
      </c>
      <c r="D342" s="19">
        <f ca="1">IF($A342-D$3&lt;2,0,OFFSET('FPSO1 Base'!D339,-'FPSO1 Otim'!D$3,0))</f>
        <v>84.772500000000008</v>
      </c>
      <c r="E342" s="19">
        <f ca="1">IF($A342-E$3&lt;2,0,OFFSET('FPSO1 Base'!E339,-'FPSO1 Otim'!E$3,0))</f>
        <v>269.238</v>
      </c>
      <c r="F342" s="19">
        <f ca="1">IF($A342-F$3&lt;2,0,OFFSET('FPSO1 Base'!F339,-'FPSO1 Otim'!F$3,0))</f>
        <v>323.8245</v>
      </c>
      <c r="G342" s="19">
        <f ca="1">IF($A342-G$3&lt;2,0,OFFSET('FPSO1 Base'!G339,-'FPSO1 Otim'!G$3,0))</f>
        <v>114.61800000000001</v>
      </c>
      <c r="H342" s="19">
        <f ca="1">IF($A342-H$3&lt;2,0,OFFSET('FPSO1 Base'!H339,-'FPSO1 Otim'!H$3,0))</f>
        <v>541.65000000000009</v>
      </c>
      <c r="I342" s="19">
        <f ca="1">IF($A342-I$3&lt;2,0,OFFSET('FPSO1 Base'!I339,-'FPSO1 Otim'!I$3,0))</f>
        <v>384.24149999999997</v>
      </c>
      <c r="J342" s="19">
        <f ca="1">IF($A342-J$3&lt;2,0,OFFSET('FPSO1 Base'!J339,-'FPSO1 Otim'!J$3,0))</f>
        <v>213.87149999999997</v>
      </c>
      <c r="K342" s="19">
        <f ca="1">IF($A342-K$3&lt;2,0,OFFSET('FPSO1 Base'!K339,-'FPSO1 Otim'!K$3,0))</f>
        <v>205.851</v>
      </c>
      <c r="L342" s="19">
        <f ca="1">IF($A342-L$3&lt;2,0,OFFSET('FPSO1 Base'!L339,-'FPSO1 Otim'!L$3,0))</f>
        <v>242.09250000000003</v>
      </c>
      <c r="M342" s="19">
        <f ca="1">IF($A342-M$3&lt;2,0,OFFSET('FPSO1 Base'!M339,-'FPSO1 Otim'!M$3,0))</f>
        <v>342.04949999999997</v>
      </c>
      <c r="N342" s="19">
        <f ca="1">IF($A342-N$3&lt;2,0,OFFSET('FPSO1 Base'!N339,-'FPSO1 Otim'!N$3,0))</f>
        <v>11.690600312816905</v>
      </c>
      <c r="O342" s="19">
        <f ca="1">IF($A342-O$3&lt;2,0,OFFSET('FPSO1 Base'!O339,-'FPSO1 Otim'!O$3,0))</f>
        <v>218.65049999999999</v>
      </c>
      <c r="P342" s="19">
        <f ca="1">IF($A342-P$3&lt;2,0,OFFSET('FPSO1 Base'!P339,-'FPSO1 Otim'!P$3,0))</f>
        <v>66.649035234816566</v>
      </c>
      <c r="Q342" s="19">
        <f ca="1">IF($A342-Q$3&lt;2,0,OFFSET('FPSO1 Base'!Q339,-'FPSO1 Otim'!Q$3,0))</f>
        <v>374.49149999999997</v>
      </c>
      <c r="R342" s="19">
        <f ca="1">IF($A342-R$3&lt;2,0,OFFSET('FPSO1 Base'!R339,-'FPSO1 Otim'!R$3,0))</f>
        <v>20.748933679861981</v>
      </c>
      <c r="S342" s="19">
        <f ca="1">IF($A342-S$3&lt;2,0,OFFSET('FPSO1 Base'!S339,-'FPSO1 Otim'!S$3,0))</f>
        <v>228.55650000000003</v>
      </c>
      <c r="T342" s="19">
        <f ca="1">IF($A342-T$3&lt;2,0,OFFSET('FPSO1 Base'!T339,-'FPSO1 Otim'!T$3,0))</f>
        <v>444.27449999999999</v>
      </c>
      <c r="U342" s="19">
        <f ca="1">IF($A342-U$3&lt;2,0,OFFSET('FPSO1 Base'!U339,-'FPSO1 Otim'!U$3,0))</f>
        <v>510.26550000000003</v>
      </c>
      <c r="V342" s="19">
        <f ca="1">IF($A342-V$3&lt;2,0,OFFSET('FPSO1 Base'!V339,-'FPSO1 Otim'!V$3,0))</f>
        <v>467.14949999999999</v>
      </c>
      <c r="W342" s="19">
        <f ca="1">IF($A342-W$3&lt;2,0,OFFSET('FPSO1 Base'!W339,-'FPSO1 Otim'!W$3,0))</f>
        <v>212.20050000000003</v>
      </c>
      <c r="X342" s="19">
        <f ca="1">IF($A342-X$3&lt;2,0,OFFSET('FPSO1 Base'!X339,-'FPSO1 Otim'!X$3,0))</f>
        <v>602.08050000000003</v>
      </c>
      <c r="Y342" s="19">
        <f ca="1">IF($A342-Y$3&lt;2,0,OFFSET('FPSO1 Base'!Y339,-'FPSO1 Otim'!Y$3,0))</f>
        <v>395.322</v>
      </c>
      <c r="Z342" s="19">
        <f ca="1">IF($A342-Z$3&lt;2,0,OFFSET('FPSO1 Base'!Z339,-'FPSO1 Otim'!Z$3,0))</f>
        <v>286.863</v>
      </c>
      <c r="AA342" s="20">
        <v>15000</v>
      </c>
      <c r="AB342" s="19">
        <f t="shared" ca="1" si="19"/>
        <v>7044.7395692274968</v>
      </c>
      <c r="AC342" s="20">
        <f t="shared" ca="1" si="20"/>
        <v>7955.2604307725032</v>
      </c>
      <c r="AD342" s="19">
        <f t="shared" ca="1" si="21"/>
        <v>433.39030150803524</v>
      </c>
    </row>
    <row r="343" spans="1:30" x14ac:dyDescent="0.25">
      <c r="A343" s="19">
        <v>339</v>
      </c>
      <c r="B343" s="31">
        <v>55916</v>
      </c>
      <c r="C343" s="19">
        <f ca="1">IF($A343-C$3&lt;2,0,OFFSET('FPSO1 Base'!C340,-'FPSO1 Otim'!C$3,0))</f>
        <v>482.19450000000006</v>
      </c>
      <c r="D343" s="19">
        <f ca="1">IF($A343-D$3&lt;2,0,OFFSET('FPSO1 Base'!D340,-'FPSO1 Otim'!D$3,0))</f>
        <v>84.387</v>
      </c>
      <c r="E343" s="19">
        <f ca="1">IF($A343-E$3&lt;2,0,OFFSET('FPSO1 Base'!E340,-'FPSO1 Otim'!E$3,0))</f>
        <v>267.52050000000003</v>
      </c>
      <c r="F343" s="19">
        <f ca="1">IF($A343-F$3&lt;2,0,OFFSET('FPSO1 Base'!F340,-'FPSO1 Otim'!F$3,0))</f>
        <v>322.74149999999997</v>
      </c>
      <c r="G343" s="19">
        <f ca="1">IF($A343-G$3&lt;2,0,OFFSET('FPSO1 Base'!G340,-'FPSO1 Otim'!G$3,0))</f>
        <v>114.71249999999999</v>
      </c>
      <c r="H343" s="19">
        <f ca="1">IF($A343-H$3&lt;2,0,OFFSET('FPSO1 Base'!H340,-'FPSO1 Otim'!H$3,0))</f>
        <v>541.30649999999991</v>
      </c>
      <c r="I343" s="19">
        <f ca="1">IF($A343-I$3&lt;2,0,OFFSET('FPSO1 Base'!I340,-'FPSO1 Otim'!I$3,0))</f>
        <v>383.72550000000001</v>
      </c>
      <c r="J343" s="19">
        <f ca="1">IF($A343-J$3&lt;2,0,OFFSET('FPSO1 Base'!J340,-'FPSO1 Otim'!J$3,0))</f>
        <v>213.47550000000001</v>
      </c>
      <c r="K343" s="19">
        <f ca="1">IF($A343-K$3&lt;2,0,OFFSET('FPSO1 Base'!K340,-'FPSO1 Otim'!K$3,0))</f>
        <v>205.113</v>
      </c>
      <c r="L343" s="19">
        <f ca="1">IF($A343-L$3&lt;2,0,OFFSET('FPSO1 Base'!L340,-'FPSO1 Otim'!L$3,0))</f>
        <v>241.57500000000002</v>
      </c>
      <c r="M343" s="19">
        <f ca="1">IF($A343-M$3&lt;2,0,OFFSET('FPSO1 Base'!M340,-'FPSO1 Otim'!M$3,0))</f>
        <v>341.637</v>
      </c>
      <c r="N343" s="19">
        <f ca="1">IF($A343-N$3&lt;2,0,OFFSET('FPSO1 Base'!N340,-'FPSO1 Otim'!N$3,0))</f>
        <v>11.573694309688735</v>
      </c>
      <c r="O343" s="19">
        <f ca="1">IF($A343-O$3&lt;2,0,OFFSET('FPSO1 Base'!O340,-'FPSO1 Otim'!O$3,0))</f>
        <v>217.839</v>
      </c>
      <c r="P343" s="19">
        <f ca="1">IF($A343-P$3&lt;2,0,OFFSET('FPSO1 Base'!P340,-'FPSO1 Otim'!P$3,0))</f>
        <v>65.982544882468403</v>
      </c>
      <c r="Q343" s="19">
        <f ca="1">IF($A343-Q$3&lt;2,0,OFFSET('FPSO1 Base'!Q340,-'FPSO1 Otim'!Q$3,0))</f>
        <v>373.875</v>
      </c>
      <c r="R343" s="19">
        <f ca="1">IF($A343-R$3&lt;2,0,OFFSET('FPSO1 Base'!R340,-'FPSO1 Otim'!R$3,0))</f>
        <v>20.541444343063361</v>
      </c>
      <c r="S343" s="19">
        <f ca="1">IF($A343-S$3&lt;2,0,OFFSET('FPSO1 Base'!S340,-'FPSO1 Otim'!S$3,0))</f>
        <v>228.22500000000002</v>
      </c>
      <c r="T343" s="19">
        <f ca="1">IF($A343-T$3&lt;2,0,OFFSET('FPSO1 Base'!T340,-'FPSO1 Otim'!T$3,0))</f>
        <v>442.35450000000003</v>
      </c>
      <c r="U343" s="19">
        <f ca="1">IF($A343-U$3&lt;2,0,OFFSET('FPSO1 Base'!U340,-'FPSO1 Otim'!U$3,0))</f>
        <v>509.42550000000006</v>
      </c>
      <c r="V343" s="19">
        <f ca="1">IF($A343-V$3&lt;2,0,OFFSET('FPSO1 Base'!V340,-'FPSO1 Otim'!V$3,0))</f>
        <v>466.25850000000003</v>
      </c>
      <c r="W343" s="19">
        <f ca="1">IF($A343-W$3&lt;2,0,OFFSET('FPSO1 Base'!W340,-'FPSO1 Otim'!W$3,0))</f>
        <v>211.887</v>
      </c>
      <c r="X343" s="19">
        <f ca="1">IF($A343-X$3&lt;2,0,OFFSET('FPSO1 Base'!X340,-'FPSO1 Otim'!X$3,0))</f>
        <v>600.62850000000003</v>
      </c>
      <c r="Y343" s="19">
        <f ca="1">IF($A343-Y$3&lt;2,0,OFFSET('FPSO1 Base'!Y340,-'FPSO1 Otim'!Y$3,0))</f>
        <v>394.45049999999998</v>
      </c>
      <c r="Z343" s="19">
        <f ca="1">IF($A343-Z$3&lt;2,0,OFFSET('FPSO1 Base'!Z340,-'FPSO1 Otim'!Z$3,0))</f>
        <v>285.1875</v>
      </c>
      <c r="AA343" s="20">
        <v>15000</v>
      </c>
      <c r="AB343" s="19">
        <f t="shared" ca="1" si="19"/>
        <v>7026.6171835352197</v>
      </c>
      <c r="AC343" s="20">
        <f t="shared" ca="1" si="20"/>
        <v>7973.3828164647803</v>
      </c>
      <c r="AD343" s="19">
        <f t="shared" ca="1" si="21"/>
        <v>428.7028935696494</v>
      </c>
    </row>
    <row r="344" spans="1:30" x14ac:dyDescent="0.25">
      <c r="A344" s="19">
        <v>340</v>
      </c>
      <c r="B344" s="31">
        <v>55944</v>
      </c>
      <c r="C344" s="19">
        <f ca="1">IF($A344-C$3&lt;2,0,OFFSET('FPSO1 Base'!C341,-'FPSO1 Otim'!C$3,0))</f>
        <v>480.6585</v>
      </c>
      <c r="D344" s="19">
        <f ca="1">IF($A344-D$3&lt;2,0,OFFSET('FPSO1 Base'!D341,-'FPSO1 Otim'!D$3,0))</f>
        <v>83.980500000000006</v>
      </c>
      <c r="E344" s="19">
        <f ca="1">IF($A344-E$3&lt;2,0,OFFSET('FPSO1 Base'!E341,-'FPSO1 Otim'!E$3,0))</f>
        <v>265.6875</v>
      </c>
      <c r="F344" s="19">
        <f ca="1">IF($A344-F$3&lt;2,0,OFFSET('FPSO1 Base'!F341,-'FPSO1 Otim'!F$3,0))</f>
        <v>321.678</v>
      </c>
      <c r="G344" s="19">
        <f ca="1">IF($A344-G$3&lt;2,0,OFFSET('FPSO1 Base'!G341,-'FPSO1 Otim'!G$3,0))</f>
        <v>114.05100000000002</v>
      </c>
      <c r="H344" s="19">
        <f ca="1">IF($A344-H$3&lt;2,0,OFFSET('FPSO1 Base'!H341,-'FPSO1 Otim'!H$3,0))</f>
        <v>541.03949999999998</v>
      </c>
      <c r="I344" s="19">
        <f ca="1">IF($A344-I$3&lt;2,0,OFFSET('FPSO1 Base'!I341,-'FPSO1 Otim'!I$3,0))</f>
        <v>383.202</v>
      </c>
      <c r="J344" s="19">
        <f ca="1">IF($A344-J$3&lt;2,0,OFFSET('FPSO1 Base'!J341,-'FPSO1 Otim'!J$3,0))</f>
        <v>213.12149999999997</v>
      </c>
      <c r="K344" s="19">
        <f ca="1">IF($A344-K$3&lt;2,0,OFFSET('FPSO1 Base'!K341,-'FPSO1 Otim'!K$3,0))</f>
        <v>204.459</v>
      </c>
      <c r="L344" s="19">
        <f ca="1">IF($A344-L$3&lt;2,0,OFFSET('FPSO1 Base'!L341,-'FPSO1 Otim'!L$3,0))</f>
        <v>241.101</v>
      </c>
      <c r="M344" s="19">
        <f ca="1">IF($A344-M$3&lt;2,0,OFFSET('FPSO1 Base'!M341,-'FPSO1 Otim'!M$3,0))</f>
        <v>341.226</v>
      </c>
      <c r="N344" s="19">
        <f ca="1">IF($A344-N$3&lt;2,0,OFFSET('FPSO1 Base'!N341,-'FPSO1 Otim'!N$3,0))</f>
        <v>11.457957366591847</v>
      </c>
      <c r="O344" s="19">
        <f ca="1">IF($A344-O$3&lt;2,0,OFFSET('FPSO1 Base'!O341,-'FPSO1 Otim'!O$3,0))</f>
        <v>217.02449999999999</v>
      </c>
      <c r="P344" s="19">
        <f ca="1">IF($A344-P$3&lt;2,0,OFFSET('FPSO1 Base'!P341,-'FPSO1 Otim'!P$3,0))</f>
        <v>65.322719433643712</v>
      </c>
      <c r="Q344" s="19">
        <f ca="1">IF($A344-Q$3&lt;2,0,OFFSET('FPSO1 Base'!Q341,-'FPSO1 Otim'!Q$3,0))</f>
        <v>373.33050000000003</v>
      </c>
      <c r="R344" s="19">
        <f ca="1">IF($A344-R$3&lt;2,0,OFFSET('FPSO1 Base'!R341,-'FPSO1 Otim'!R$3,0))</f>
        <v>20.336029899632727</v>
      </c>
      <c r="S344" s="19">
        <f ca="1">IF($A344-S$3&lt;2,0,OFFSET('FPSO1 Base'!S341,-'FPSO1 Otim'!S$3,0))</f>
        <v>229.30650000000003</v>
      </c>
      <c r="T344" s="19">
        <f ca="1">IF($A344-T$3&lt;2,0,OFFSET('FPSO1 Base'!T341,-'FPSO1 Otim'!T$3,0))</f>
        <v>440.20049999999998</v>
      </c>
      <c r="U344" s="19">
        <f ca="1">IF($A344-U$3&lt;2,0,OFFSET('FPSO1 Base'!U341,-'FPSO1 Otim'!U$3,0))</f>
        <v>508.69350000000003</v>
      </c>
      <c r="V344" s="19">
        <f ca="1">IF($A344-V$3&lt;2,0,OFFSET('FPSO1 Base'!V341,-'FPSO1 Otim'!V$3,0))</f>
        <v>465.43500000000006</v>
      </c>
      <c r="W344" s="19">
        <f ca="1">IF($A344-W$3&lt;2,0,OFFSET('FPSO1 Base'!W341,-'FPSO1 Otim'!W$3,0))</f>
        <v>211.52549999999999</v>
      </c>
      <c r="X344" s="19">
        <f ca="1">IF($A344-X$3&lt;2,0,OFFSET('FPSO1 Base'!X341,-'FPSO1 Otim'!X$3,0))</f>
        <v>598.66050000000007</v>
      </c>
      <c r="Y344" s="19">
        <f ca="1">IF($A344-Y$3&lt;2,0,OFFSET('FPSO1 Base'!Y341,-'FPSO1 Otim'!Y$3,0))</f>
        <v>393.702</v>
      </c>
      <c r="Z344" s="19">
        <f ca="1">IF($A344-Z$3&lt;2,0,OFFSET('FPSO1 Base'!Z341,-'FPSO1 Otim'!Z$3,0))</f>
        <v>283.59749999999997</v>
      </c>
      <c r="AA344" s="20">
        <v>15000</v>
      </c>
      <c r="AB344" s="19">
        <f t="shared" ca="1" si="19"/>
        <v>7008.7972066998682</v>
      </c>
      <c r="AC344" s="20">
        <f t="shared" ca="1" si="20"/>
        <v>7991.2027933001318</v>
      </c>
      <c r="AD344" s="19">
        <f t="shared" ca="1" si="21"/>
        <v>424.08166017625786</v>
      </c>
    </row>
    <row r="345" spans="1:30" x14ac:dyDescent="0.25">
      <c r="A345" s="19">
        <v>341</v>
      </c>
      <c r="B345" s="31">
        <v>55975</v>
      </c>
      <c r="C345" s="19">
        <f ca="1">IF($A345-C$3&lt;2,0,OFFSET('FPSO1 Base'!C342,-'FPSO1 Otim'!C$3,0))</f>
        <v>479.24850000000004</v>
      </c>
      <c r="D345" s="19">
        <f ca="1">IF($A345-D$3&lt;2,0,OFFSET('FPSO1 Base'!D342,-'FPSO1 Otim'!D$3,0))</f>
        <v>83.602499999999992</v>
      </c>
      <c r="E345" s="19">
        <f ca="1">IF($A345-E$3&lt;2,0,OFFSET('FPSO1 Base'!E342,-'FPSO1 Otim'!E$3,0))</f>
        <v>263.94</v>
      </c>
      <c r="F345" s="19">
        <f ca="1">IF($A345-F$3&lt;2,0,OFFSET('FPSO1 Base'!F342,-'FPSO1 Otim'!F$3,0))</f>
        <v>320.46449999999999</v>
      </c>
      <c r="G345" s="19">
        <f ca="1">IF($A345-G$3&lt;2,0,OFFSET('FPSO1 Base'!G342,-'FPSO1 Otim'!G$3,0))</f>
        <v>113.21249999999999</v>
      </c>
      <c r="H345" s="19">
        <f ca="1">IF($A345-H$3&lt;2,0,OFFSET('FPSO1 Base'!H342,-'FPSO1 Otim'!H$3,0))</f>
        <v>540.71699999999998</v>
      </c>
      <c r="I345" s="19">
        <f ca="1">IF($A345-I$3&lt;2,0,OFFSET('FPSO1 Base'!I342,-'FPSO1 Otim'!I$3,0))</f>
        <v>382.74149999999997</v>
      </c>
      <c r="J345" s="19">
        <f ca="1">IF($A345-J$3&lt;2,0,OFFSET('FPSO1 Base'!J342,-'FPSO1 Otim'!J$3,0))</f>
        <v>212.52449999999999</v>
      </c>
      <c r="K345" s="19">
        <f ca="1">IF($A345-K$3&lt;2,0,OFFSET('FPSO1 Base'!K342,-'FPSO1 Otim'!K$3,0))</f>
        <v>203.80650000000003</v>
      </c>
      <c r="L345" s="19">
        <f ca="1">IF($A345-L$3&lt;2,0,OFFSET('FPSO1 Base'!L342,-'FPSO1 Otim'!L$3,0))</f>
        <v>240.61199999999997</v>
      </c>
      <c r="M345" s="19">
        <f ca="1">IF($A345-M$3&lt;2,0,OFFSET('FPSO1 Base'!M342,-'FPSO1 Otim'!M$3,0))</f>
        <v>340.75799999999998</v>
      </c>
      <c r="N345" s="19">
        <f ca="1">IF($A345-N$3&lt;2,0,OFFSET('FPSO1 Base'!N342,-'FPSO1 Otim'!N$3,0))</f>
        <v>11.343377792925928</v>
      </c>
      <c r="O345" s="19">
        <f ca="1">IF($A345-O$3&lt;2,0,OFFSET('FPSO1 Base'!O342,-'FPSO1 Otim'!O$3,0))</f>
        <v>216.21750000000003</v>
      </c>
      <c r="P345" s="19">
        <f ca="1">IF($A345-P$3&lt;2,0,OFFSET('FPSO1 Base'!P342,-'FPSO1 Otim'!P$3,0))</f>
        <v>64.669492239307274</v>
      </c>
      <c r="Q345" s="19">
        <f ca="1">IF($A345-Q$3&lt;2,0,OFFSET('FPSO1 Base'!Q342,-'FPSO1 Otim'!Q$3,0))</f>
        <v>372.798</v>
      </c>
      <c r="R345" s="19">
        <f ca="1">IF($A345-R$3&lt;2,0,OFFSET('FPSO1 Base'!R342,-'FPSO1 Otim'!R$3,0))</f>
        <v>20.132669600636401</v>
      </c>
      <c r="S345" s="19">
        <f ca="1">IF($A345-S$3&lt;2,0,OFFSET('FPSO1 Base'!S342,-'FPSO1 Otim'!S$3,0))</f>
        <v>230.685</v>
      </c>
      <c r="T345" s="19">
        <f ca="1">IF($A345-T$3&lt;2,0,OFFSET('FPSO1 Base'!T342,-'FPSO1 Otim'!T$3,0))</f>
        <v>438.16949999999997</v>
      </c>
      <c r="U345" s="19">
        <f ca="1">IF($A345-U$3&lt;2,0,OFFSET('FPSO1 Base'!U342,-'FPSO1 Otim'!U$3,0))</f>
        <v>507.84749999999997</v>
      </c>
      <c r="V345" s="19">
        <f ca="1">IF($A345-V$3&lt;2,0,OFFSET('FPSO1 Base'!V342,-'FPSO1 Otim'!V$3,0))</f>
        <v>464.35650000000004</v>
      </c>
      <c r="W345" s="19">
        <f ca="1">IF($A345-W$3&lt;2,0,OFFSET('FPSO1 Base'!W342,-'FPSO1 Otim'!W$3,0))</f>
        <v>211.209</v>
      </c>
      <c r="X345" s="19">
        <f ca="1">IF($A345-X$3&lt;2,0,OFFSET('FPSO1 Base'!X342,-'FPSO1 Otim'!X$3,0))</f>
        <v>596.952</v>
      </c>
      <c r="Y345" s="19">
        <f ca="1">IF($A345-Y$3&lt;2,0,OFFSET('FPSO1 Base'!Y342,-'FPSO1 Otim'!Y$3,0))</f>
        <v>392.93700000000001</v>
      </c>
      <c r="Z345" s="19">
        <f ca="1">IF($A345-Z$3&lt;2,0,OFFSET('FPSO1 Base'!Z342,-'FPSO1 Otim'!Z$3,0))</f>
        <v>282.072</v>
      </c>
      <c r="AA345" s="20">
        <v>15000</v>
      </c>
      <c r="AB345" s="19">
        <f t="shared" ca="1" si="19"/>
        <v>6991.0170396328695</v>
      </c>
      <c r="AC345" s="20">
        <f t="shared" ca="1" si="20"/>
        <v>8008.9829603671305</v>
      </c>
      <c r="AD345" s="19">
        <f t="shared" ca="1" si="21"/>
        <v>419.50991868596867</v>
      </c>
    </row>
    <row r="346" spans="1:30" x14ac:dyDescent="0.25">
      <c r="A346" s="19">
        <v>342</v>
      </c>
      <c r="B346" s="31">
        <v>56005</v>
      </c>
      <c r="C346" s="19">
        <f ca="1">IF($A346-C$3&lt;2,0,OFFSET('FPSO1 Base'!C343,-'FPSO1 Otim'!C$3,0))</f>
        <v>477.68100000000004</v>
      </c>
      <c r="D346" s="19">
        <f ca="1">IF($A346-D$3&lt;2,0,OFFSET('FPSO1 Base'!D343,-'FPSO1 Otim'!D$3,0))</f>
        <v>83.215499999999992</v>
      </c>
      <c r="E346" s="19">
        <f ca="1">IF($A346-E$3&lt;2,0,OFFSET('FPSO1 Base'!E343,-'FPSO1 Otim'!E$3,0))</f>
        <v>262.197</v>
      </c>
      <c r="F346" s="19">
        <f ca="1">IF($A346-F$3&lt;2,0,OFFSET('FPSO1 Base'!F343,-'FPSO1 Otim'!F$3,0))</f>
        <v>319.5</v>
      </c>
      <c r="G346" s="19">
        <f ca="1">IF($A346-G$3&lt;2,0,OFFSET('FPSO1 Base'!G343,-'FPSO1 Otim'!G$3,0))</f>
        <v>113.53200000000001</v>
      </c>
      <c r="H346" s="19">
        <f ca="1">IF($A346-H$3&lt;2,0,OFFSET('FPSO1 Base'!H343,-'FPSO1 Otim'!H$3,0))</f>
        <v>540.48</v>
      </c>
      <c r="I346" s="19">
        <f ca="1">IF($A346-I$3&lt;2,0,OFFSET('FPSO1 Base'!I343,-'FPSO1 Otim'!I$3,0))</f>
        <v>382.15199999999999</v>
      </c>
      <c r="J346" s="19">
        <f ca="1">IF($A346-J$3&lt;2,0,OFFSET('FPSO1 Base'!J343,-'FPSO1 Otim'!J$3,0))</f>
        <v>211.839</v>
      </c>
      <c r="K346" s="19">
        <f ca="1">IF($A346-K$3&lt;2,0,OFFSET('FPSO1 Base'!K343,-'FPSO1 Otim'!K$3,0))</f>
        <v>203.08199999999999</v>
      </c>
      <c r="L346" s="19">
        <f ca="1">IF($A346-L$3&lt;2,0,OFFSET('FPSO1 Base'!L343,-'FPSO1 Otim'!L$3,0))</f>
        <v>240.15749999999997</v>
      </c>
      <c r="M346" s="19">
        <f ca="1">IF($A346-M$3&lt;2,0,OFFSET('FPSO1 Base'!M343,-'FPSO1 Otim'!M$3,0))</f>
        <v>340.37850000000003</v>
      </c>
      <c r="N346" s="19">
        <f ca="1">IF($A346-N$3&lt;2,0,OFFSET('FPSO1 Base'!N343,-'FPSO1 Otim'!N$3,0))</f>
        <v>11.229944014996668</v>
      </c>
      <c r="O346" s="19">
        <f ca="1">IF($A346-O$3&lt;2,0,OFFSET('FPSO1 Base'!O343,-'FPSO1 Otim'!O$3,0))</f>
        <v>215.4195</v>
      </c>
      <c r="P346" s="19">
        <f ca="1">IF($A346-P$3&lt;2,0,OFFSET('FPSO1 Base'!P343,-'FPSO1 Otim'!P$3,0))</f>
        <v>64.022797316914207</v>
      </c>
      <c r="Q346" s="19">
        <f ca="1">IF($A346-Q$3&lt;2,0,OFFSET('FPSO1 Base'!Q343,-'FPSO1 Otim'!Q$3,0))</f>
        <v>372.1755</v>
      </c>
      <c r="R346" s="19">
        <f ca="1">IF($A346-R$3&lt;2,0,OFFSET('FPSO1 Base'!R343,-'FPSO1 Otim'!R$3,0))</f>
        <v>19.931342904630036</v>
      </c>
      <c r="S346" s="19">
        <f ca="1">IF($A346-S$3&lt;2,0,OFFSET('FPSO1 Base'!S343,-'FPSO1 Otim'!S$3,0))</f>
        <v>231.97500000000002</v>
      </c>
      <c r="T346" s="19">
        <f ca="1">IF($A346-T$3&lt;2,0,OFFSET('FPSO1 Base'!T343,-'FPSO1 Otim'!T$3,0))</f>
        <v>436.13699999999994</v>
      </c>
      <c r="U346" s="19">
        <f ca="1">IF($A346-U$3&lt;2,0,OFFSET('FPSO1 Base'!U343,-'FPSO1 Otim'!U$3,0))</f>
        <v>507</v>
      </c>
      <c r="V346" s="19">
        <f ca="1">IF($A346-V$3&lt;2,0,OFFSET('FPSO1 Base'!V343,-'FPSO1 Otim'!V$3,0))</f>
        <v>463.64549999999997</v>
      </c>
      <c r="W346" s="19">
        <f ca="1">IF($A346-W$3&lt;2,0,OFFSET('FPSO1 Base'!W343,-'FPSO1 Otim'!W$3,0))</f>
        <v>210.89550000000003</v>
      </c>
      <c r="X346" s="19">
        <f ca="1">IF($A346-X$3&lt;2,0,OFFSET('FPSO1 Base'!X343,-'FPSO1 Otim'!X$3,0))</f>
        <v>594.90000000000009</v>
      </c>
      <c r="Y346" s="19">
        <f ca="1">IF($A346-Y$3&lt;2,0,OFFSET('FPSO1 Base'!Y343,-'FPSO1 Otim'!Y$3,0))</f>
        <v>392.40750000000003</v>
      </c>
      <c r="Z346" s="19">
        <f ca="1">IF($A346-Z$3&lt;2,0,OFFSET('FPSO1 Base'!Z343,-'FPSO1 Otim'!Z$3,0))</f>
        <v>280.3125</v>
      </c>
      <c r="AA346" s="20">
        <v>15000</v>
      </c>
      <c r="AB346" s="19">
        <f t="shared" ca="1" si="19"/>
        <v>6974.2665842365395</v>
      </c>
      <c r="AC346" s="20">
        <f t="shared" ca="1" si="20"/>
        <v>8025.7334157634605</v>
      </c>
      <c r="AD346" s="19">
        <f t="shared" ca="1" si="21"/>
        <v>415.04605706457994</v>
      </c>
    </row>
    <row r="347" spans="1:30" x14ac:dyDescent="0.25">
      <c r="A347" s="19">
        <v>343</v>
      </c>
      <c r="B347" s="31">
        <v>56036</v>
      </c>
      <c r="C347" s="19">
        <f ca="1">IF($A347-C$3&lt;2,0,OFFSET('FPSO1 Base'!C344,-'FPSO1 Otim'!C$3,0))</f>
        <v>476.26949999999999</v>
      </c>
      <c r="D347" s="19">
        <f ca="1">IF($A347-D$3&lt;2,0,OFFSET('FPSO1 Base'!D344,-'FPSO1 Otim'!D$3,0))</f>
        <v>82.810500000000005</v>
      </c>
      <c r="E347" s="19">
        <f ca="1">IF($A347-E$3&lt;2,0,OFFSET('FPSO1 Base'!E344,-'FPSO1 Otim'!E$3,0))</f>
        <v>260.37450000000001</v>
      </c>
      <c r="F347" s="19">
        <f ca="1">IF($A347-F$3&lt;2,0,OFFSET('FPSO1 Base'!F344,-'FPSO1 Otim'!F$3,0))</f>
        <v>318.375</v>
      </c>
      <c r="G347" s="19">
        <f ca="1">IF($A347-G$3&lt;2,0,OFFSET('FPSO1 Base'!G344,-'FPSO1 Otim'!G$3,0))</f>
        <v>113.26950000000001</v>
      </c>
      <c r="H347" s="19">
        <f ca="1">IF($A347-H$3&lt;2,0,OFFSET('FPSO1 Base'!H344,-'FPSO1 Otim'!H$3,0))</f>
        <v>540.18600000000004</v>
      </c>
      <c r="I347" s="19">
        <f ca="1">IF($A347-I$3&lt;2,0,OFFSET('FPSO1 Base'!I344,-'FPSO1 Otim'!I$3,0))</f>
        <v>381.726</v>
      </c>
      <c r="J347" s="19">
        <f ca="1">IF($A347-J$3&lt;2,0,OFFSET('FPSO1 Base'!J344,-'FPSO1 Otim'!J$3,0))</f>
        <v>211.185</v>
      </c>
      <c r="K347" s="19">
        <f ca="1">IF($A347-K$3&lt;2,0,OFFSET('FPSO1 Base'!K344,-'FPSO1 Otim'!K$3,0))</f>
        <v>202.476</v>
      </c>
      <c r="L347" s="19">
        <f ca="1">IF($A347-L$3&lt;2,0,OFFSET('FPSO1 Base'!L344,-'FPSO1 Otim'!L$3,0))</f>
        <v>239.697</v>
      </c>
      <c r="M347" s="19">
        <f ca="1">IF($A347-M$3&lt;2,0,OFFSET('FPSO1 Base'!M344,-'FPSO1 Otim'!M$3,0))</f>
        <v>339.97500000000002</v>
      </c>
      <c r="N347" s="19">
        <f ca="1">IF($A347-N$3&lt;2,0,OFFSET('FPSO1 Base'!N344,-'FPSO1 Otim'!N$3,0))</f>
        <v>11.117644574846702</v>
      </c>
      <c r="O347" s="19">
        <f ca="1">IF($A347-O$3&lt;2,0,OFFSET('FPSO1 Base'!O344,-'FPSO1 Otim'!O$3,0))</f>
        <v>214.54949999999997</v>
      </c>
      <c r="P347" s="19">
        <f ca="1">IF($A347-P$3&lt;2,0,OFFSET('FPSO1 Base'!P344,-'FPSO1 Otim'!P$3,0))</f>
        <v>63.382569343745068</v>
      </c>
      <c r="Q347" s="19">
        <f ca="1">IF($A347-Q$3&lt;2,0,OFFSET('FPSO1 Base'!Q344,-'FPSO1 Otim'!Q$3,0))</f>
        <v>371.637</v>
      </c>
      <c r="R347" s="19">
        <f ca="1">IF($A347-R$3&lt;2,0,OFFSET('FPSO1 Base'!R344,-'FPSO1 Otim'!R$3,0))</f>
        <v>19.732029475583737</v>
      </c>
      <c r="S347" s="19">
        <f ca="1">IF($A347-S$3&lt;2,0,OFFSET('FPSO1 Base'!S344,-'FPSO1 Otim'!S$3,0))</f>
        <v>232.815</v>
      </c>
      <c r="T347" s="19">
        <f ca="1">IF($A347-T$3&lt;2,0,OFFSET('FPSO1 Base'!T344,-'FPSO1 Otim'!T$3,0))</f>
        <v>433.99950000000001</v>
      </c>
      <c r="U347" s="19">
        <f ca="1">IF($A347-U$3&lt;2,0,OFFSET('FPSO1 Base'!U344,-'FPSO1 Otim'!U$3,0))</f>
        <v>506.202</v>
      </c>
      <c r="V347" s="19">
        <f ca="1">IF($A347-V$3&lt;2,0,OFFSET('FPSO1 Base'!V344,-'FPSO1 Otim'!V$3,0))</f>
        <v>462.64949999999999</v>
      </c>
      <c r="W347" s="19">
        <f ca="1">IF($A347-W$3&lt;2,0,OFFSET('FPSO1 Base'!W344,-'FPSO1 Otim'!W$3,0))</f>
        <v>210.53550000000001</v>
      </c>
      <c r="X347" s="19">
        <f ca="1">IF($A347-X$3&lt;2,0,OFFSET('FPSO1 Base'!X344,-'FPSO1 Otim'!X$3,0))</f>
        <v>592.93500000000006</v>
      </c>
      <c r="Y347" s="19">
        <f ca="1">IF($A347-Y$3&lt;2,0,OFFSET('FPSO1 Base'!Y344,-'FPSO1 Otim'!Y$3,0))</f>
        <v>392.00850000000003</v>
      </c>
      <c r="Z347" s="19">
        <f ca="1">IF($A347-Z$3&lt;2,0,OFFSET('FPSO1 Base'!Z344,-'FPSO1 Otim'!Z$3,0))</f>
        <v>278.87850000000003</v>
      </c>
      <c r="AA347" s="20">
        <v>15000</v>
      </c>
      <c r="AB347" s="19">
        <f t="shared" ca="1" si="19"/>
        <v>6956.7862433941773</v>
      </c>
      <c r="AC347" s="20">
        <f t="shared" ca="1" si="20"/>
        <v>8043.2137566058227</v>
      </c>
      <c r="AD347" s="19">
        <f t="shared" ca="1" si="21"/>
        <v>410.58424790253292</v>
      </c>
    </row>
    <row r="348" spans="1:30" x14ac:dyDescent="0.25">
      <c r="A348" s="19">
        <v>344</v>
      </c>
      <c r="B348" s="31">
        <v>56066</v>
      </c>
      <c r="C348" s="19">
        <f ca="1">IF($A348-C$3&lt;2,0,OFFSET('FPSO1 Base'!C345,-'FPSO1 Otim'!C$3,0))</f>
        <v>474.798</v>
      </c>
      <c r="D348" s="19">
        <f ca="1">IF($A348-D$3&lt;2,0,OFFSET('FPSO1 Base'!D345,-'FPSO1 Otim'!D$3,0))</f>
        <v>82.445999999999998</v>
      </c>
      <c r="E348" s="19">
        <f ca="1">IF($A348-E$3&lt;2,0,OFFSET('FPSO1 Base'!E345,-'FPSO1 Otim'!E$3,0))</f>
        <v>258.678</v>
      </c>
      <c r="F348" s="19">
        <f ca="1">IF($A348-F$3&lt;2,0,OFFSET('FPSO1 Base'!F345,-'FPSO1 Otim'!F$3,0))</f>
        <v>317.34749999999997</v>
      </c>
      <c r="G348" s="19">
        <f ca="1">IF($A348-G$3&lt;2,0,OFFSET('FPSO1 Base'!G345,-'FPSO1 Otim'!G$3,0))</f>
        <v>113.685</v>
      </c>
      <c r="H348" s="19">
        <f ca="1">IF($A348-H$3&lt;2,0,OFFSET('FPSO1 Base'!H345,-'FPSO1 Otim'!H$3,0))</f>
        <v>539.91300000000001</v>
      </c>
      <c r="I348" s="19">
        <f ca="1">IF($A348-I$3&lt;2,0,OFFSET('FPSO1 Base'!I345,-'FPSO1 Otim'!I$3,0))</f>
        <v>381.1755</v>
      </c>
      <c r="J348" s="19">
        <f ca="1">IF($A348-J$3&lt;2,0,OFFSET('FPSO1 Base'!J345,-'FPSO1 Otim'!J$3,0))</f>
        <v>210.6165</v>
      </c>
      <c r="K348" s="19">
        <f ca="1">IF($A348-K$3&lt;2,0,OFFSET('FPSO1 Base'!K345,-'FPSO1 Otim'!K$3,0))</f>
        <v>201.75</v>
      </c>
      <c r="L348" s="19">
        <f ca="1">IF($A348-L$3&lt;2,0,OFFSET('FPSO1 Base'!L345,-'FPSO1 Otim'!L$3,0))</f>
        <v>239.22450000000001</v>
      </c>
      <c r="M348" s="19">
        <f ca="1">IF($A348-M$3&lt;2,0,OFFSET('FPSO1 Base'!M345,-'FPSO1 Otim'!M$3,0))</f>
        <v>339.58050000000003</v>
      </c>
      <c r="N348" s="19">
        <f ca="1">IF($A348-N$3&lt;2,0,OFFSET('FPSO1 Base'!N345,-'FPSO1 Otim'!N$3,0))</f>
        <v>11.006468129098234</v>
      </c>
      <c r="O348" s="19">
        <f ca="1">IF($A348-O$3&lt;2,0,OFFSET('FPSO1 Base'!O345,-'FPSO1 Otim'!O$3,0))</f>
        <v>213.9915</v>
      </c>
      <c r="P348" s="19">
        <f ca="1">IF($A348-P$3&lt;2,0,OFFSET('FPSO1 Base'!P345,-'FPSO1 Otim'!P$3,0))</f>
        <v>62.748743650307617</v>
      </c>
      <c r="Q348" s="19">
        <f ca="1">IF($A348-Q$3&lt;2,0,OFFSET('FPSO1 Base'!Q345,-'FPSO1 Otim'!Q$3,0))</f>
        <v>371.02499999999998</v>
      </c>
      <c r="R348" s="19">
        <f ca="1">IF($A348-R$3&lt;2,0,OFFSET('FPSO1 Base'!R345,-'FPSO1 Otim'!R$3,0))</f>
        <v>19.5347091808279</v>
      </c>
      <c r="S348" s="19">
        <f ca="1">IF($A348-S$3&lt;2,0,OFFSET('FPSO1 Base'!S345,-'FPSO1 Otim'!S$3,0))</f>
        <v>233.4495</v>
      </c>
      <c r="T348" s="19">
        <f ca="1">IF($A348-T$3&lt;2,0,OFFSET('FPSO1 Base'!T345,-'FPSO1 Otim'!T$3,0))</f>
        <v>431.976</v>
      </c>
      <c r="U348" s="19">
        <f ca="1">IF($A348-U$3&lt;2,0,OFFSET('FPSO1 Base'!U345,-'FPSO1 Otim'!U$3,0))</f>
        <v>505.30050000000006</v>
      </c>
      <c r="V348" s="19">
        <f ca="1">IF($A348-V$3&lt;2,0,OFFSET('FPSO1 Base'!V345,-'FPSO1 Otim'!V$3,0))</f>
        <v>461.75850000000003</v>
      </c>
      <c r="W348" s="19">
        <f ca="1">IF($A348-W$3&lt;2,0,OFFSET('FPSO1 Base'!W345,-'FPSO1 Otim'!W$3,0))</f>
        <v>210.21750000000003</v>
      </c>
      <c r="X348" s="19">
        <f ca="1">IF($A348-X$3&lt;2,0,OFFSET('FPSO1 Base'!X345,-'FPSO1 Otim'!X$3,0))</f>
        <v>590.70000000000005</v>
      </c>
      <c r="Y348" s="19">
        <f ca="1">IF($A348-Y$3&lt;2,0,OFFSET('FPSO1 Base'!Y345,-'FPSO1 Otim'!Y$3,0))</f>
        <v>391.5675</v>
      </c>
      <c r="Z348" s="19">
        <f ca="1">IF($A348-Z$3&lt;2,0,OFFSET('FPSO1 Base'!Z345,-'FPSO1 Otim'!Z$3,0))</f>
        <v>277.21199999999999</v>
      </c>
      <c r="AA348" s="20">
        <v>15000</v>
      </c>
      <c r="AB348" s="19">
        <f t="shared" ca="1" si="19"/>
        <v>6939.7024209602332</v>
      </c>
      <c r="AC348" s="20">
        <f t="shared" ca="1" si="20"/>
        <v>8060.2975790397668</v>
      </c>
      <c r="AD348" s="19">
        <f t="shared" ca="1" si="21"/>
        <v>406.19104825709286</v>
      </c>
    </row>
    <row r="349" spans="1:30" x14ac:dyDescent="0.25">
      <c r="A349" s="19">
        <v>345</v>
      </c>
      <c r="B349" s="31">
        <v>56097</v>
      </c>
      <c r="C349" s="19">
        <f ca="1">IF($A349-C$3&lt;2,0,OFFSET('FPSO1 Base'!C346,-'FPSO1 Otim'!C$3,0))</f>
        <v>473.38049999999998</v>
      </c>
      <c r="D349" s="19">
        <f ca="1">IF($A349-D$3&lt;2,0,OFFSET('FPSO1 Base'!D346,-'FPSO1 Otim'!D$3,0))</f>
        <v>82.02</v>
      </c>
      <c r="E349" s="19">
        <f ca="1">IF($A349-E$3&lt;2,0,OFFSET('FPSO1 Base'!E346,-'FPSO1 Otim'!E$3,0))</f>
        <v>256.83749999999998</v>
      </c>
      <c r="F349" s="19">
        <f ca="1">IF($A349-F$3&lt;2,0,OFFSET('FPSO1 Base'!F346,-'FPSO1 Otim'!F$3,0))</f>
        <v>316.20000000000005</v>
      </c>
      <c r="G349" s="19">
        <f ca="1">IF($A349-G$3&lt;2,0,OFFSET('FPSO1 Base'!G346,-'FPSO1 Otim'!G$3,0))</f>
        <v>113.367</v>
      </c>
      <c r="H349" s="19">
        <f ca="1">IF($A349-H$3&lt;2,0,OFFSET('FPSO1 Base'!H346,-'FPSO1 Otim'!H$3,0))</f>
        <v>539.673</v>
      </c>
      <c r="I349" s="19">
        <f ca="1">IF($A349-I$3&lt;2,0,OFFSET('FPSO1 Base'!I346,-'FPSO1 Otim'!I$3,0))</f>
        <v>380.73450000000003</v>
      </c>
      <c r="J349" s="19">
        <f ca="1">IF($A349-J$3&lt;2,0,OFFSET('FPSO1 Base'!J346,-'FPSO1 Otim'!J$3,0))</f>
        <v>210.0975</v>
      </c>
      <c r="K349" s="19">
        <f ca="1">IF($A349-K$3&lt;2,0,OFFSET('FPSO1 Base'!K346,-'FPSO1 Otim'!K$3,0))</f>
        <v>201.12149999999997</v>
      </c>
      <c r="L349" s="19">
        <f ca="1">IF($A349-L$3&lt;2,0,OFFSET('FPSO1 Base'!L346,-'FPSO1 Otim'!L$3,0))</f>
        <v>238.815</v>
      </c>
      <c r="M349" s="19">
        <f ca="1">IF($A349-M$3&lt;2,0,OFFSET('FPSO1 Base'!M346,-'FPSO1 Otim'!M$3,0))</f>
        <v>339.15</v>
      </c>
      <c r="N349" s="19">
        <f ca="1">IF($A349-N$3&lt;2,0,OFFSET('FPSO1 Base'!N346,-'FPSO1 Otim'!N$3,0))</f>
        <v>10.896403447807252</v>
      </c>
      <c r="O349" s="19">
        <f ca="1">IF($A349-O$3&lt;2,0,OFFSET('FPSO1 Base'!O346,-'FPSO1 Otim'!O$3,0))</f>
        <v>213.1755</v>
      </c>
      <c r="P349" s="19">
        <f ca="1">IF($A349-P$3&lt;2,0,OFFSET('FPSO1 Base'!P346,-'FPSO1 Otim'!P$3,0))</f>
        <v>62.121256213804543</v>
      </c>
      <c r="Q349" s="19">
        <f ca="1">IF($A349-Q$3&lt;2,0,OFFSET('FPSO1 Base'!Q346,-'FPSO1 Otim'!Q$3,0))</f>
        <v>370.428</v>
      </c>
      <c r="R349" s="19">
        <f ca="1">IF($A349-R$3&lt;2,0,OFFSET('FPSO1 Base'!R346,-'FPSO1 Otim'!R$3,0))</f>
        <v>19.33936208901962</v>
      </c>
      <c r="S349" s="19">
        <f ca="1">IF($A349-S$3&lt;2,0,OFFSET('FPSO1 Base'!S346,-'FPSO1 Otim'!S$3,0))</f>
        <v>233.928</v>
      </c>
      <c r="T349" s="19">
        <f ca="1">IF($A349-T$3&lt;2,0,OFFSET('FPSO1 Base'!T346,-'FPSO1 Otim'!T$3,0))</f>
        <v>429.77549999999997</v>
      </c>
      <c r="U349" s="19">
        <f ca="1">IF($A349-U$3&lt;2,0,OFFSET('FPSO1 Base'!U346,-'FPSO1 Otim'!U$3,0))</f>
        <v>504.43500000000006</v>
      </c>
      <c r="V349" s="19">
        <f ca="1">IF($A349-V$3&lt;2,0,OFFSET('FPSO1 Base'!V346,-'FPSO1 Otim'!V$3,0))</f>
        <v>460.84950000000003</v>
      </c>
      <c r="W349" s="19">
        <f ca="1">IF($A349-W$3&lt;2,0,OFFSET('FPSO1 Base'!W346,-'FPSO1 Otim'!W$3,0))</f>
        <v>209.89949999999999</v>
      </c>
      <c r="X349" s="19">
        <f ca="1">IF($A349-X$3&lt;2,0,OFFSET('FPSO1 Base'!X346,-'FPSO1 Otim'!X$3,0))</f>
        <v>588.58050000000003</v>
      </c>
      <c r="Y349" s="19">
        <f ca="1">IF($A349-Y$3&lt;2,0,OFFSET('FPSO1 Base'!Y346,-'FPSO1 Otim'!Y$3,0))</f>
        <v>391.173</v>
      </c>
      <c r="Z349" s="19">
        <f ca="1">IF($A349-Z$3&lt;2,0,OFFSET('FPSO1 Base'!Z346,-'FPSO1 Otim'!Z$3,0))</f>
        <v>275.685</v>
      </c>
      <c r="AA349" s="20">
        <v>15000</v>
      </c>
      <c r="AB349" s="19">
        <f t="shared" ca="1" si="19"/>
        <v>6921.6830217506322</v>
      </c>
      <c r="AC349" s="20">
        <f t="shared" ca="1" si="20"/>
        <v>8078.3169782493678</v>
      </c>
      <c r="AD349" s="19">
        <f t="shared" ca="1" si="21"/>
        <v>401.78811190031377</v>
      </c>
    </row>
    <row r="350" spans="1:30" x14ac:dyDescent="0.25">
      <c r="A350" s="19">
        <v>346</v>
      </c>
      <c r="B350" s="31">
        <v>56128</v>
      </c>
      <c r="C350" s="19">
        <f ca="1">IF($A350-C$3&lt;2,0,OFFSET('FPSO1 Base'!C347,-'FPSO1 Otim'!C$3,0))</f>
        <v>471.92399999999998</v>
      </c>
      <c r="D350" s="19">
        <f ca="1">IF($A350-D$3&lt;2,0,OFFSET('FPSO1 Base'!D347,-'FPSO1 Otim'!D$3,0))</f>
        <v>81.652500000000003</v>
      </c>
      <c r="E350" s="19">
        <f ca="1">IF($A350-E$3&lt;2,0,OFFSET('FPSO1 Base'!E347,-'FPSO1 Otim'!E$3,0))</f>
        <v>255.14550000000003</v>
      </c>
      <c r="F350" s="19">
        <f ca="1">IF($A350-F$3&lt;2,0,OFFSET('FPSO1 Base'!F347,-'FPSO1 Otim'!F$3,0))</f>
        <v>315.19349999999997</v>
      </c>
      <c r="G350" s="19">
        <f ca="1">IF($A350-G$3&lt;2,0,OFFSET('FPSO1 Base'!G347,-'FPSO1 Otim'!G$3,0))</f>
        <v>113.00550000000001</v>
      </c>
      <c r="H350" s="19">
        <f ca="1">IF($A350-H$3&lt;2,0,OFFSET('FPSO1 Base'!H347,-'FPSO1 Otim'!H$3,0))</f>
        <v>539.39400000000001</v>
      </c>
      <c r="I350" s="19">
        <f ca="1">IF($A350-I$3&lt;2,0,OFFSET('FPSO1 Base'!I347,-'FPSO1 Otim'!I$3,0))</f>
        <v>380.17499999999995</v>
      </c>
      <c r="J350" s="19">
        <f ca="1">IF($A350-J$3&lt;2,0,OFFSET('FPSO1 Base'!J347,-'FPSO1 Otim'!J$3,0))</f>
        <v>209.57550000000003</v>
      </c>
      <c r="K350" s="19">
        <f ca="1">IF($A350-K$3&lt;2,0,OFFSET('FPSO1 Base'!K347,-'FPSO1 Otim'!K$3,0))</f>
        <v>200.39999999999998</v>
      </c>
      <c r="L350" s="19">
        <f ca="1">IF($A350-L$3&lt;2,0,OFFSET('FPSO1 Base'!L347,-'FPSO1 Otim'!L$3,0))</f>
        <v>238.35000000000002</v>
      </c>
      <c r="M350" s="19">
        <f ca="1">IF($A350-M$3&lt;2,0,OFFSET('FPSO1 Base'!M347,-'FPSO1 Otim'!M$3,0))</f>
        <v>338.709</v>
      </c>
      <c r="N350" s="19">
        <f ca="1">IF($A350-N$3&lt;2,0,OFFSET('FPSO1 Base'!N347,-'FPSO1 Otim'!N$3,0))</f>
        <v>10.78743941332918</v>
      </c>
      <c r="O350" s="19">
        <f ca="1">IF($A350-O$3&lt;2,0,OFFSET('FPSO1 Base'!O347,-'FPSO1 Otim'!O$3,0))</f>
        <v>212.178</v>
      </c>
      <c r="P350" s="19">
        <f ca="1">IF($A350-P$3&lt;2,0,OFFSET('FPSO1 Base'!P347,-'FPSO1 Otim'!P$3,0))</f>
        <v>61.500043651666495</v>
      </c>
      <c r="Q350" s="19">
        <f ca="1">IF($A350-Q$3&lt;2,0,OFFSET('FPSO1 Base'!Q347,-'FPSO1 Otim'!Q$3,0))</f>
        <v>369.84749999999997</v>
      </c>
      <c r="R350" s="19">
        <f ca="1">IF($A350-R$3&lt;2,0,OFFSET('FPSO1 Base'!R347,-'FPSO1 Otim'!R$3,0))</f>
        <v>19.145968468129425</v>
      </c>
      <c r="S350" s="19">
        <f ca="1">IF($A350-S$3&lt;2,0,OFFSET('FPSO1 Base'!S347,-'FPSO1 Otim'!S$3,0))</f>
        <v>234.411</v>
      </c>
      <c r="T350" s="19">
        <f ca="1">IF($A350-T$3&lt;2,0,OFFSET('FPSO1 Base'!T347,-'FPSO1 Otim'!T$3,0))</f>
        <v>427.71749999999997</v>
      </c>
      <c r="U350" s="19">
        <f ca="1">IF($A350-U$3&lt;2,0,OFFSET('FPSO1 Base'!U347,-'FPSO1 Otim'!U$3,0))</f>
        <v>503.61300000000006</v>
      </c>
      <c r="V350" s="19">
        <f ca="1">IF($A350-V$3&lt;2,0,OFFSET('FPSO1 Base'!V347,-'FPSO1 Otim'!V$3,0))</f>
        <v>459.96749999999997</v>
      </c>
      <c r="W350" s="19">
        <f ca="1">IF($A350-W$3&lt;2,0,OFFSET('FPSO1 Base'!W347,-'FPSO1 Otim'!W$3,0))</f>
        <v>209.565</v>
      </c>
      <c r="X350" s="19">
        <f ca="1">IF($A350-X$3&lt;2,0,OFFSET('FPSO1 Base'!X347,-'FPSO1 Otim'!X$3,0))</f>
        <v>586.40250000000003</v>
      </c>
      <c r="Y350" s="19">
        <f ca="1">IF($A350-Y$3&lt;2,0,OFFSET('FPSO1 Base'!Y347,-'FPSO1 Otim'!Y$3,0))</f>
        <v>390.64949999999999</v>
      </c>
      <c r="Z350" s="19">
        <f ca="1">IF($A350-Z$3&lt;2,0,OFFSET('FPSO1 Base'!Z347,-'FPSO1 Otim'!Z$3,0))</f>
        <v>274.04999999999995</v>
      </c>
      <c r="AA350" s="20">
        <v>15000</v>
      </c>
      <c r="AB350" s="19">
        <f t="shared" ca="1" si="19"/>
        <v>6903.3594515331251</v>
      </c>
      <c r="AC350" s="20">
        <f t="shared" ca="1" si="20"/>
        <v>8096.6405484668749</v>
      </c>
      <c r="AD350" s="19">
        <f t="shared" ca="1" si="21"/>
        <v>397.4126974349312</v>
      </c>
    </row>
    <row r="351" spans="1:30" x14ac:dyDescent="0.25">
      <c r="A351" s="19">
        <v>347</v>
      </c>
      <c r="B351" s="31">
        <v>56158</v>
      </c>
      <c r="C351" s="19">
        <f ca="1">IF($A351-C$3&lt;2,0,OFFSET('FPSO1 Base'!C348,-'FPSO1 Otim'!C$3,0))</f>
        <v>470.5455</v>
      </c>
      <c r="D351" s="19">
        <f ca="1">IF($A351-D$3&lt;2,0,OFFSET('FPSO1 Base'!D348,-'FPSO1 Otim'!D$3,0))</f>
        <v>81.284999999999997</v>
      </c>
      <c r="E351" s="19">
        <f ca="1">IF($A351-E$3&lt;2,0,OFFSET('FPSO1 Base'!E348,-'FPSO1 Otim'!E$3,0))</f>
        <v>253.488</v>
      </c>
      <c r="F351" s="19">
        <f ca="1">IF($A351-F$3&lt;2,0,OFFSET('FPSO1 Base'!F348,-'FPSO1 Otim'!F$3,0))</f>
        <v>314.15250000000003</v>
      </c>
      <c r="G351" s="19">
        <f ca="1">IF($A351-G$3&lt;2,0,OFFSET('FPSO1 Base'!G348,-'FPSO1 Otim'!G$3,0))</f>
        <v>112.84050000000001</v>
      </c>
      <c r="H351" s="19">
        <f ca="1">IF($A351-H$3&lt;2,0,OFFSET('FPSO1 Base'!H348,-'FPSO1 Otim'!H$3,0))</f>
        <v>539.18100000000004</v>
      </c>
      <c r="I351" s="19">
        <f ca="1">IF($A351-I$3&lt;2,0,OFFSET('FPSO1 Base'!I348,-'FPSO1 Otim'!I$3,0))</f>
        <v>379.71750000000003</v>
      </c>
      <c r="J351" s="19">
        <f ca="1">IF($A351-J$3&lt;2,0,OFFSET('FPSO1 Base'!J348,-'FPSO1 Otim'!J$3,0))</f>
        <v>209.05650000000003</v>
      </c>
      <c r="K351" s="19">
        <f ca="1">IF($A351-K$3&lt;2,0,OFFSET('FPSO1 Base'!K348,-'FPSO1 Otim'!K$3,0))</f>
        <v>199.71750000000003</v>
      </c>
      <c r="L351" s="19">
        <f ca="1">IF($A351-L$3&lt;2,0,OFFSET('FPSO1 Base'!L348,-'FPSO1 Otim'!L$3,0))</f>
        <v>237.94349999999997</v>
      </c>
      <c r="M351" s="19">
        <f ca="1">IF($A351-M$3&lt;2,0,OFFSET('FPSO1 Base'!M348,-'FPSO1 Otim'!M$3,0))</f>
        <v>338.34749999999997</v>
      </c>
      <c r="N351" s="19">
        <f ca="1">IF($A351-N$3&lt;2,0,OFFSET('FPSO1 Base'!N348,-'FPSO1 Otim'!N$3,0))</f>
        <v>10.679565019195888</v>
      </c>
      <c r="O351" s="19">
        <f ca="1">IF($A351-O$3&lt;2,0,OFFSET('FPSO1 Base'!O348,-'FPSO1 Otim'!O$3,0))</f>
        <v>211.428</v>
      </c>
      <c r="P351" s="19">
        <f ca="1">IF($A351-P$3&lt;2,0,OFFSET('FPSO1 Base'!P348,-'FPSO1 Otim'!P$3,0))</f>
        <v>60.885043215149828</v>
      </c>
      <c r="Q351" s="19">
        <f ca="1">IF($A351-Q$3&lt;2,0,OFFSET('FPSO1 Base'!Q348,-'FPSO1 Otim'!Q$3,0))</f>
        <v>369.15449999999998</v>
      </c>
      <c r="R351" s="19">
        <f ca="1">IF($A351-R$3&lt;2,0,OFFSET('FPSO1 Base'!R348,-'FPSO1 Otim'!R$3,0))</f>
        <v>18.95450878344813</v>
      </c>
      <c r="S351" s="19">
        <f ca="1">IF($A351-S$3&lt;2,0,OFFSET('FPSO1 Base'!S348,-'FPSO1 Otim'!S$3,0))</f>
        <v>234.8835</v>
      </c>
      <c r="T351" s="19">
        <f ca="1">IF($A351-T$3&lt;2,0,OFFSET('FPSO1 Base'!T348,-'FPSO1 Otim'!T$3,0))</f>
        <v>425.78250000000003</v>
      </c>
      <c r="U351" s="19">
        <f ca="1">IF($A351-U$3&lt;2,0,OFFSET('FPSO1 Base'!U348,-'FPSO1 Otim'!U$3,0))</f>
        <v>502.66050000000007</v>
      </c>
      <c r="V351" s="19">
        <f ca="1">IF($A351-V$3&lt;2,0,OFFSET('FPSO1 Base'!V348,-'FPSO1 Otim'!V$3,0))</f>
        <v>459.09749999999997</v>
      </c>
      <c r="W351" s="19">
        <f ca="1">IF($A351-W$3&lt;2,0,OFFSET('FPSO1 Base'!W348,-'FPSO1 Otim'!W$3,0))</f>
        <v>209.20050000000003</v>
      </c>
      <c r="X351" s="19">
        <f ca="1">IF($A351-X$3&lt;2,0,OFFSET('FPSO1 Base'!X348,-'FPSO1 Otim'!X$3,0))</f>
        <v>584.09999999999991</v>
      </c>
      <c r="Y351" s="19">
        <f ca="1">IF($A351-Y$3&lt;2,0,OFFSET('FPSO1 Base'!Y348,-'FPSO1 Otim'!Y$3,0))</f>
        <v>390.13350000000003</v>
      </c>
      <c r="Z351" s="19">
        <f ca="1">IF($A351-Z$3&lt;2,0,OFFSET('FPSO1 Base'!Z348,-'FPSO1 Otim'!Z$3,0))</f>
        <v>272.47949999999997</v>
      </c>
      <c r="AA351" s="20">
        <v>15000</v>
      </c>
      <c r="AB351" s="19">
        <f t="shared" ca="1" si="19"/>
        <v>6885.7141170177938</v>
      </c>
      <c r="AC351" s="20">
        <f t="shared" ca="1" si="20"/>
        <v>8114.2858829822062</v>
      </c>
      <c r="AD351" s="19">
        <f t="shared" ca="1" si="21"/>
        <v>393.1208832005903</v>
      </c>
    </row>
    <row r="352" spans="1:30" x14ac:dyDescent="0.25">
      <c r="A352" s="19">
        <v>348</v>
      </c>
      <c r="B352" s="31">
        <v>56189</v>
      </c>
      <c r="C352" s="19">
        <f ca="1">IF($A352-C$3&lt;2,0,OFFSET('FPSO1 Base'!C349,-'FPSO1 Otim'!C$3,0))</f>
        <v>469.14</v>
      </c>
      <c r="D352" s="19">
        <f ca="1">IF($A352-D$3&lt;2,0,OFFSET('FPSO1 Base'!D349,-'FPSO1 Otim'!D$3,0))</f>
        <v>80.908500000000004</v>
      </c>
      <c r="E352" s="19">
        <f ca="1">IF($A352-E$3&lt;2,0,OFFSET('FPSO1 Base'!E349,-'FPSO1 Otim'!E$3,0))</f>
        <v>251.61150000000004</v>
      </c>
      <c r="F352" s="19">
        <f ca="1">IF($A352-F$3&lt;2,0,OFFSET('FPSO1 Base'!F349,-'FPSO1 Otim'!F$3,0))</f>
        <v>313.04999999999995</v>
      </c>
      <c r="G352" s="19">
        <f ca="1">IF($A352-G$3&lt;2,0,OFFSET('FPSO1 Base'!G349,-'FPSO1 Otim'!G$3,0))</f>
        <v>112.983</v>
      </c>
      <c r="H352" s="19">
        <f ca="1">IF($A352-H$3&lt;2,0,OFFSET('FPSO1 Base'!H349,-'FPSO1 Otim'!H$3,0))</f>
        <v>538.91100000000006</v>
      </c>
      <c r="I352" s="19">
        <f ca="1">IF($A352-I$3&lt;2,0,OFFSET('FPSO1 Base'!I349,-'FPSO1 Otim'!I$3,0))</f>
        <v>379.23450000000003</v>
      </c>
      <c r="J352" s="19">
        <f ca="1">IF($A352-J$3&lt;2,0,OFFSET('FPSO1 Base'!J349,-'FPSO1 Otim'!J$3,0))</f>
        <v>208.47450000000001</v>
      </c>
      <c r="K352" s="19">
        <f ca="1">IF($A352-K$3&lt;2,0,OFFSET('FPSO1 Base'!K349,-'FPSO1 Otim'!K$3,0))</f>
        <v>199.00350000000003</v>
      </c>
      <c r="L352" s="19">
        <f ca="1">IF($A352-L$3&lt;2,0,OFFSET('FPSO1 Base'!L349,-'FPSO1 Otim'!L$3,0))</f>
        <v>237.5445</v>
      </c>
      <c r="M352" s="19">
        <f ca="1">IF($A352-M$3&lt;2,0,OFFSET('FPSO1 Base'!M349,-'FPSO1 Otim'!M$3,0))</f>
        <v>337.84950000000003</v>
      </c>
      <c r="N352" s="19">
        <f ca="1">IF($A352-N$3&lt;2,0,OFFSET('FPSO1 Base'!N349,-'FPSO1 Otim'!N$3,0))</f>
        <v>10.572769369003929</v>
      </c>
      <c r="O352" s="19">
        <f ca="1">IF($A352-O$3&lt;2,0,OFFSET('FPSO1 Base'!O349,-'FPSO1 Otim'!O$3,0))</f>
        <v>210.59549999999999</v>
      </c>
      <c r="P352" s="19">
        <f ca="1">IF($A352-P$3&lt;2,0,OFFSET('FPSO1 Base'!P349,-'FPSO1 Otim'!P$3,0))</f>
        <v>60.276192782998329</v>
      </c>
      <c r="Q352" s="19">
        <f ca="1">IF($A352-Q$3&lt;2,0,OFFSET('FPSO1 Base'!Q349,-'FPSO1 Otim'!Q$3,0))</f>
        <v>368.565</v>
      </c>
      <c r="R352" s="19">
        <f ca="1">IF($A352-R$3&lt;2,0,OFFSET('FPSO1 Base'!R349,-'FPSO1 Otim'!R$3,0))</f>
        <v>18.764963695613648</v>
      </c>
      <c r="S352" s="19">
        <f ca="1">IF($A352-S$3&lt;2,0,OFFSET('FPSO1 Base'!S349,-'FPSO1 Otim'!S$3,0))</f>
        <v>235.2585</v>
      </c>
      <c r="T352" s="19">
        <f ca="1">IF($A352-T$3&lt;2,0,OFFSET('FPSO1 Base'!T349,-'FPSO1 Otim'!T$3,0))</f>
        <v>423.50850000000003</v>
      </c>
      <c r="U352" s="19">
        <f ca="1">IF($A352-U$3&lt;2,0,OFFSET('FPSO1 Base'!U349,-'FPSO1 Otim'!U$3,0))</f>
        <v>501.94350000000003</v>
      </c>
      <c r="V352" s="19">
        <f ca="1">IF($A352-V$3&lt;2,0,OFFSET('FPSO1 Base'!V349,-'FPSO1 Otim'!V$3,0))</f>
        <v>458.20049999999998</v>
      </c>
      <c r="W352" s="19">
        <f ca="1">IF($A352-W$3&lt;2,0,OFFSET('FPSO1 Base'!W349,-'FPSO1 Otim'!W$3,0))</f>
        <v>208.887</v>
      </c>
      <c r="X352" s="19">
        <f ca="1">IF($A352-X$3&lt;2,0,OFFSET('FPSO1 Base'!X349,-'FPSO1 Otim'!X$3,0))</f>
        <v>583.5</v>
      </c>
      <c r="Y352" s="19">
        <f ca="1">IF($A352-Y$3&lt;2,0,OFFSET('FPSO1 Base'!Y349,-'FPSO1 Otim'!Y$3,0))</f>
        <v>389.50049999999999</v>
      </c>
      <c r="Z352" s="19">
        <f ca="1">IF($A352-Z$3&lt;2,0,OFFSET('FPSO1 Base'!Z349,-'FPSO1 Otim'!Z$3,0))</f>
        <v>270.91949999999997</v>
      </c>
      <c r="AA352" s="20">
        <v>15000</v>
      </c>
      <c r="AB352" s="19">
        <f t="shared" ca="1" si="19"/>
        <v>6869.2029258476159</v>
      </c>
      <c r="AC352" s="20">
        <f t="shared" ca="1" si="20"/>
        <v>8130.7970741523841</v>
      </c>
      <c r="AD352" s="19">
        <f t="shared" ca="1" si="21"/>
        <v>388.93707988272052</v>
      </c>
    </row>
    <row r="353" spans="1:30" x14ac:dyDescent="0.25">
      <c r="A353" s="19">
        <v>349</v>
      </c>
      <c r="B353" s="31">
        <v>56219</v>
      </c>
      <c r="C353" s="19">
        <f ca="1">IF($A353-C$3&lt;2,0,OFFSET('FPSO1 Base'!C350,-'FPSO1 Otim'!C$3,0))</f>
        <v>467.80500000000001</v>
      </c>
      <c r="D353" s="19">
        <f ca="1">IF($A353-D$3&lt;2,0,OFFSET('FPSO1 Base'!D350,-'FPSO1 Otim'!D$3,0))</f>
        <v>80.516999999999996</v>
      </c>
      <c r="E353" s="19">
        <f ca="1">IF($A353-E$3&lt;2,0,OFFSET('FPSO1 Base'!E350,-'FPSO1 Otim'!E$3,0))</f>
        <v>249.96750000000003</v>
      </c>
      <c r="F353" s="19">
        <f ca="1">IF($A353-F$3&lt;2,0,OFFSET('FPSO1 Base'!F350,-'FPSO1 Otim'!F$3,0))</f>
        <v>312.072</v>
      </c>
      <c r="G353" s="19">
        <f ca="1">IF($A353-G$3&lt;2,0,OFFSET('FPSO1 Base'!G350,-'FPSO1 Otim'!G$3,0))</f>
        <v>112.53300000000002</v>
      </c>
      <c r="H353" s="19">
        <f ca="1">IF($A353-H$3&lt;2,0,OFFSET('FPSO1 Base'!H350,-'FPSO1 Otim'!H$3,0))</f>
        <v>538.68449999999996</v>
      </c>
      <c r="I353" s="19">
        <f ca="1">IF($A353-I$3&lt;2,0,OFFSET('FPSO1 Base'!I350,-'FPSO1 Otim'!I$3,0))</f>
        <v>378.70050000000003</v>
      </c>
      <c r="J353" s="19">
        <f ca="1">IF($A353-J$3&lt;2,0,OFFSET('FPSO1 Base'!J350,-'FPSO1 Otim'!J$3,0))</f>
        <v>207.96750000000003</v>
      </c>
      <c r="K353" s="19">
        <f ca="1">IF($A353-K$3&lt;2,0,OFFSET('FPSO1 Base'!K350,-'FPSO1 Otim'!K$3,0))</f>
        <v>198.22500000000002</v>
      </c>
      <c r="L353" s="19">
        <f ca="1">IF($A353-L$3&lt;2,0,OFFSET('FPSO1 Base'!L350,-'FPSO1 Otim'!L$3,0))</f>
        <v>237.09300000000002</v>
      </c>
      <c r="M353" s="19">
        <f ca="1">IF($A353-M$3&lt;2,0,OFFSET('FPSO1 Base'!M350,-'FPSO1 Otim'!M$3,0))</f>
        <v>337.428</v>
      </c>
      <c r="N353" s="19">
        <f ca="1">IF($A353-N$3&lt;2,0,OFFSET('FPSO1 Base'!N350,-'FPSO1 Otim'!N$3,0))</f>
        <v>10.46704167531389</v>
      </c>
      <c r="O353" s="19">
        <f ca="1">IF($A353-O$3&lt;2,0,OFFSET('FPSO1 Base'!O350,-'FPSO1 Otim'!O$3,0))</f>
        <v>209.87850000000003</v>
      </c>
      <c r="P353" s="19">
        <f ca="1">IF($A353-P$3&lt;2,0,OFFSET('FPSO1 Base'!P350,-'FPSO1 Otim'!P$3,0))</f>
        <v>59.673430855168348</v>
      </c>
      <c r="Q353" s="19">
        <f ca="1">IF($A353-Q$3&lt;2,0,OFFSET('FPSO1 Base'!Q350,-'FPSO1 Otim'!Q$3,0))</f>
        <v>367.875</v>
      </c>
      <c r="R353" s="19">
        <f ca="1">IF($A353-R$3&lt;2,0,OFFSET('FPSO1 Base'!R350,-'FPSO1 Otim'!R$3,0))</f>
        <v>18.57731405865751</v>
      </c>
      <c r="S353" s="19">
        <f ca="1">IF($A353-S$3&lt;2,0,OFFSET('FPSO1 Base'!S350,-'FPSO1 Otim'!S$3,0))</f>
        <v>235.62450000000001</v>
      </c>
      <c r="T353" s="19">
        <f ca="1">IF($A353-T$3&lt;2,0,OFFSET('FPSO1 Base'!T350,-'FPSO1 Otim'!T$3,0))</f>
        <v>421.64549999999997</v>
      </c>
      <c r="U353" s="19">
        <f ca="1">IF($A353-U$3&lt;2,0,OFFSET('FPSO1 Base'!U350,-'FPSO1 Otim'!U$3,0))</f>
        <v>501.10050000000001</v>
      </c>
      <c r="V353" s="19">
        <f ca="1">IF($A353-V$3&lt;2,0,OFFSET('FPSO1 Base'!V350,-'FPSO1 Otim'!V$3,0))</f>
        <v>457.25850000000003</v>
      </c>
      <c r="W353" s="19">
        <f ca="1">IF($A353-W$3&lt;2,0,OFFSET('FPSO1 Base'!W350,-'FPSO1 Otim'!W$3,0))</f>
        <v>208.548</v>
      </c>
      <c r="X353" s="19">
        <f ca="1">IF($A353-X$3&lt;2,0,OFFSET('FPSO1 Base'!X350,-'FPSO1 Otim'!X$3,0))</f>
        <v>582.59999999999991</v>
      </c>
      <c r="Y353" s="19">
        <f ca="1">IF($A353-Y$3&lt;2,0,OFFSET('FPSO1 Base'!Y350,-'FPSO1 Otim'!Y$3,0))</f>
        <v>388.88699999999994</v>
      </c>
      <c r="Z353" s="19">
        <f ca="1">IF($A353-Z$3&lt;2,0,OFFSET('FPSO1 Base'!Z350,-'FPSO1 Otim'!Z$3,0))</f>
        <v>269.28750000000002</v>
      </c>
      <c r="AA353" s="20">
        <v>15000</v>
      </c>
      <c r="AB353" s="19">
        <f t="shared" ca="1" si="19"/>
        <v>6852.4157865891384</v>
      </c>
      <c r="AC353" s="20">
        <f t="shared" ca="1" si="20"/>
        <v>8147.5842134108616</v>
      </c>
      <c r="AD353" s="19">
        <f t="shared" ca="1" si="21"/>
        <v>384.7800844861614</v>
      </c>
    </row>
    <row r="354" spans="1:30" x14ac:dyDescent="0.25">
      <c r="A354" s="19">
        <v>350</v>
      </c>
      <c r="B354" s="31">
        <v>56250</v>
      </c>
      <c r="C354" s="19">
        <f ca="1">IF($A354-C$3&lt;2,0,OFFSET('FPSO1 Base'!C351,-'FPSO1 Otim'!C$3,0))</f>
        <v>466.43400000000003</v>
      </c>
      <c r="D354" s="19">
        <f ca="1">IF($A354-D$3&lt;2,0,OFFSET('FPSO1 Base'!D351,-'FPSO1 Otim'!D$3,0))</f>
        <v>80.152500000000003</v>
      </c>
      <c r="E354" s="19">
        <f ca="1">IF($A354-E$3&lt;2,0,OFFSET('FPSO1 Base'!E351,-'FPSO1 Otim'!E$3,0))</f>
        <v>248.13750000000002</v>
      </c>
      <c r="F354" s="19">
        <f ca="1">IF($A354-F$3&lt;2,0,OFFSET('FPSO1 Base'!F351,-'FPSO1 Otim'!F$3,0))</f>
        <v>310.99950000000001</v>
      </c>
      <c r="G354" s="19">
        <f ca="1">IF($A354-G$3&lt;2,0,OFFSET('FPSO1 Base'!G351,-'FPSO1 Otim'!G$3,0))</f>
        <v>112.40849999999999</v>
      </c>
      <c r="H354" s="19">
        <f ca="1">IF($A354-H$3&lt;2,0,OFFSET('FPSO1 Base'!H351,-'FPSO1 Otim'!H$3,0))</f>
        <v>538.476</v>
      </c>
      <c r="I354" s="19">
        <f ca="1">IF($A354-I$3&lt;2,0,OFFSET('FPSO1 Base'!I351,-'FPSO1 Otim'!I$3,0))</f>
        <v>378.24149999999997</v>
      </c>
      <c r="J354" s="19">
        <f ca="1">IF($A354-J$3&lt;2,0,OFFSET('FPSO1 Base'!J351,-'FPSO1 Otim'!J$3,0))</f>
        <v>207.459</v>
      </c>
      <c r="K354" s="19">
        <f ca="1">IF($A354-K$3&lt;2,0,OFFSET('FPSO1 Base'!K351,-'FPSO1 Otim'!K$3,0))</f>
        <v>197.4915</v>
      </c>
      <c r="L354" s="19">
        <f ca="1">IF($A354-L$3&lt;2,0,OFFSET('FPSO1 Base'!L351,-'FPSO1 Otim'!L$3,0))</f>
        <v>236.7585</v>
      </c>
      <c r="M354" s="19">
        <f ca="1">IF($A354-M$3&lt;2,0,OFFSET('FPSO1 Base'!M351,-'FPSO1 Otim'!M$3,0))</f>
        <v>337.07550000000003</v>
      </c>
      <c r="N354" s="19">
        <f ca="1">IF($A354-N$3&lt;2,0,OFFSET('FPSO1 Base'!N351,-'FPSO1 Otim'!N$3,0))</f>
        <v>10.362371258560751</v>
      </c>
      <c r="O354" s="19">
        <f ca="1">IF($A354-O$3&lt;2,0,OFFSET('FPSO1 Base'!O351,-'FPSO1 Otim'!O$3,0))</f>
        <v>209.10000000000002</v>
      </c>
      <c r="P354" s="19">
        <f ca="1">IF($A354-P$3&lt;2,0,OFFSET('FPSO1 Base'!P351,-'FPSO1 Otim'!P$3,0))</f>
        <v>59.076696546616667</v>
      </c>
      <c r="Q354" s="19">
        <f ca="1">IF($A354-Q$3&lt;2,0,OFFSET('FPSO1 Base'!Q351,-'FPSO1 Otim'!Q$3,0))</f>
        <v>367.25850000000003</v>
      </c>
      <c r="R354" s="19">
        <f ca="1">IF($A354-R$3&lt;2,0,OFFSET('FPSO1 Base'!R351,-'FPSO1 Otim'!R$3,0))</f>
        <v>18.391540918070934</v>
      </c>
      <c r="S354" s="19">
        <f ca="1">IF($A354-S$3&lt;2,0,OFFSET('FPSO1 Base'!S351,-'FPSO1 Otim'!S$3,0))</f>
        <v>236.0085</v>
      </c>
      <c r="T354" s="19">
        <f ca="1">IF($A354-T$3&lt;2,0,OFFSET('FPSO1 Base'!T351,-'FPSO1 Otim'!T$3,0))</f>
        <v>419.50049999999999</v>
      </c>
      <c r="U354" s="19">
        <f ca="1">IF($A354-U$3&lt;2,0,OFFSET('FPSO1 Base'!U351,-'FPSO1 Otim'!U$3,0))</f>
        <v>500.298</v>
      </c>
      <c r="V354" s="19">
        <f ca="1">IF($A354-V$3&lt;2,0,OFFSET('FPSO1 Base'!V351,-'FPSO1 Otim'!V$3,0))</f>
        <v>456.40049999999997</v>
      </c>
      <c r="W354" s="19">
        <f ca="1">IF($A354-W$3&lt;2,0,OFFSET('FPSO1 Base'!W351,-'FPSO1 Otim'!W$3,0))</f>
        <v>208.17449999999997</v>
      </c>
      <c r="X354" s="19">
        <f ca="1">IF($A354-X$3&lt;2,0,OFFSET('FPSO1 Base'!X351,-'FPSO1 Otim'!X$3,0))</f>
        <v>581.226</v>
      </c>
      <c r="Y354" s="19">
        <f ca="1">IF($A354-Y$3&lt;2,0,OFFSET('FPSO1 Base'!Y351,-'FPSO1 Otim'!Y$3,0))</f>
        <v>388.28250000000003</v>
      </c>
      <c r="Z354" s="19">
        <f ca="1">IF($A354-Z$3&lt;2,0,OFFSET('FPSO1 Base'!Z351,-'FPSO1 Otim'!Z$3,0))</f>
        <v>267.798</v>
      </c>
      <c r="AA354" s="20">
        <v>15000</v>
      </c>
      <c r="AB354" s="19">
        <f t="shared" ca="1" si="19"/>
        <v>6835.5116087232473</v>
      </c>
      <c r="AC354" s="20">
        <f t="shared" ca="1" si="20"/>
        <v>8164.4883912767527</v>
      </c>
      <c r="AD354" s="19">
        <f t="shared" ca="1" si="21"/>
        <v>380.65871713843046</v>
      </c>
    </row>
    <row r="355" spans="1:30" x14ac:dyDescent="0.25">
      <c r="A355" s="19">
        <v>351</v>
      </c>
      <c r="B355" s="31">
        <v>56281</v>
      </c>
      <c r="C355" s="19">
        <f ca="1">IF($A355-C$3&lt;2,0,OFFSET('FPSO1 Base'!C352,-'FPSO1 Otim'!C$3,0))</f>
        <v>465.1635</v>
      </c>
      <c r="D355" s="19">
        <f ca="1">IF($A355-D$3&lt;2,0,OFFSET('FPSO1 Base'!D352,-'FPSO1 Otim'!D$3,0))</f>
        <v>79.772999999999996</v>
      </c>
      <c r="E355" s="19">
        <f ca="1">IF($A355-E$3&lt;2,0,OFFSET('FPSO1 Base'!E352,-'FPSO1 Otim'!E$3,0))</f>
        <v>246.447</v>
      </c>
      <c r="F355" s="19">
        <f ca="1">IF($A355-F$3&lt;2,0,OFFSET('FPSO1 Base'!F352,-'FPSO1 Otim'!F$3,0))</f>
        <v>310.041</v>
      </c>
      <c r="G355" s="19">
        <f ca="1">IF($A355-G$3&lt;2,0,OFFSET('FPSO1 Base'!G352,-'FPSO1 Otim'!G$3,0))</f>
        <v>112.04849999999999</v>
      </c>
      <c r="H355" s="19">
        <f ca="1">IF($A355-H$3&lt;2,0,OFFSET('FPSO1 Base'!H352,-'FPSO1 Otim'!H$3,0))</f>
        <v>538.25850000000003</v>
      </c>
      <c r="I355" s="19">
        <f ca="1">IF($A355-I$3&lt;2,0,OFFSET('FPSO1 Base'!I352,-'FPSO1 Otim'!I$3,0))</f>
        <v>377.74950000000001</v>
      </c>
      <c r="J355" s="19">
        <f ca="1">IF($A355-J$3&lt;2,0,OFFSET('FPSO1 Base'!J352,-'FPSO1 Otim'!J$3,0))</f>
        <v>206.89949999999999</v>
      </c>
      <c r="K355" s="19">
        <f ca="1">IF($A355-K$3&lt;2,0,OFFSET('FPSO1 Base'!K352,-'FPSO1 Otim'!K$3,0))</f>
        <v>196.79999999999998</v>
      </c>
      <c r="L355" s="19">
        <f ca="1">IF($A355-L$3&lt;2,0,OFFSET('FPSO1 Base'!L352,-'FPSO1 Otim'!L$3,0))</f>
        <v>236.33699999999999</v>
      </c>
      <c r="M355" s="19">
        <f ca="1">IF($A355-M$3&lt;2,0,OFFSET('FPSO1 Base'!M352,-'FPSO1 Otim'!M$3,0))</f>
        <v>336.65250000000003</v>
      </c>
      <c r="N355" s="19">
        <f ca="1">IF($A355-N$3&lt;2,0,OFFSET('FPSO1 Base'!N352,-'FPSO1 Otim'!N$3,0))</f>
        <v>10.258747545975144</v>
      </c>
      <c r="O355" s="19">
        <f ca="1">IF($A355-O$3&lt;2,0,OFFSET('FPSO1 Base'!O352,-'FPSO1 Otim'!O$3,0))</f>
        <v>208.37850000000003</v>
      </c>
      <c r="P355" s="19">
        <f ca="1">IF($A355-P$3&lt;2,0,OFFSET('FPSO1 Base'!P352,-'FPSO1 Otim'!P$3,0))</f>
        <v>58.485929581150501</v>
      </c>
      <c r="Q355" s="19">
        <f ca="1">IF($A355-Q$3&lt;2,0,OFFSET('FPSO1 Base'!Q352,-'FPSO1 Otim'!Q$3,0))</f>
        <v>366.52499999999998</v>
      </c>
      <c r="R355" s="19">
        <f ca="1">IF($A355-R$3&lt;2,0,OFFSET('FPSO1 Base'!R352,-'FPSO1 Otim'!R$3,0))</f>
        <v>18.207625508890224</v>
      </c>
      <c r="S355" s="19">
        <f ca="1">IF($A355-S$3&lt;2,0,OFFSET('FPSO1 Base'!S352,-'FPSO1 Otim'!S$3,0))</f>
        <v>236.37450000000001</v>
      </c>
      <c r="T355" s="19">
        <f ca="1">IF($A355-T$3&lt;2,0,OFFSET('FPSO1 Base'!T352,-'FPSO1 Otim'!T$3,0))</f>
        <v>417.48449999999997</v>
      </c>
      <c r="U355" s="19">
        <f ca="1">IF($A355-U$3&lt;2,0,OFFSET('FPSO1 Base'!U352,-'FPSO1 Otim'!U$3,0))</f>
        <v>499.47450000000003</v>
      </c>
      <c r="V355" s="19">
        <f ca="1">IF($A355-V$3&lt;2,0,OFFSET('FPSO1 Base'!V352,-'FPSO1 Otim'!V$3,0))</f>
        <v>455.51550000000003</v>
      </c>
      <c r="W355" s="19">
        <f ca="1">IF($A355-W$3&lt;2,0,OFFSET('FPSO1 Base'!W352,-'FPSO1 Otim'!W$3,0))</f>
        <v>207.87149999999997</v>
      </c>
      <c r="X355" s="19">
        <f ca="1">IF($A355-X$3&lt;2,0,OFFSET('FPSO1 Base'!X352,-'FPSO1 Otim'!X$3,0))</f>
        <v>579.62850000000003</v>
      </c>
      <c r="Y355" s="19">
        <f ca="1">IF($A355-Y$3&lt;2,0,OFFSET('FPSO1 Base'!Y352,-'FPSO1 Otim'!Y$3,0))</f>
        <v>387.59999999999997</v>
      </c>
      <c r="Z355" s="19">
        <f ca="1">IF($A355-Z$3&lt;2,0,OFFSET('FPSO1 Base'!Z352,-'FPSO1 Otim'!Z$3,0))</f>
        <v>266.21249999999998</v>
      </c>
      <c r="AA355" s="20">
        <v>15000</v>
      </c>
      <c r="AB355" s="19">
        <f t="shared" ca="1" si="19"/>
        <v>6818.1873026360163</v>
      </c>
      <c r="AC355" s="20">
        <f t="shared" ca="1" si="20"/>
        <v>8181.8126973639837</v>
      </c>
      <c r="AD355" s="19">
        <f t="shared" ca="1" si="21"/>
        <v>376.55598765592543</v>
      </c>
    </row>
    <row r="356" spans="1:30" x14ac:dyDescent="0.25">
      <c r="A356" s="19">
        <v>352</v>
      </c>
      <c r="B356" s="31">
        <v>56309</v>
      </c>
      <c r="C356" s="19">
        <f ca="1">IF($A356-C$3&lt;2,0,OFFSET('FPSO1 Base'!C353,-'FPSO1 Otim'!C$3,0))</f>
        <v>463.78800000000001</v>
      </c>
      <c r="D356" s="19">
        <f ca="1">IF($A356-D$3&lt;2,0,OFFSET('FPSO1 Base'!D353,-'FPSO1 Otim'!D$3,0))</f>
        <v>79.408500000000004</v>
      </c>
      <c r="E356" s="19">
        <f ca="1">IF($A356-E$3&lt;2,0,OFFSET('FPSO1 Base'!E353,-'FPSO1 Otim'!E$3,0))</f>
        <v>244.62450000000001</v>
      </c>
      <c r="F356" s="19">
        <f ca="1">IF($A356-F$3&lt;2,0,OFFSET('FPSO1 Base'!F353,-'FPSO1 Otim'!F$3,0))</f>
        <v>309.09749999999997</v>
      </c>
      <c r="G356" s="19">
        <f ca="1">IF($A356-G$3&lt;2,0,OFFSET('FPSO1 Base'!G353,-'FPSO1 Otim'!G$3,0))</f>
        <v>111.54150000000001</v>
      </c>
      <c r="H356" s="19">
        <f ca="1">IF($A356-H$3&lt;2,0,OFFSET('FPSO1 Base'!H353,-'FPSO1 Otim'!H$3,0))</f>
        <v>538.06200000000001</v>
      </c>
      <c r="I356" s="19">
        <f ca="1">IF($A356-I$3&lt;2,0,OFFSET('FPSO1 Base'!I353,-'FPSO1 Otim'!I$3,0))</f>
        <v>377.274</v>
      </c>
      <c r="J356" s="19">
        <f ca="1">IF($A356-J$3&lt;2,0,OFFSET('FPSO1 Base'!J353,-'FPSO1 Otim'!J$3,0))</f>
        <v>206.46750000000003</v>
      </c>
      <c r="K356" s="19">
        <f ca="1">IF($A356-K$3&lt;2,0,OFFSET('FPSO1 Base'!K353,-'FPSO1 Otim'!K$3,0))</f>
        <v>195.96750000000003</v>
      </c>
      <c r="L356" s="19">
        <f ca="1">IF($A356-L$3&lt;2,0,OFFSET('FPSO1 Base'!L353,-'FPSO1 Otim'!L$3,0))</f>
        <v>235.959</v>
      </c>
      <c r="M356" s="19">
        <f ca="1">IF($A356-M$3&lt;2,0,OFFSET('FPSO1 Base'!M353,-'FPSO1 Otim'!M$3,0))</f>
        <v>336.26549999999997</v>
      </c>
      <c r="N356" s="19">
        <f ca="1">IF($A356-N$3&lt;2,0,OFFSET('FPSO1 Base'!N353,-'FPSO1 Otim'!N$3,0))</f>
        <v>10.156160070515392</v>
      </c>
      <c r="O356" s="19">
        <f ca="1">IF($A356-O$3&lt;2,0,OFFSET('FPSO1 Base'!O353,-'FPSO1 Otim'!O$3,0))</f>
        <v>207.60000000000002</v>
      </c>
      <c r="P356" s="19">
        <f ca="1">IF($A356-P$3&lt;2,0,OFFSET('FPSO1 Base'!P353,-'FPSO1 Otim'!P$3,0))</f>
        <v>57.901070285338996</v>
      </c>
      <c r="Q356" s="19">
        <f ca="1">IF($A356-Q$3&lt;2,0,OFFSET('FPSO1 Base'!Q353,-'FPSO1 Otim'!Q$3,0))</f>
        <v>365.83050000000003</v>
      </c>
      <c r="R356" s="19">
        <f ca="1">IF($A356-R$3&lt;2,0,OFFSET('FPSO1 Base'!R353,-'FPSO1 Otim'!R$3,0))</f>
        <v>18.025549253801323</v>
      </c>
      <c r="S356" s="19">
        <f ca="1">IF($A356-S$3&lt;2,0,OFFSET('FPSO1 Base'!S353,-'FPSO1 Otim'!S$3,0))</f>
        <v>236.7585</v>
      </c>
      <c r="T356" s="19">
        <f ca="1">IF($A356-T$3&lt;2,0,OFFSET('FPSO1 Base'!T353,-'FPSO1 Otim'!T$3,0))</f>
        <v>415.37549999999999</v>
      </c>
      <c r="U356" s="19">
        <f ca="1">IF($A356-U$3&lt;2,0,OFFSET('FPSO1 Base'!U353,-'FPSO1 Otim'!U$3,0))</f>
        <v>498.702</v>
      </c>
      <c r="V356" s="19">
        <f ca="1">IF($A356-V$3&lt;2,0,OFFSET('FPSO1 Base'!V353,-'FPSO1 Otim'!V$3,0))</f>
        <v>454.64549999999997</v>
      </c>
      <c r="W356" s="19">
        <f ca="1">IF($A356-W$3&lt;2,0,OFFSET('FPSO1 Base'!W353,-'FPSO1 Otim'!W$3,0))</f>
        <v>207.49950000000001</v>
      </c>
      <c r="X356" s="19">
        <f ca="1">IF($A356-X$3&lt;2,0,OFFSET('FPSO1 Base'!X353,-'FPSO1 Otim'!X$3,0))</f>
        <v>577.55399999999997</v>
      </c>
      <c r="Y356" s="19">
        <f ca="1">IF($A356-Y$3&lt;2,0,OFFSET('FPSO1 Base'!Y353,-'FPSO1 Otim'!Y$3,0))</f>
        <v>387.01199999999994</v>
      </c>
      <c r="Z356" s="19">
        <f ca="1">IF($A356-Z$3&lt;2,0,OFFSET('FPSO1 Base'!Z353,-'FPSO1 Otim'!Z$3,0))</f>
        <v>264.714</v>
      </c>
      <c r="AA356" s="20">
        <v>15000</v>
      </c>
      <c r="AB356" s="19">
        <f t="shared" ca="1" si="19"/>
        <v>6800.2297796096545</v>
      </c>
      <c r="AC356" s="20">
        <f t="shared" ca="1" si="20"/>
        <v>8199.7702203903464</v>
      </c>
      <c r="AD356" s="19">
        <f t="shared" ca="1" si="21"/>
        <v>372.46038999030549</v>
      </c>
    </row>
    <row r="357" spans="1:30" x14ac:dyDescent="0.25">
      <c r="A357" s="19">
        <v>353</v>
      </c>
      <c r="B357" s="31">
        <v>56340</v>
      </c>
      <c r="C357" s="19">
        <f ca="1">IF($A357-C$3&lt;2,0,OFFSET('FPSO1 Base'!C354,-'FPSO1 Otim'!C$3,0))</f>
        <v>462.59700000000004</v>
      </c>
      <c r="D357" s="19">
        <f ca="1">IF($A357-D$3&lt;2,0,OFFSET('FPSO1 Base'!D354,-'FPSO1 Otim'!D$3,0))</f>
        <v>79.018500000000003</v>
      </c>
      <c r="E357" s="19">
        <f ca="1">IF($A357-E$3&lt;2,0,OFFSET('FPSO1 Base'!E354,-'FPSO1 Otim'!E$3,0))</f>
        <v>242.928</v>
      </c>
      <c r="F357" s="19">
        <f ca="1">IF($A357-F$3&lt;2,0,OFFSET('FPSO1 Base'!F354,-'FPSO1 Otim'!F$3,0))</f>
        <v>308.04300000000001</v>
      </c>
      <c r="G357" s="19">
        <f ca="1">IF($A357-G$3&lt;2,0,OFFSET('FPSO1 Base'!G354,-'FPSO1 Otim'!G$3,0))</f>
        <v>111.07350000000001</v>
      </c>
      <c r="H357" s="19">
        <f ca="1">IF($A357-H$3&lt;2,0,OFFSET('FPSO1 Base'!H354,-'FPSO1 Otim'!H$3,0))</f>
        <v>537.83399999999995</v>
      </c>
      <c r="I357" s="19">
        <f ca="1">IF($A357-I$3&lt;2,0,OFFSET('FPSO1 Base'!I354,-'FPSO1 Otim'!I$3,0))</f>
        <v>376.815</v>
      </c>
      <c r="J357" s="19">
        <f ca="1">IF($A357-J$3&lt;2,0,OFFSET('FPSO1 Base'!J354,-'FPSO1 Otim'!J$3,0))</f>
        <v>205.90049999999999</v>
      </c>
      <c r="K357" s="19">
        <f ca="1">IF($A357-K$3&lt;2,0,OFFSET('FPSO1 Base'!K354,-'FPSO1 Otim'!K$3,0))</f>
        <v>195.2775</v>
      </c>
      <c r="L357" s="19">
        <f ca="1">IF($A357-L$3&lt;2,0,OFFSET('FPSO1 Base'!L354,-'FPSO1 Otim'!L$3,0))</f>
        <v>235.58699999999999</v>
      </c>
      <c r="M357" s="19">
        <f ca="1">IF($A357-M$3&lt;2,0,OFFSET('FPSO1 Base'!M354,-'FPSO1 Otim'!M$3,0))</f>
        <v>335.86649999999997</v>
      </c>
      <c r="N357" s="19">
        <f ca="1">IF($A357-N$3&lt;2,0,OFFSET('FPSO1 Base'!N354,-'FPSO1 Otim'!N$3,0))</f>
        <v>10.054598469810239</v>
      </c>
      <c r="O357" s="19">
        <f ca="1">IF($A357-O$3&lt;2,0,OFFSET('FPSO1 Base'!O354,-'FPSO1 Otim'!O$3,0))</f>
        <v>204.75</v>
      </c>
      <c r="P357" s="19">
        <f ca="1">IF($A357-P$3&lt;2,0,OFFSET('FPSO1 Base'!P354,-'FPSO1 Otim'!P$3,0))</f>
        <v>57.322059582485608</v>
      </c>
      <c r="Q357" s="19">
        <f ca="1">IF($A357-Q$3&lt;2,0,OFFSET('FPSO1 Base'!Q354,-'FPSO1 Otim'!Q$3,0))</f>
        <v>365.15250000000003</v>
      </c>
      <c r="R357" s="19">
        <f ca="1">IF($A357-R$3&lt;2,0,OFFSET('FPSO1 Base'!R354,-'FPSO1 Otim'!R$3,0))</f>
        <v>17.84529376126331</v>
      </c>
      <c r="S357" s="19">
        <f ca="1">IF($A357-S$3&lt;2,0,OFFSET('FPSO1 Base'!S354,-'FPSO1 Otim'!S$3,0))</f>
        <v>237.14550000000003</v>
      </c>
      <c r="T357" s="19">
        <f ca="1">IF($A357-T$3&lt;2,0,OFFSET('FPSO1 Base'!T354,-'FPSO1 Otim'!T$3,0))</f>
        <v>413.37150000000003</v>
      </c>
      <c r="U357" s="19">
        <f ca="1">IF($A357-U$3&lt;2,0,OFFSET('FPSO1 Base'!U354,-'FPSO1 Otim'!U$3,0))</f>
        <v>497.952</v>
      </c>
      <c r="V357" s="19">
        <f ca="1">IF($A357-V$3&lt;2,0,OFFSET('FPSO1 Base'!V354,-'FPSO1 Otim'!V$3,0))</f>
        <v>453.72450000000003</v>
      </c>
      <c r="W357" s="19">
        <f ca="1">IF($A357-W$3&lt;2,0,OFFSET('FPSO1 Base'!W354,-'FPSO1 Otim'!W$3,0))</f>
        <v>207.1695</v>
      </c>
      <c r="X357" s="19">
        <f ca="1">IF($A357-X$3&lt;2,0,OFFSET('FPSO1 Base'!X354,-'FPSO1 Otim'!X$3,0))</f>
        <v>575.61300000000006</v>
      </c>
      <c r="Y357" s="19">
        <f ca="1">IF($A357-Y$3&lt;2,0,OFFSET('FPSO1 Base'!Y354,-'FPSO1 Otim'!Y$3,0))</f>
        <v>386.36249999999995</v>
      </c>
      <c r="Z357" s="19">
        <f ca="1">IF($A357-Z$3&lt;2,0,OFFSET('FPSO1 Base'!Z354,-'FPSO1 Otim'!Z$3,0))</f>
        <v>263.25</v>
      </c>
      <c r="AA357" s="20">
        <v>15000</v>
      </c>
      <c r="AB357" s="19">
        <f t="shared" ca="1" si="19"/>
        <v>6780.6534518135604</v>
      </c>
      <c r="AC357" s="20">
        <f t="shared" ca="1" si="20"/>
        <v>8219.3465481864405</v>
      </c>
      <c r="AD357" s="19">
        <f t="shared" ca="1" si="21"/>
        <v>368.31883689232365</v>
      </c>
    </row>
    <row r="358" spans="1:30" x14ac:dyDescent="0.25">
      <c r="A358" s="19">
        <v>354</v>
      </c>
      <c r="B358" s="31">
        <v>56370</v>
      </c>
      <c r="C358" s="19">
        <f ca="1">IF($A358-C$3&lt;2,0,OFFSET('FPSO1 Base'!C355,-'FPSO1 Otim'!C$3,0))</f>
        <v>461.23649999999998</v>
      </c>
      <c r="D358" s="19">
        <f ca="1">IF($A358-D$3&lt;2,0,OFFSET('FPSO1 Base'!D355,-'FPSO1 Otim'!D$3,0))</f>
        <v>78.661500000000004</v>
      </c>
      <c r="E358" s="19">
        <f ca="1">IF($A358-E$3&lt;2,0,OFFSET('FPSO1 Base'!E355,-'FPSO1 Otim'!E$3,0))</f>
        <v>241.2225</v>
      </c>
      <c r="F358" s="19">
        <f ca="1">IF($A358-F$3&lt;2,0,OFFSET('FPSO1 Base'!F355,-'FPSO1 Otim'!F$3,0))</f>
        <v>307.137</v>
      </c>
      <c r="G358" s="19">
        <f ca="1">IF($A358-G$3&lt;2,0,OFFSET('FPSO1 Base'!G355,-'FPSO1 Otim'!G$3,0))</f>
        <v>110.32350000000001</v>
      </c>
      <c r="H358" s="19">
        <f ca="1">IF($A358-H$3&lt;2,0,OFFSET('FPSO1 Base'!H355,-'FPSO1 Otim'!H$3,0))</f>
        <v>537.64499999999998</v>
      </c>
      <c r="I358" s="19">
        <f ca="1">IF($A358-I$3&lt;2,0,OFFSET('FPSO1 Base'!I355,-'FPSO1 Otim'!I$3,0))</f>
        <v>376.3125</v>
      </c>
      <c r="J358" s="19">
        <f ca="1">IF($A358-J$3&lt;2,0,OFFSET('FPSO1 Base'!J355,-'FPSO1 Otim'!J$3,0))</f>
        <v>205.452</v>
      </c>
      <c r="K358" s="19">
        <f ca="1">IF($A358-K$3&lt;2,0,OFFSET('FPSO1 Base'!K355,-'FPSO1 Otim'!K$3,0))</f>
        <v>194.39700000000002</v>
      </c>
      <c r="L358" s="19">
        <f ca="1">IF($A358-L$3&lt;2,0,OFFSET('FPSO1 Base'!L355,-'FPSO1 Otim'!L$3,0))</f>
        <v>235.209</v>
      </c>
      <c r="M358" s="19">
        <f ca="1">IF($A358-M$3&lt;2,0,OFFSET('FPSO1 Base'!M355,-'FPSO1 Otim'!M$3,0))</f>
        <v>335.541</v>
      </c>
      <c r="N358" s="19">
        <f ca="1">IF($A358-N$3&lt;2,0,OFFSET('FPSO1 Base'!N355,-'FPSO1 Otim'!N$3,0))</f>
        <v>9.9540524851121361</v>
      </c>
      <c r="O358" s="19">
        <f ca="1">IF($A358-O$3&lt;2,0,OFFSET('FPSO1 Base'!O355,-'FPSO1 Otim'!O$3,0))</f>
        <v>202.137</v>
      </c>
      <c r="P358" s="19">
        <f ca="1">IF($A358-P$3&lt;2,0,OFFSET('FPSO1 Base'!P355,-'FPSO1 Otim'!P$3,0))</f>
        <v>56.748838986660751</v>
      </c>
      <c r="Q358" s="19">
        <f ca="1">IF($A358-Q$3&lt;2,0,OFFSET('FPSO1 Base'!Q355,-'FPSO1 Otim'!Q$3,0))</f>
        <v>364.39949999999999</v>
      </c>
      <c r="R358" s="19">
        <f ca="1">IF($A358-R$3&lt;2,0,OFFSET('FPSO1 Base'!R355,-'FPSO1 Otim'!R$3,0))</f>
        <v>17.666840823650677</v>
      </c>
      <c r="S358" s="19">
        <f ca="1">IF($A358-S$3&lt;2,0,OFFSET('FPSO1 Base'!S355,-'FPSO1 Otim'!S$3,0))</f>
        <v>237.52499999999998</v>
      </c>
      <c r="T358" s="19">
        <f ca="1">IF($A358-T$3&lt;2,0,OFFSET('FPSO1 Base'!T355,-'FPSO1 Otim'!T$3,0))</f>
        <v>411.411</v>
      </c>
      <c r="U358" s="19">
        <f ca="1">IF($A358-U$3&lt;2,0,OFFSET('FPSO1 Base'!U355,-'FPSO1 Otim'!U$3,0))</f>
        <v>497.17499999999995</v>
      </c>
      <c r="V358" s="19">
        <f ca="1">IF($A358-V$3&lt;2,0,OFFSET('FPSO1 Base'!V355,-'FPSO1 Otim'!V$3,0))</f>
        <v>452.80649999999997</v>
      </c>
      <c r="W358" s="19">
        <f ca="1">IF($A358-W$3&lt;2,0,OFFSET('FPSO1 Base'!W355,-'FPSO1 Otim'!W$3,0))</f>
        <v>206.8305</v>
      </c>
      <c r="X358" s="19">
        <f ca="1">IF($A358-X$3&lt;2,0,OFFSET('FPSO1 Base'!X355,-'FPSO1 Otim'!X$3,0))</f>
        <v>573.29999999999995</v>
      </c>
      <c r="Y358" s="19">
        <f ca="1">IF($A358-Y$3&lt;2,0,OFFSET('FPSO1 Base'!Y355,-'FPSO1 Otim'!Y$3,0))</f>
        <v>385.75349999999997</v>
      </c>
      <c r="Z358" s="19">
        <f ca="1">IF($A358-Z$3&lt;2,0,OFFSET('FPSO1 Base'!Z355,-'FPSO1 Otim'!Z$3,0))</f>
        <v>261.57599999999996</v>
      </c>
      <c r="AA358" s="20">
        <v>15000</v>
      </c>
      <c r="AB358" s="19">
        <f t="shared" ca="1" si="19"/>
        <v>6760.4212322954236</v>
      </c>
      <c r="AC358" s="20">
        <f t="shared" ca="1" si="20"/>
        <v>8239.5787677045773</v>
      </c>
      <c r="AD358" s="19">
        <f t="shared" ca="1" si="21"/>
        <v>364.18496668030127</v>
      </c>
    </row>
    <row r="359" spans="1:30" x14ac:dyDescent="0.25">
      <c r="A359" s="19">
        <v>355</v>
      </c>
      <c r="B359" s="31">
        <v>56401</v>
      </c>
      <c r="C359" s="19">
        <f ca="1">IF($A359-C$3&lt;2,0,OFFSET('FPSO1 Base'!C356,-'FPSO1 Otim'!C$3,0))</f>
        <v>460.0095</v>
      </c>
      <c r="D359" s="19">
        <f ca="1">IF($A359-D$3&lt;2,0,OFFSET('FPSO1 Base'!D356,-'FPSO1 Otim'!D$3,0))</f>
        <v>78.286500000000004</v>
      </c>
      <c r="E359" s="19">
        <f ca="1">IF($A359-E$3&lt;2,0,OFFSET('FPSO1 Base'!E356,-'FPSO1 Otim'!E$3,0))</f>
        <v>239.4495</v>
      </c>
      <c r="F359" s="19">
        <f ca="1">IF($A359-F$3&lt;2,0,OFFSET('FPSO1 Base'!F356,-'FPSO1 Otim'!F$3,0))</f>
        <v>306.1755</v>
      </c>
      <c r="G359" s="19">
        <f ca="1">IF($A359-G$3&lt;2,0,OFFSET('FPSO1 Base'!G356,-'FPSO1 Otim'!G$3,0))</f>
        <v>110.29050000000001</v>
      </c>
      <c r="H359" s="19">
        <f ca="1">IF($A359-H$3&lt;2,0,OFFSET('FPSO1 Base'!H356,-'FPSO1 Otim'!H$3,0))</f>
        <v>537.45150000000001</v>
      </c>
      <c r="I359" s="19">
        <f ca="1">IF($A359-I$3&lt;2,0,OFFSET('FPSO1 Base'!I356,-'FPSO1 Otim'!I$3,0))</f>
        <v>375.87149999999997</v>
      </c>
      <c r="J359" s="19">
        <f ca="1">IF($A359-J$3&lt;2,0,OFFSET('FPSO1 Base'!J356,-'FPSO1 Otim'!J$3,0))</f>
        <v>205.01549999999997</v>
      </c>
      <c r="K359" s="19">
        <f ca="1">IF($A359-K$3&lt;2,0,OFFSET('FPSO1 Base'!K356,-'FPSO1 Otim'!K$3,0))</f>
        <v>193.7055</v>
      </c>
      <c r="L359" s="19">
        <f ca="1">IF($A359-L$3&lt;2,0,OFFSET('FPSO1 Base'!L356,-'FPSO1 Otim'!L$3,0))</f>
        <v>234.85950000000003</v>
      </c>
      <c r="M359" s="19">
        <f ca="1">IF($A359-M$3&lt;2,0,OFFSET('FPSO1 Base'!M356,-'FPSO1 Otim'!M$3,0))</f>
        <v>335.22450000000003</v>
      </c>
      <c r="N359" s="19">
        <f ca="1">IF($A359-N$3&lt;2,0,OFFSET('FPSO1 Base'!N356,-'FPSO1 Otim'!N$3,0))</f>
        <v>9.8545119602610143</v>
      </c>
      <c r="O359" s="19">
        <f ca="1">IF($A359-O$3&lt;2,0,OFFSET('FPSO1 Base'!O356,-'FPSO1 Otim'!O$3,0))</f>
        <v>199.99950000000001</v>
      </c>
      <c r="P359" s="19">
        <f ca="1">IF($A359-P$3&lt;2,0,OFFSET('FPSO1 Base'!P356,-'FPSO1 Otim'!P$3,0))</f>
        <v>56.18135059679414</v>
      </c>
      <c r="Q359" s="19">
        <f ca="1">IF($A359-Q$3&lt;2,0,OFFSET('FPSO1 Base'!Q356,-'FPSO1 Otim'!Q$3,0))</f>
        <v>363.62850000000003</v>
      </c>
      <c r="R359" s="19">
        <f ca="1">IF($A359-R$3&lt;2,0,OFFSET('FPSO1 Base'!R356,-'FPSO1 Otim'!R$3,0))</f>
        <v>17.490172415414172</v>
      </c>
      <c r="S359" s="19">
        <f ca="1">IF($A359-S$3&lt;2,0,OFFSET('FPSO1 Base'!S356,-'FPSO1 Otim'!S$3,0))</f>
        <v>238.62149999999997</v>
      </c>
      <c r="T359" s="19">
        <f ca="1">IF($A359-T$3&lt;2,0,OFFSET('FPSO1 Base'!T356,-'FPSO1 Otim'!T$3,0))</f>
        <v>409.32449999999994</v>
      </c>
      <c r="U359" s="19">
        <f ca="1">IF($A359-U$3&lt;2,0,OFFSET('FPSO1 Base'!U356,-'FPSO1 Otim'!U$3,0))</f>
        <v>496.452</v>
      </c>
      <c r="V359" s="19">
        <f ca="1">IF($A359-V$3&lt;2,0,OFFSET('FPSO1 Base'!V356,-'FPSO1 Otim'!V$3,0))</f>
        <v>451.95000000000005</v>
      </c>
      <c r="W359" s="19">
        <f ca="1">IF($A359-W$3&lt;2,0,OFFSET('FPSO1 Base'!W356,-'FPSO1 Otim'!W$3,0))</f>
        <v>206.48250000000002</v>
      </c>
      <c r="X359" s="19">
        <f ca="1">IF($A359-X$3&lt;2,0,OFFSET('FPSO1 Base'!X356,-'FPSO1 Otim'!X$3,0))</f>
        <v>571.06499999999994</v>
      </c>
      <c r="Y359" s="19">
        <f ca="1">IF($A359-Y$3&lt;2,0,OFFSET('FPSO1 Base'!Y356,-'FPSO1 Otim'!Y$3,0))</f>
        <v>385.20899999999995</v>
      </c>
      <c r="Z359" s="19">
        <f ca="1">IF($A359-Z$3&lt;2,0,OFFSET('FPSO1 Base'!Z356,-'FPSO1 Otim'!Z$3,0))</f>
        <v>260.214</v>
      </c>
      <c r="AA359" s="20">
        <v>15000</v>
      </c>
      <c r="AB359" s="19">
        <f t="shared" ca="1" si="19"/>
        <v>6742.8120349724686</v>
      </c>
      <c r="AC359" s="20">
        <f t="shared" ca="1" si="20"/>
        <v>8257.1879650275314</v>
      </c>
      <c r="AD359" s="19">
        <f t="shared" ca="1" si="21"/>
        <v>360.23440306182994</v>
      </c>
    </row>
    <row r="360" spans="1:30" x14ac:dyDescent="0.25">
      <c r="A360" s="19">
        <v>356</v>
      </c>
      <c r="B360" s="31">
        <v>56431</v>
      </c>
      <c r="C360" s="19">
        <f ca="1">IF($A360-C$3&lt;2,0,OFFSET('FPSO1 Base'!C357,-'FPSO1 Otim'!C$3,0))</f>
        <v>458.733</v>
      </c>
      <c r="D360" s="19">
        <f ca="1">IF($A360-D$3&lt;2,0,OFFSET('FPSO1 Base'!D357,-'FPSO1 Otim'!D$3,0))</f>
        <v>77.941499999999991</v>
      </c>
      <c r="E360" s="19">
        <f ca="1">IF($A360-E$3&lt;2,0,OFFSET('FPSO1 Base'!E357,-'FPSO1 Otim'!E$3,0))</f>
        <v>237.822</v>
      </c>
      <c r="F360" s="19">
        <f ca="1">IF($A360-F$3&lt;2,0,OFFSET('FPSO1 Base'!F357,-'FPSO1 Otim'!F$3,0))</f>
        <v>305.226</v>
      </c>
      <c r="G360" s="19">
        <f ca="1">IF($A360-G$3&lt;2,0,OFFSET('FPSO1 Base'!G357,-'FPSO1 Otim'!G$3,0))</f>
        <v>109.71600000000001</v>
      </c>
      <c r="H360" s="19">
        <f ca="1">IF($A360-H$3&lt;2,0,OFFSET('FPSO1 Base'!H357,-'FPSO1 Otim'!H$3,0))</f>
        <v>537.24299999999994</v>
      </c>
      <c r="I360" s="19">
        <f ca="1">IF($A360-I$3&lt;2,0,OFFSET('FPSO1 Base'!I357,-'FPSO1 Otim'!I$3,0))</f>
        <v>375.375</v>
      </c>
      <c r="J360" s="19">
        <f ca="1">IF($A360-J$3&lt;2,0,OFFSET('FPSO1 Base'!J357,-'FPSO1 Otim'!J$3,0))</f>
        <v>204.5625</v>
      </c>
      <c r="K360" s="19">
        <f ca="1">IF($A360-K$3&lt;2,0,OFFSET('FPSO1 Base'!K357,-'FPSO1 Otim'!K$3,0))</f>
        <v>192.88800000000003</v>
      </c>
      <c r="L360" s="19">
        <f ca="1">IF($A360-L$3&lt;2,0,OFFSET('FPSO1 Base'!L357,-'FPSO1 Otim'!L$3,0))</f>
        <v>234.47550000000001</v>
      </c>
      <c r="M360" s="19">
        <f ca="1">IF($A360-M$3&lt;2,0,OFFSET('FPSO1 Base'!M357,-'FPSO1 Otim'!M$3,0))</f>
        <v>334.935</v>
      </c>
      <c r="N360" s="19">
        <f ca="1">IF($A360-N$3&lt;2,0,OFFSET('FPSO1 Base'!N357,-'FPSO1 Otim'!N$3,0))</f>
        <v>9.7559668406584041</v>
      </c>
      <c r="O360" s="19">
        <f ca="1">IF($A360-O$3&lt;2,0,OFFSET('FPSO1 Base'!O357,-'FPSO1 Otim'!O$3,0))</f>
        <v>198.55650000000003</v>
      </c>
      <c r="P360" s="19">
        <f ca="1">IF($A360-P$3&lt;2,0,OFFSET('FPSO1 Base'!P357,-'FPSO1 Otim'!P$3,0))</f>
        <v>55.619537090826199</v>
      </c>
      <c r="Q360" s="19">
        <f ca="1">IF($A360-Q$3&lt;2,0,OFFSET('FPSO1 Base'!Q357,-'FPSO1 Otim'!Q$3,0))</f>
        <v>362.85</v>
      </c>
      <c r="R360" s="19">
        <f ca="1">IF($A360-R$3&lt;2,0,OFFSET('FPSO1 Base'!R357,-'FPSO1 Otim'!R$3,0))</f>
        <v>17.315270691260029</v>
      </c>
      <c r="S360" s="19">
        <f ca="1">IF($A360-S$3&lt;2,0,OFFSET('FPSO1 Base'!S357,-'FPSO1 Otim'!S$3,0))</f>
        <v>239.85000000000002</v>
      </c>
      <c r="T360" s="19">
        <f ca="1">IF($A360-T$3&lt;2,0,OFFSET('FPSO1 Base'!T357,-'FPSO1 Otim'!T$3,0))</f>
        <v>407.46749999999997</v>
      </c>
      <c r="U360" s="19">
        <f ca="1">IF($A360-U$3&lt;2,0,OFFSET('FPSO1 Base'!U357,-'FPSO1 Otim'!U$3,0))</f>
        <v>495.64949999999999</v>
      </c>
      <c r="V360" s="19">
        <f ca="1">IF($A360-V$3&lt;2,0,OFFSET('FPSO1 Base'!V357,-'FPSO1 Otim'!V$3,0))</f>
        <v>451.11300000000006</v>
      </c>
      <c r="W360" s="19">
        <f ca="1">IF($A360-W$3&lt;2,0,OFFSET('FPSO1 Base'!W357,-'FPSO1 Otim'!W$3,0))</f>
        <v>206.1525</v>
      </c>
      <c r="X360" s="19">
        <f ca="1">IF($A360-X$3&lt;2,0,OFFSET('FPSO1 Base'!X357,-'FPSO1 Otim'!X$3,0))</f>
        <v>568.65000000000009</v>
      </c>
      <c r="Y360" s="19">
        <f ca="1">IF($A360-Y$3&lt;2,0,OFFSET('FPSO1 Base'!Y357,-'FPSO1 Otim'!Y$3,0))</f>
        <v>384.86699999999996</v>
      </c>
      <c r="Z360" s="19">
        <f ca="1">IF($A360-Z$3&lt;2,0,OFFSET('FPSO1 Base'!Z357,-'FPSO1 Otim'!Z$3,0))</f>
        <v>258.61199999999997</v>
      </c>
      <c r="AA360" s="20">
        <v>15000</v>
      </c>
      <c r="AB360" s="19">
        <f t="shared" ca="1" si="19"/>
        <v>6725.3762746227449</v>
      </c>
      <c r="AC360" s="20">
        <f t="shared" ca="1" si="20"/>
        <v>8274.6237253772561</v>
      </c>
      <c r="AD360" s="19">
        <f t="shared" ca="1" si="21"/>
        <v>356.33345297675498</v>
      </c>
    </row>
    <row r="361" spans="1:30" x14ac:dyDescent="0.25">
      <c r="A361" s="19">
        <v>357</v>
      </c>
      <c r="B361" s="31">
        <v>56462</v>
      </c>
      <c r="C361" s="19">
        <f ca="1">IF($A361-C$3&lt;2,0,OFFSET('FPSO1 Base'!C358,-'FPSO1 Otim'!C$3,0))</f>
        <v>457.40999999999997</v>
      </c>
      <c r="D361" s="19">
        <f ca="1">IF($A361-D$3&lt;2,0,OFFSET('FPSO1 Base'!D358,-'FPSO1 Otim'!D$3,0))</f>
        <v>77.566499999999991</v>
      </c>
      <c r="E361" s="19">
        <f ca="1">IF($A361-E$3&lt;2,0,OFFSET('FPSO1 Base'!E358,-'FPSO1 Otim'!E$3,0))</f>
        <v>236.10000000000002</v>
      </c>
      <c r="F361" s="19">
        <f ca="1">IF($A361-F$3&lt;2,0,OFFSET('FPSO1 Base'!F358,-'FPSO1 Otim'!F$3,0))</f>
        <v>304.27499999999998</v>
      </c>
      <c r="G361" s="19">
        <f ca="1">IF($A361-G$3&lt;2,0,OFFSET('FPSO1 Base'!G358,-'FPSO1 Otim'!G$3,0))</f>
        <v>109.56450000000001</v>
      </c>
      <c r="H361" s="19">
        <f ca="1">IF($A361-H$3&lt;2,0,OFFSET('FPSO1 Base'!H358,-'FPSO1 Otim'!H$3,0))</f>
        <v>537.06000000000006</v>
      </c>
      <c r="I361" s="19">
        <f ca="1">IF($A361-I$3&lt;2,0,OFFSET('FPSO1 Base'!I358,-'FPSO1 Otim'!I$3,0))</f>
        <v>374.928</v>
      </c>
      <c r="J361" s="19">
        <f ca="1">IF($A361-J$3&lt;2,0,OFFSET('FPSO1 Base'!J358,-'FPSO1 Otim'!J$3,0))</f>
        <v>204.19349999999997</v>
      </c>
      <c r="K361" s="19">
        <f ca="1">IF($A361-K$3&lt;2,0,OFFSET('FPSO1 Base'!K358,-'FPSO1 Otim'!K$3,0))</f>
        <v>192.15749999999997</v>
      </c>
      <c r="L361" s="19">
        <f ca="1">IF($A361-L$3&lt;2,0,OFFSET('FPSO1 Base'!L358,-'FPSO1 Otim'!L$3,0))</f>
        <v>234.15749999999997</v>
      </c>
      <c r="M361" s="19">
        <f ca="1">IF($A361-M$3&lt;2,0,OFFSET('FPSO1 Base'!M358,-'FPSO1 Otim'!M$3,0))</f>
        <v>334.62450000000001</v>
      </c>
      <c r="N361" s="19">
        <f ca="1">IF($A361-N$3&lt;2,0,OFFSET('FPSO1 Base'!N358,-'FPSO1 Otim'!N$3,0))</f>
        <v>9.6584071722518203</v>
      </c>
      <c r="O361" s="19">
        <f ca="1">IF($A361-O$3&lt;2,0,OFFSET('FPSO1 Base'!O358,-'FPSO1 Otim'!O$3,0))</f>
        <v>197.54999999999998</v>
      </c>
      <c r="P361" s="19">
        <f ca="1">IF($A361-P$3&lt;2,0,OFFSET('FPSO1 Base'!P358,-'FPSO1 Otim'!P$3,0))</f>
        <v>55.063341719917936</v>
      </c>
      <c r="Q361" s="19">
        <f ca="1">IF($A361-Q$3&lt;2,0,OFFSET('FPSO1 Base'!Q358,-'FPSO1 Otim'!Q$3,0))</f>
        <v>362.05650000000003</v>
      </c>
      <c r="R361" s="19">
        <f ca="1">IF($A361-R$3&lt;2,0,OFFSET('FPSO1 Base'!R358,-'FPSO1 Otim'!R$3,0))</f>
        <v>17.142117984347429</v>
      </c>
      <c r="S361" s="19">
        <f ca="1">IF($A361-S$3&lt;2,0,OFFSET('FPSO1 Base'!S358,-'FPSO1 Otim'!S$3,0))</f>
        <v>241.3305</v>
      </c>
      <c r="T361" s="19">
        <f ca="1">IF($A361-T$3&lt;2,0,OFFSET('FPSO1 Base'!T358,-'FPSO1 Otim'!T$3,0))</f>
        <v>405.40049999999997</v>
      </c>
      <c r="U361" s="19">
        <f ca="1">IF($A361-U$3&lt;2,0,OFFSET('FPSO1 Base'!U358,-'FPSO1 Otim'!U$3,0))</f>
        <v>494.75850000000003</v>
      </c>
      <c r="V361" s="19">
        <f ca="1">IF($A361-V$3&lt;2,0,OFFSET('FPSO1 Base'!V358,-'FPSO1 Otim'!V$3,0))</f>
        <v>450.10050000000001</v>
      </c>
      <c r="W361" s="19">
        <f ca="1">IF($A361-W$3&lt;2,0,OFFSET('FPSO1 Base'!W358,-'FPSO1 Otim'!W$3,0))</f>
        <v>205.79999999999998</v>
      </c>
      <c r="X361" s="19">
        <f ca="1">IF($A361-X$3&lt;2,0,OFFSET('FPSO1 Base'!X358,-'FPSO1 Otim'!X$3,0))</f>
        <v>566.37149999999997</v>
      </c>
      <c r="Y361" s="19">
        <f ca="1">IF($A361-Y$3&lt;2,0,OFFSET('FPSO1 Base'!Y358,-'FPSO1 Otim'!Y$3,0))</f>
        <v>384.66600000000005</v>
      </c>
      <c r="Z361" s="19">
        <f ca="1">IF($A361-Z$3&lt;2,0,OFFSET('FPSO1 Base'!Z358,-'FPSO1 Otim'!Z$3,0))</f>
        <v>257.11649999999997</v>
      </c>
      <c r="AA361" s="20">
        <v>15000</v>
      </c>
      <c r="AB361" s="19">
        <f t="shared" ca="1" si="19"/>
        <v>6709.051366876517</v>
      </c>
      <c r="AC361" s="20">
        <f t="shared" ca="1" si="20"/>
        <v>8290.9486331234839</v>
      </c>
      <c r="AD361" s="19">
        <f t="shared" ca="1" si="21"/>
        <v>352.53074726431839</v>
      </c>
    </row>
    <row r="362" spans="1:30" x14ac:dyDescent="0.25">
      <c r="A362" s="19">
        <v>358</v>
      </c>
      <c r="B362" s="31">
        <v>56493</v>
      </c>
      <c r="C362" s="19">
        <f ca="1">IF($A362-C$3&lt;2,0,OFFSET('FPSO1 Base'!C359,-'FPSO1 Otim'!C$3,0))</f>
        <v>456.20100000000002</v>
      </c>
      <c r="D362" s="19">
        <f ca="1">IF($A362-D$3&lt;2,0,OFFSET('FPSO1 Base'!D359,-'FPSO1 Otim'!D$3,0))</f>
        <v>77.188500000000005</v>
      </c>
      <c r="E362" s="19">
        <f ca="1">IF($A362-E$3&lt;2,0,OFFSET('FPSO1 Base'!E359,-'FPSO1 Otim'!E$3,0))</f>
        <v>234.459</v>
      </c>
      <c r="F362" s="19">
        <f ca="1">IF($A362-F$3&lt;2,0,OFFSET('FPSO1 Base'!F359,-'FPSO1 Otim'!F$3,0))</f>
        <v>303.363</v>
      </c>
      <c r="G362" s="19">
        <f ca="1">IF($A362-G$3&lt;2,0,OFFSET('FPSO1 Base'!G359,-'FPSO1 Otim'!G$3,0))</f>
        <v>109.04849999999999</v>
      </c>
      <c r="H362" s="19">
        <f ca="1">IF($A362-H$3&lt;2,0,OFFSET('FPSO1 Base'!H359,-'FPSO1 Otim'!H$3,0))</f>
        <v>536.91300000000001</v>
      </c>
      <c r="I362" s="19">
        <f ca="1">IF($A362-I$3&lt;2,0,OFFSET('FPSO1 Base'!I359,-'FPSO1 Otim'!I$3,0))</f>
        <v>374.47500000000002</v>
      </c>
      <c r="J362" s="19">
        <f ca="1">IF($A362-J$3&lt;2,0,OFFSET('FPSO1 Base'!J359,-'FPSO1 Otim'!J$3,0))</f>
        <v>203.74950000000001</v>
      </c>
      <c r="K362" s="19">
        <f ca="1">IF($A362-K$3&lt;2,0,OFFSET('FPSO1 Base'!K359,-'FPSO1 Otim'!K$3,0))</f>
        <v>191.33700000000002</v>
      </c>
      <c r="L362" s="19">
        <f ca="1">IF($A362-L$3&lt;2,0,OFFSET('FPSO1 Base'!L359,-'FPSO1 Otim'!L$3,0))</f>
        <v>233.8005</v>
      </c>
      <c r="M362" s="19">
        <f ca="1">IF($A362-M$3&lt;2,0,OFFSET('FPSO1 Base'!M359,-'FPSO1 Otim'!M$3,0))</f>
        <v>334.33050000000003</v>
      </c>
      <c r="N362" s="19">
        <f ca="1">IF($A362-N$3&lt;2,0,OFFSET('FPSO1 Base'!N359,-'FPSO1 Otim'!N$3,0))</f>
        <v>9.5618231005293026</v>
      </c>
      <c r="O362" s="19">
        <f ca="1">IF($A362-O$3&lt;2,0,OFFSET('FPSO1 Base'!O359,-'FPSO1 Otim'!O$3,0))</f>
        <v>196.37850000000003</v>
      </c>
      <c r="P362" s="19">
        <f ca="1">IF($A362-P$3&lt;2,0,OFFSET('FPSO1 Base'!P359,-'FPSO1 Otim'!P$3,0))</f>
        <v>54.512708302718757</v>
      </c>
      <c r="Q362" s="19">
        <f ca="1">IF($A362-Q$3&lt;2,0,OFFSET('FPSO1 Base'!Q359,-'FPSO1 Otim'!Q$3,0))</f>
        <v>361.30650000000003</v>
      </c>
      <c r="R362" s="19">
        <f ca="1">IF($A362-R$3&lt;2,0,OFFSET('FPSO1 Base'!R359,-'FPSO1 Otim'!R$3,0))</f>
        <v>16.970696804503955</v>
      </c>
      <c r="S362" s="19">
        <f ca="1">IF($A362-S$3&lt;2,0,OFFSET('FPSO1 Base'!S359,-'FPSO1 Otim'!S$3,0))</f>
        <v>242.976</v>
      </c>
      <c r="T362" s="19">
        <f ca="1">IF($A362-T$3&lt;2,0,OFFSET('FPSO1 Base'!T359,-'FPSO1 Otim'!T$3,0))</f>
        <v>403.524</v>
      </c>
      <c r="U362" s="19">
        <f ca="1">IF($A362-U$3&lt;2,0,OFFSET('FPSO1 Base'!U359,-'FPSO1 Otim'!U$3,0))</f>
        <v>493.98449999999997</v>
      </c>
      <c r="V362" s="19">
        <f ca="1">IF($A362-V$3&lt;2,0,OFFSET('FPSO1 Base'!V359,-'FPSO1 Otim'!V$3,0))</f>
        <v>449.322</v>
      </c>
      <c r="W362" s="19">
        <f ca="1">IF($A362-W$3&lt;2,0,OFFSET('FPSO1 Base'!W359,-'FPSO1 Otim'!W$3,0))</f>
        <v>205.476</v>
      </c>
      <c r="X362" s="19">
        <f ca="1">IF($A362-X$3&lt;2,0,OFFSET('FPSO1 Base'!X359,-'FPSO1 Otim'!X$3,0))</f>
        <v>564.09749999999997</v>
      </c>
      <c r="Y362" s="19">
        <f ca="1">IF($A362-Y$3&lt;2,0,OFFSET('FPSO1 Base'!Y359,-'FPSO1 Otim'!Y$3,0))</f>
        <v>384.16200000000003</v>
      </c>
      <c r="Z362" s="19">
        <f ca="1">IF($A362-Z$3&lt;2,0,OFFSET('FPSO1 Base'!Z359,-'FPSO1 Otim'!Z$3,0))</f>
        <v>255.51300000000003</v>
      </c>
      <c r="AA362" s="20">
        <v>15000</v>
      </c>
      <c r="AB362" s="19">
        <f t="shared" ca="1" si="19"/>
        <v>6692.6507282077509</v>
      </c>
      <c r="AC362" s="20">
        <f t="shared" ca="1" si="20"/>
        <v>8307.3492717922491</v>
      </c>
      <c r="AD362" s="19">
        <f t="shared" ca="1" si="21"/>
        <v>348.76261170197245</v>
      </c>
    </row>
    <row r="363" spans="1:30" x14ac:dyDescent="0.25">
      <c r="A363" s="19">
        <v>359</v>
      </c>
      <c r="B363" s="31">
        <v>56523</v>
      </c>
      <c r="C363" s="19">
        <f ca="1">IF($A363-C$3&lt;2,0,OFFSET('FPSO1 Base'!C360,-'FPSO1 Otim'!C$3,0))</f>
        <v>454.95150000000001</v>
      </c>
      <c r="D363" s="19">
        <f ca="1">IF($A363-D$3&lt;2,0,OFFSET('FPSO1 Base'!D360,-'FPSO1 Otim'!D$3,0))</f>
        <v>76.878</v>
      </c>
      <c r="E363" s="19">
        <f ca="1">IF($A363-E$3&lt;2,0,OFFSET('FPSO1 Base'!E360,-'FPSO1 Otim'!E$3,0))</f>
        <v>232.935</v>
      </c>
      <c r="F363" s="19">
        <f ca="1">IF($A363-F$3&lt;2,0,OFFSET('FPSO1 Base'!F360,-'FPSO1 Otim'!F$3,0))</f>
        <v>302.49149999999997</v>
      </c>
      <c r="G363" s="19">
        <f ca="1">IF($A363-G$3&lt;2,0,OFFSET('FPSO1 Base'!G360,-'FPSO1 Otim'!G$3,0))</f>
        <v>108.99449999999999</v>
      </c>
      <c r="H363" s="19">
        <f ca="1">IF($A363-H$3&lt;2,0,OFFSET('FPSO1 Base'!H360,-'FPSO1 Otim'!H$3,0))</f>
        <v>536.70000000000005</v>
      </c>
      <c r="I363" s="19">
        <f ca="1">IF($A363-I$3&lt;2,0,OFFSET('FPSO1 Base'!I360,-'FPSO1 Otim'!I$3,0))</f>
        <v>374.03249999999997</v>
      </c>
      <c r="J363" s="19">
        <f ca="1">IF($A363-J$3&lt;2,0,OFFSET('FPSO1 Base'!J360,-'FPSO1 Otim'!J$3,0))</f>
        <v>203.46750000000003</v>
      </c>
      <c r="K363" s="19">
        <f ca="1">IF($A363-K$3&lt;2,0,OFFSET('FPSO1 Base'!K360,-'FPSO1 Otim'!K$3,0))</f>
        <v>190.56</v>
      </c>
      <c r="L363" s="19">
        <f ca="1">IF($A363-L$3&lt;2,0,OFFSET('FPSO1 Base'!L360,-'FPSO1 Otim'!L$3,0))</f>
        <v>233.46750000000003</v>
      </c>
      <c r="M363" s="19">
        <f ca="1">IF($A363-M$3&lt;2,0,OFFSET('FPSO1 Base'!M360,-'FPSO1 Otim'!M$3,0))</f>
        <v>334.065</v>
      </c>
      <c r="N363" s="19">
        <f ca="1">IF($A363-N$3&lt;2,0,OFFSET('FPSO1 Base'!N360,-'FPSO1 Otim'!N$3,0))</f>
        <v>9.4662048695240095</v>
      </c>
      <c r="O363" s="19">
        <f ca="1">IF($A363-O$3&lt;2,0,OFFSET('FPSO1 Base'!O360,-'FPSO1 Otim'!O$3,0))</f>
        <v>195.411</v>
      </c>
      <c r="P363" s="19">
        <f ca="1">IF($A363-P$3&lt;2,0,OFFSET('FPSO1 Base'!P360,-'FPSO1 Otim'!P$3,0))</f>
        <v>53.967581219691567</v>
      </c>
      <c r="Q363" s="19">
        <f ca="1">IF($A363-Q$3&lt;2,0,OFFSET('FPSO1 Base'!Q360,-'FPSO1 Otim'!Q$3,0))</f>
        <v>360.34800000000001</v>
      </c>
      <c r="R363" s="19">
        <f ca="1">IF($A363-R$3&lt;2,0,OFFSET('FPSO1 Base'!R360,-'FPSO1 Otim'!R$3,0))</f>
        <v>16.800989836458914</v>
      </c>
      <c r="S363" s="19">
        <f ca="1">IF($A363-S$3&lt;2,0,OFFSET('FPSO1 Base'!S360,-'FPSO1 Otim'!S$3,0))</f>
        <v>244.125</v>
      </c>
      <c r="T363" s="19">
        <f ca="1">IF($A363-T$3&lt;2,0,OFFSET('FPSO1 Base'!T360,-'FPSO1 Otim'!T$3,0))</f>
        <v>401.75850000000003</v>
      </c>
      <c r="U363" s="19">
        <f ca="1">IF($A363-U$3&lt;2,0,OFFSET('FPSO1 Base'!U360,-'FPSO1 Otim'!U$3,0))</f>
        <v>492.99149999999997</v>
      </c>
      <c r="V363" s="19">
        <f ca="1">IF($A363-V$3&lt;2,0,OFFSET('FPSO1 Base'!V360,-'FPSO1 Otim'!V$3,0))</f>
        <v>448.59749999999997</v>
      </c>
      <c r="W363" s="19">
        <f ca="1">IF($A363-W$3&lt;2,0,OFFSET('FPSO1 Base'!W360,-'FPSO1 Otim'!W$3,0))</f>
        <v>205.125</v>
      </c>
      <c r="X363" s="19">
        <f ca="1">IF($A363-X$3&lt;2,0,OFFSET('FPSO1 Base'!X360,-'FPSO1 Otim'!X$3,0))</f>
        <v>561.85050000000001</v>
      </c>
      <c r="Y363" s="19">
        <f ca="1">IF($A363-Y$3&lt;2,0,OFFSET('FPSO1 Base'!Y360,-'FPSO1 Otim'!Y$3,0))</f>
        <v>383.697</v>
      </c>
      <c r="Z363" s="19">
        <f ca="1">IF($A363-Z$3&lt;2,0,OFFSET('FPSO1 Base'!Z360,-'FPSO1 Otim'!Z$3,0))</f>
        <v>253.959</v>
      </c>
      <c r="AA363" s="20">
        <v>15000</v>
      </c>
      <c r="AB363" s="19">
        <f t="shared" ca="1" si="19"/>
        <v>6676.6407759256754</v>
      </c>
      <c r="AC363" s="20">
        <f t="shared" ca="1" si="20"/>
        <v>8323.3592240743237</v>
      </c>
      <c r="AD363" s="19">
        <f t="shared" ca="1" si="21"/>
        <v>345.05287195869226</v>
      </c>
    </row>
    <row r="364" spans="1:30" x14ac:dyDescent="0.25">
      <c r="A364" s="19">
        <v>360</v>
      </c>
      <c r="B364" s="31">
        <v>56554</v>
      </c>
      <c r="C364" s="19">
        <f ca="1">IF($A364-C$3&lt;2,0,OFFSET('FPSO1 Base'!C361,-'FPSO1 Otim'!C$3,0))</f>
        <v>453.61349999999999</v>
      </c>
      <c r="D364" s="19">
        <f ca="1">IF($A364-D$3&lt;2,0,OFFSET('FPSO1 Base'!D361,-'FPSO1 Otim'!D$3,0))</f>
        <v>76.573499999999996</v>
      </c>
      <c r="E364" s="19">
        <f ca="1">IF($A364-E$3&lt;2,0,OFFSET('FPSO1 Base'!E361,-'FPSO1 Otim'!E$3,0))</f>
        <v>231.17400000000004</v>
      </c>
      <c r="F364" s="19">
        <f ca="1">IF($A364-F$3&lt;2,0,OFFSET('FPSO1 Base'!F361,-'FPSO1 Otim'!F$3,0))</f>
        <v>301.57500000000005</v>
      </c>
      <c r="G364" s="19">
        <f ca="1">IF($A364-G$3&lt;2,0,OFFSET('FPSO1 Base'!G361,-'FPSO1 Otim'!G$3,0))</f>
        <v>108.67349999999999</v>
      </c>
      <c r="H364" s="19">
        <f ca="1">IF($A364-H$3&lt;2,0,OFFSET('FPSO1 Base'!H361,-'FPSO1 Otim'!H$3,0))</f>
        <v>536.577</v>
      </c>
      <c r="I364" s="19">
        <f ca="1">IF($A364-I$3&lt;2,0,OFFSET('FPSO1 Base'!I361,-'FPSO1 Otim'!I$3,0))</f>
        <v>373.59749999999997</v>
      </c>
      <c r="J364" s="19">
        <f ca="1">IF($A364-J$3&lt;2,0,OFFSET('FPSO1 Base'!J361,-'FPSO1 Otim'!J$3,0))</f>
        <v>203.12549999999999</v>
      </c>
      <c r="K364" s="19">
        <f ca="1">IF($A364-K$3&lt;2,0,OFFSET('FPSO1 Base'!K361,-'FPSO1 Otim'!K$3,0))</f>
        <v>189.786</v>
      </c>
      <c r="L364" s="19">
        <f ca="1">IF($A364-L$3&lt;2,0,OFFSET('FPSO1 Base'!L361,-'FPSO1 Otim'!L$3,0))</f>
        <v>233.14049999999997</v>
      </c>
      <c r="M364" s="19">
        <f ca="1">IF($A364-M$3&lt;2,0,OFFSET('FPSO1 Base'!M361,-'FPSO1 Otim'!M$3,0))</f>
        <v>333.75</v>
      </c>
      <c r="N364" s="19">
        <f ca="1">IF($A364-N$3&lt;2,0,OFFSET('FPSO1 Base'!N361,-'FPSO1 Otim'!N$3,0))</f>
        <v>9.3715428208287701</v>
      </c>
      <c r="O364" s="19">
        <f ca="1">IF($A364-O$3&lt;2,0,OFFSET('FPSO1 Base'!O361,-'FPSO1 Otim'!O$3,0))</f>
        <v>194.41050000000001</v>
      </c>
      <c r="P364" s="19">
        <f ca="1">IF($A364-P$3&lt;2,0,OFFSET('FPSO1 Base'!P361,-'FPSO1 Otim'!P$3,0))</f>
        <v>53.427905407494649</v>
      </c>
      <c r="Q364" s="19">
        <f ca="1">IF($A364-Q$3&lt;2,0,OFFSET('FPSO1 Base'!Q361,-'FPSO1 Otim'!Q$3,0))</f>
        <v>359.565</v>
      </c>
      <c r="R364" s="19">
        <f ca="1">IF($A364-R$3&lt;2,0,OFFSET('FPSO1 Base'!R361,-'FPSO1 Otim'!R$3,0))</f>
        <v>16.632979938094326</v>
      </c>
      <c r="S364" s="19">
        <f ca="1">IF($A364-S$3&lt;2,0,OFFSET('FPSO1 Base'!S361,-'FPSO1 Otim'!S$3,0))</f>
        <v>244.935</v>
      </c>
      <c r="T364" s="19">
        <f ca="1">IF($A364-T$3&lt;2,0,OFFSET('FPSO1 Base'!T361,-'FPSO1 Otim'!T$3,0))</f>
        <v>399.66900000000004</v>
      </c>
      <c r="U364" s="19">
        <f ca="1">IF($A364-U$3&lt;2,0,OFFSET('FPSO1 Base'!U361,-'FPSO1 Otim'!U$3,0))</f>
        <v>492.26550000000003</v>
      </c>
      <c r="V364" s="19">
        <f ca="1">IF($A364-V$3&lt;2,0,OFFSET('FPSO1 Base'!V361,-'FPSO1 Otim'!V$3,0))</f>
        <v>447.85050000000001</v>
      </c>
      <c r="W364" s="19">
        <f ca="1">IF($A364-W$3&lt;2,0,OFFSET('FPSO1 Base'!W361,-'FPSO1 Otim'!W$3,0))</f>
        <v>204.6525</v>
      </c>
      <c r="X364" s="19">
        <f ca="1">IF($A364-X$3&lt;2,0,OFFSET('FPSO1 Base'!X361,-'FPSO1 Otim'!X$3,0))</f>
        <v>559.79100000000005</v>
      </c>
      <c r="Y364" s="19">
        <f ca="1">IF($A364-Y$3&lt;2,0,OFFSET('FPSO1 Base'!Y361,-'FPSO1 Otim'!Y$3,0))</f>
        <v>383.12549999999999</v>
      </c>
      <c r="Z364" s="19">
        <f ca="1">IF($A364-Z$3&lt;2,0,OFFSET('FPSO1 Base'!Z361,-'FPSO1 Otim'!Z$3,0))</f>
        <v>252.363</v>
      </c>
      <c r="AA364" s="20">
        <v>15000</v>
      </c>
      <c r="AB364" s="19">
        <f t="shared" ca="1" si="19"/>
        <v>6659.6459281664193</v>
      </c>
      <c r="AC364" s="20">
        <f t="shared" ca="1" si="20"/>
        <v>8340.3540718335807</v>
      </c>
      <c r="AD364" s="19">
        <f t="shared" ca="1" si="21"/>
        <v>341.33014993357619</v>
      </c>
    </row>
    <row r="365" spans="1:30" x14ac:dyDescent="0.25">
      <c r="A365" s="19">
        <v>361</v>
      </c>
      <c r="B365" s="31">
        <v>56584</v>
      </c>
      <c r="C365" s="19">
        <f ca="1">IF($A365-C$3&lt;2,0,OFFSET('FPSO1 Base'!C362,-'FPSO1 Otim'!C$3,0))</f>
        <v>452.40000000000003</v>
      </c>
      <c r="D365" s="19">
        <f ca="1">IF($A365-D$3&lt;2,0,OFFSET('FPSO1 Base'!D362,-'FPSO1 Otim'!D$3,0))</f>
        <v>76.147500000000008</v>
      </c>
      <c r="E365" s="19">
        <f ca="1">IF($A365-E$3&lt;2,0,OFFSET('FPSO1 Base'!E362,-'FPSO1 Otim'!E$3,0))</f>
        <v>229.76549999999997</v>
      </c>
      <c r="F365" s="19">
        <f ca="1">IF($A365-F$3&lt;2,0,OFFSET('FPSO1 Base'!F362,-'FPSO1 Otim'!F$3,0))</f>
        <v>300.75</v>
      </c>
      <c r="G365" s="19">
        <f ca="1">IF($A365-G$3&lt;2,0,OFFSET('FPSO1 Base'!G362,-'FPSO1 Otim'!G$3,0))</f>
        <v>108.45750000000001</v>
      </c>
      <c r="H365" s="19">
        <f ca="1">IF($A365-H$3&lt;2,0,OFFSET('FPSO1 Base'!H362,-'FPSO1 Otim'!H$3,0))</f>
        <v>536.41650000000004</v>
      </c>
      <c r="I365" s="19">
        <f ca="1">IF($A365-I$3&lt;2,0,OFFSET('FPSO1 Base'!I362,-'FPSO1 Otim'!I$3,0))</f>
        <v>373.15049999999997</v>
      </c>
      <c r="J365" s="19">
        <f ca="1">IF($A365-J$3&lt;2,0,OFFSET('FPSO1 Base'!J362,-'FPSO1 Otim'!J$3,0))</f>
        <v>202.863</v>
      </c>
      <c r="K365" s="19">
        <f ca="1">IF($A365-K$3&lt;2,0,OFFSET('FPSO1 Base'!K362,-'FPSO1 Otim'!K$3,0))</f>
        <v>188.97450000000001</v>
      </c>
      <c r="L365" s="19">
        <f ca="1">IF($A365-L$3&lt;2,0,OFFSET('FPSO1 Base'!L362,-'FPSO1 Otim'!L$3,0))</f>
        <v>232.82400000000001</v>
      </c>
      <c r="M365" s="19">
        <f ca="1">IF($A365-M$3&lt;2,0,OFFSET('FPSO1 Base'!M362,-'FPSO1 Otim'!M$3,0))</f>
        <v>333.459</v>
      </c>
      <c r="N365" s="19">
        <f ca="1">IF($A365-N$3&lt;2,0,OFFSET('FPSO1 Base'!N362,-'FPSO1 Otim'!N$3,0))</f>
        <v>9.2778273926204822</v>
      </c>
      <c r="O365" s="19">
        <f ca="1">IF($A365-O$3&lt;2,0,OFFSET('FPSO1 Base'!O362,-'FPSO1 Otim'!O$3,0))</f>
        <v>193.64550000000003</v>
      </c>
      <c r="P365" s="19">
        <f ca="1">IF($A365-P$3&lt;2,0,OFFSET('FPSO1 Base'!P362,-'FPSO1 Otim'!P$3,0))</f>
        <v>52.893626353419698</v>
      </c>
      <c r="Q365" s="19">
        <f ca="1">IF($A365-Q$3&lt;2,0,OFFSET('FPSO1 Base'!Q362,-'FPSO1 Otim'!Q$3,0))</f>
        <v>358.65</v>
      </c>
      <c r="R365" s="19">
        <f ca="1">IF($A365-R$3&lt;2,0,OFFSET('FPSO1 Base'!R362,-'FPSO1 Otim'!R$3,0))</f>
        <v>16.466650138713383</v>
      </c>
      <c r="S365" s="19">
        <f ca="1">IF($A365-S$3&lt;2,0,OFFSET('FPSO1 Base'!S362,-'FPSO1 Otim'!S$3,0))</f>
        <v>245.92499999999998</v>
      </c>
      <c r="T365" s="19">
        <f ca="1">IF($A365-T$3&lt;2,0,OFFSET('FPSO1 Base'!T362,-'FPSO1 Otim'!T$3,0))</f>
        <v>398.08050000000003</v>
      </c>
      <c r="U365" s="19">
        <f ca="1">IF($A365-U$3&lt;2,0,OFFSET('FPSO1 Base'!U362,-'FPSO1 Otim'!U$3,0))</f>
        <v>491.42550000000006</v>
      </c>
      <c r="V365" s="19">
        <f ca="1">IF($A365-V$3&lt;2,0,OFFSET('FPSO1 Base'!V362,-'FPSO1 Otim'!V$3,0))</f>
        <v>447.29100000000005</v>
      </c>
      <c r="W365" s="19">
        <f ca="1">IF($A365-W$3&lt;2,0,OFFSET('FPSO1 Base'!W362,-'FPSO1 Otim'!W$3,0))</f>
        <v>204.2415</v>
      </c>
      <c r="X365" s="19">
        <f ca="1">IF($A365-X$3&lt;2,0,OFFSET('FPSO1 Base'!X362,-'FPSO1 Otim'!X$3,0))</f>
        <v>557.59950000000003</v>
      </c>
      <c r="Y365" s="19">
        <f ca="1">IF($A365-Y$3&lt;2,0,OFFSET('FPSO1 Base'!Y362,-'FPSO1 Otim'!Y$3,0))</f>
        <v>382.59749999999997</v>
      </c>
      <c r="Z365" s="19">
        <f ca="1">IF($A365-Z$3&lt;2,0,OFFSET('FPSO1 Base'!Z362,-'FPSO1 Otim'!Z$3,0))</f>
        <v>250.6755</v>
      </c>
      <c r="AA365" s="20">
        <v>15000</v>
      </c>
      <c r="AB365" s="19">
        <f t="shared" ca="1" si="19"/>
        <v>6643.9776038847549</v>
      </c>
      <c r="AC365" s="20">
        <f t="shared" ca="1" si="20"/>
        <v>8356.0223961152442</v>
      </c>
      <c r="AD365" s="19">
        <f t="shared" ca="1" si="21"/>
        <v>337.71282000471859</v>
      </c>
    </row>
    <row r="366" spans="1:30" x14ac:dyDescent="0.25">
      <c r="A366" s="19">
        <v>362</v>
      </c>
      <c r="B366" s="31">
        <v>56615</v>
      </c>
      <c r="C366" s="19">
        <f ca="1">IF($A366-C$3&lt;2,0,OFFSET('FPSO1 Base'!C363,-'FPSO1 Otim'!C$3,0))</f>
        <v>451.125</v>
      </c>
      <c r="D366" s="19">
        <f ca="1">IF($A366-D$3&lt;2,0,OFFSET('FPSO1 Base'!D363,-'FPSO1 Otim'!D$3,0))</f>
        <v>75.781499999999994</v>
      </c>
      <c r="E366" s="19">
        <f ca="1">IF($A366-E$3&lt;2,0,OFFSET('FPSO1 Base'!E363,-'FPSO1 Otim'!E$3,0))</f>
        <v>228.14999999999998</v>
      </c>
      <c r="F366" s="19">
        <f ca="1">IF($A366-F$3&lt;2,0,OFFSET('FPSO1 Base'!F363,-'FPSO1 Otim'!F$3,0))</f>
        <v>299.85000000000002</v>
      </c>
      <c r="G366" s="19">
        <f ca="1">IF($A366-G$3&lt;2,0,OFFSET('FPSO1 Base'!G363,-'FPSO1 Otim'!G$3,0))</f>
        <v>108.3135</v>
      </c>
      <c r="H366" s="19">
        <f ca="1">IF($A366-H$3&lt;2,0,OFFSET('FPSO1 Base'!H363,-'FPSO1 Otim'!H$3,0))</f>
        <v>536.25450000000001</v>
      </c>
      <c r="I366" s="19">
        <f ca="1">IF($A366-I$3&lt;2,0,OFFSET('FPSO1 Base'!I363,-'FPSO1 Otim'!I$3,0))</f>
        <v>372.87149999999997</v>
      </c>
      <c r="J366" s="19">
        <f ca="1">IF($A366-J$3&lt;2,0,OFFSET('FPSO1 Base'!J363,-'FPSO1 Otim'!J$3,0))</f>
        <v>202.548</v>
      </c>
      <c r="K366" s="19">
        <f ca="1">IF($A366-K$3&lt;2,0,OFFSET('FPSO1 Base'!K363,-'FPSO1 Otim'!K$3,0))</f>
        <v>188.19</v>
      </c>
      <c r="L366" s="19">
        <f ca="1">IF($A366-L$3&lt;2,0,OFFSET('FPSO1 Base'!L363,-'FPSO1 Otim'!L$3,0))</f>
        <v>232.512</v>
      </c>
      <c r="M366" s="19">
        <f ca="1">IF($A366-M$3&lt;2,0,OFFSET('FPSO1 Base'!M363,-'FPSO1 Otim'!M$3,0))</f>
        <v>333.07500000000005</v>
      </c>
      <c r="N366" s="19">
        <f ca="1">IF($A366-N$3&lt;2,0,OFFSET('FPSO1 Base'!N363,-'FPSO1 Otim'!N$3,0))</f>
        <v>9.1850491186942769</v>
      </c>
      <c r="O366" s="19">
        <f ca="1">IF($A366-O$3&lt;2,0,OFFSET('FPSO1 Base'!O363,-'FPSO1 Otim'!O$3,0))</f>
        <v>192.70050000000003</v>
      </c>
      <c r="P366" s="19">
        <f ca="1">IF($A366-P$3&lt;2,0,OFFSET('FPSO1 Base'!P363,-'FPSO1 Otim'!P$3,0))</f>
        <v>52.364690089885499</v>
      </c>
      <c r="Q366" s="19">
        <f ca="1">IF($A366-Q$3&lt;2,0,OFFSET('FPSO1 Base'!Q363,-'FPSO1 Otim'!Q$3,0))</f>
        <v>357.75</v>
      </c>
      <c r="R366" s="19">
        <f ca="1">IF($A366-R$3&lt;2,0,OFFSET('FPSO1 Base'!R363,-'FPSO1 Otim'!R$3,0))</f>
        <v>16.301983637326249</v>
      </c>
      <c r="S366" s="19">
        <f ca="1">IF($A366-S$3&lt;2,0,OFFSET('FPSO1 Base'!S363,-'FPSO1 Otim'!S$3,0))</f>
        <v>246.774</v>
      </c>
      <c r="T366" s="19">
        <f ca="1">IF($A366-T$3&lt;2,0,OFFSET('FPSO1 Base'!T363,-'FPSO1 Otim'!T$3,0))</f>
        <v>396.17550000000006</v>
      </c>
      <c r="U366" s="19">
        <f ca="1">IF($A366-U$3&lt;2,0,OFFSET('FPSO1 Base'!U363,-'FPSO1 Otim'!U$3,0))</f>
        <v>490.69350000000003</v>
      </c>
      <c r="V366" s="19">
        <f ca="1">IF($A366-V$3&lt;2,0,OFFSET('FPSO1 Base'!V363,-'FPSO1 Otim'!V$3,0))</f>
        <v>446.44949999999994</v>
      </c>
      <c r="W366" s="19">
        <f ca="1">IF($A366-W$3&lt;2,0,OFFSET('FPSO1 Base'!W363,-'FPSO1 Otim'!W$3,0))</f>
        <v>203.67449999999997</v>
      </c>
      <c r="X366" s="19">
        <f ca="1">IF($A366-X$3&lt;2,0,OFFSET('FPSO1 Base'!X363,-'FPSO1 Otim'!X$3,0))</f>
        <v>555.87149999999997</v>
      </c>
      <c r="Y366" s="19">
        <f ca="1">IF($A366-Y$3&lt;2,0,OFFSET('FPSO1 Base'!Y363,-'FPSO1 Otim'!Y$3,0))</f>
        <v>382.01549999999997</v>
      </c>
      <c r="Z366" s="19">
        <f ca="1">IF($A366-Z$3&lt;2,0,OFFSET('FPSO1 Base'!Z363,-'FPSO1 Otim'!Z$3,0))</f>
        <v>249.10950000000003</v>
      </c>
      <c r="AA366" s="20">
        <v>15000</v>
      </c>
      <c r="AB366" s="19">
        <f t="shared" ca="1" si="19"/>
        <v>6627.7367228459079</v>
      </c>
      <c r="AC366" s="20">
        <f t="shared" ca="1" si="20"/>
        <v>8372.2632771540921</v>
      </c>
      <c r="AD366" s="19">
        <f t="shared" ca="1" si="21"/>
        <v>334.10310485387078</v>
      </c>
    </row>
    <row r="367" spans="1:30" x14ac:dyDescent="0.25">
      <c r="A367" s="19">
        <v>363</v>
      </c>
      <c r="B367" s="31">
        <v>56646</v>
      </c>
      <c r="C367" s="19">
        <f ca="1">IF($A367-C$3&lt;2,0,OFFSET('FPSO1 Base'!C364,-'FPSO1 Otim'!C$3,0))</f>
        <v>449.91600000000005</v>
      </c>
      <c r="D367" s="19">
        <f ca="1">IF($A367-D$3&lt;2,0,OFFSET('FPSO1 Base'!D364,-'FPSO1 Otim'!D$3,0))</f>
        <v>75.45150000000001</v>
      </c>
      <c r="E367" s="19">
        <f ca="1">IF($A367-E$3&lt;2,0,OFFSET('FPSO1 Base'!E364,-'FPSO1 Otim'!E$3,0))</f>
        <v>226.68150000000003</v>
      </c>
      <c r="F367" s="19">
        <f ca="1">IF($A367-F$3&lt;2,0,OFFSET('FPSO1 Base'!F364,-'FPSO1 Otim'!F$3,0))</f>
        <v>298.98450000000003</v>
      </c>
      <c r="G367" s="19">
        <f ca="1">IF($A367-G$3&lt;2,0,OFFSET('FPSO1 Base'!G364,-'FPSO1 Otim'!G$3,0))</f>
        <v>107.955</v>
      </c>
      <c r="H367" s="19">
        <f ca="1">IF($A367-H$3&lt;2,0,OFFSET('FPSO1 Base'!H364,-'FPSO1 Otim'!H$3,0))</f>
        <v>536.08500000000004</v>
      </c>
      <c r="I367" s="19">
        <f ca="1">IF($A367-I$3&lt;2,0,OFFSET('FPSO1 Base'!I364,-'FPSO1 Otim'!I$3,0))</f>
        <v>372.42449999999997</v>
      </c>
      <c r="J367" s="19">
        <f ca="1">IF($A367-J$3&lt;2,0,OFFSET('FPSO1 Base'!J364,-'FPSO1 Otim'!J$3,0))</f>
        <v>202.24950000000001</v>
      </c>
      <c r="K367" s="19">
        <f ca="1">IF($A367-K$3&lt;2,0,OFFSET('FPSO1 Base'!K364,-'FPSO1 Otim'!K$3,0))</f>
        <v>187.3245</v>
      </c>
      <c r="L367" s="19">
        <f ca="1">IF($A367-L$3&lt;2,0,OFFSET('FPSO1 Base'!L364,-'FPSO1 Otim'!L$3,0))</f>
        <v>232.18799999999999</v>
      </c>
      <c r="M367" s="19">
        <f ca="1">IF($A367-M$3&lt;2,0,OFFSET('FPSO1 Base'!M364,-'FPSO1 Otim'!M$3,0))</f>
        <v>332.75850000000003</v>
      </c>
      <c r="N367" s="19">
        <f ca="1">IF($A367-N$3&lt;2,0,OFFSET('FPSO1 Base'!N364,-'FPSO1 Otim'!N$3,0))</f>
        <v>9.0931986275073342</v>
      </c>
      <c r="O367" s="19">
        <f ca="1">IF($A367-O$3&lt;2,0,OFFSET('FPSO1 Base'!O364,-'FPSO1 Otim'!O$3,0))</f>
        <v>191.8785</v>
      </c>
      <c r="P367" s="19">
        <f ca="1">IF($A367-P$3&lt;2,0,OFFSET('FPSO1 Base'!P364,-'FPSO1 Otim'!P$3,0))</f>
        <v>51.841043188986646</v>
      </c>
      <c r="Q367" s="19">
        <f ca="1">IF($A367-Q$3&lt;2,0,OFFSET('FPSO1 Base'!Q364,-'FPSO1 Otim'!Q$3,0))</f>
        <v>356.74950000000001</v>
      </c>
      <c r="R367" s="19">
        <f ca="1">IF($A367-R$3&lt;2,0,OFFSET('FPSO1 Base'!R364,-'FPSO1 Otim'!R$3,0))</f>
        <v>16.138963800952986</v>
      </c>
      <c r="S367" s="19">
        <f ca="1">IF($A367-S$3&lt;2,0,OFFSET('FPSO1 Base'!S364,-'FPSO1 Otim'!S$3,0))</f>
        <v>247.57500000000002</v>
      </c>
      <c r="T367" s="19">
        <f ca="1">IF($A367-T$3&lt;2,0,OFFSET('FPSO1 Base'!T364,-'FPSO1 Otim'!T$3,0))</f>
        <v>394.428</v>
      </c>
      <c r="U367" s="19">
        <f ca="1">IF($A367-U$3&lt;2,0,OFFSET('FPSO1 Base'!U364,-'FPSO1 Otim'!U$3,0))</f>
        <v>489.92550000000006</v>
      </c>
      <c r="V367" s="19">
        <f ca="1">IF($A367-V$3&lt;2,0,OFFSET('FPSO1 Base'!V364,-'FPSO1 Otim'!V$3,0))</f>
        <v>445.839</v>
      </c>
      <c r="W367" s="19">
        <f ca="1">IF($A367-W$3&lt;2,0,OFFSET('FPSO1 Base'!W364,-'FPSO1 Otim'!W$3,0))</f>
        <v>203.25</v>
      </c>
      <c r="X367" s="19">
        <f ca="1">IF($A367-X$3&lt;2,0,OFFSET('FPSO1 Base'!X364,-'FPSO1 Otim'!X$3,0))</f>
        <v>554.322</v>
      </c>
      <c r="Y367" s="19">
        <f ca="1">IF($A367-Y$3&lt;2,0,OFFSET('FPSO1 Base'!Y364,-'FPSO1 Otim'!Y$3,0))</f>
        <v>381.43799999999999</v>
      </c>
      <c r="Z367" s="19">
        <f ca="1">IF($A367-Z$3&lt;2,0,OFFSET('FPSO1 Base'!Z364,-'FPSO1 Otim'!Z$3,0))</f>
        <v>247.45050000000003</v>
      </c>
      <c r="AA367" s="20">
        <v>15000</v>
      </c>
      <c r="AB367" s="19">
        <f t="shared" ca="1" si="19"/>
        <v>6611.9477056174474</v>
      </c>
      <c r="AC367" s="20">
        <f t="shared" ca="1" si="20"/>
        <v>8388.0522943825526</v>
      </c>
      <c r="AD367" s="19">
        <f t="shared" ca="1" si="21"/>
        <v>330.55257830463717</v>
      </c>
    </row>
    <row r="368" spans="1:30" x14ac:dyDescent="0.25">
      <c r="A368" s="19">
        <v>364</v>
      </c>
      <c r="B368" s="31">
        <v>56674</v>
      </c>
      <c r="C368" s="19">
        <f ca="1">IF($A368-C$3&lt;2,0,OFFSET('FPSO1 Base'!C365,-'FPSO1 Otim'!C$3,0))</f>
        <v>448.66800000000001</v>
      </c>
      <c r="D368" s="19">
        <f ca="1">IF($A368-D$3&lt;2,0,OFFSET('FPSO1 Base'!D365,-'FPSO1 Otim'!D$3,0))</f>
        <v>75.097499999999997</v>
      </c>
      <c r="E368" s="19">
        <f ca="1">IF($A368-E$3&lt;2,0,OFFSET('FPSO1 Base'!E365,-'FPSO1 Otim'!E$3,0))</f>
        <v>225.12450000000001</v>
      </c>
      <c r="F368" s="19">
        <f ca="1">IF($A368-F$3&lt;2,0,OFFSET('FPSO1 Base'!F365,-'FPSO1 Otim'!F$3,0))</f>
        <v>298.185</v>
      </c>
      <c r="G368" s="19">
        <f ca="1">IF($A368-G$3&lt;2,0,OFFSET('FPSO1 Base'!G365,-'FPSO1 Otim'!G$3,0))</f>
        <v>107.7765</v>
      </c>
      <c r="H368" s="19">
        <f ca="1">IF($A368-H$3&lt;2,0,OFFSET('FPSO1 Base'!H365,-'FPSO1 Otim'!H$3,0))</f>
        <v>535.93799999999999</v>
      </c>
      <c r="I368" s="19">
        <f ca="1">IF($A368-I$3&lt;2,0,OFFSET('FPSO1 Base'!I365,-'FPSO1 Otim'!I$3,0))</f>
        <v>371.85449999999997</v>
      </c>
      <c r="J368" s="19">
        <f ca="1">IF($A368-J$3&lt;2,0,OFFSET('FPSO1 Base'!J365,-'FPSO1 Otim'!J$3,0))</f>
        <v>201.96750000000003</v>
      </c>
      <c r="K368" s="19">
        <f ca="1">IF($A368-K$3&lt;2,0,OFFSET('FPSO1 Base'!K365,-'FPSO1 Otim'!K$3,0))</f>
        <v>186.5685</v>
      </c>
      <c r="L368" s="19">
        <f ca="1">IF($A368-L$3&lt;2,0,OFFSET('FPSO1 Base'!L365,-'FPSO1 Otim'!L$3,0))</f>
        <v>231.89550000000003</v>
      </c>
      <c r="M368" s="19">
        <f ca="1">IF($A368-M$3&lt;2,0,OFFSET('FPSO1 Base'!M365,-'FPSO1 Otim'!M$3,0))</f>
        <v>332.49149999999997</v>
      </c>
      <c r="N368" s="19">
        <f ca="1">IF($A368-N$3&lt;2,0,OFFSET('FPSO1 Base'!N365,-'FPSO1 Otim'!N$3,0))</f>
        <v>9.0022666412322607</v>
      </c>
      <c r="O368" s="19">
        <f ca="1">IF($A368-O$3&lt;2,0,OFFSET('FPSO1 Base'!O365,-'FPSO1 Otim'!O$3,0))</f>
        <v>190.875</v>
      </c>
      <c r="P368" s="19">
        <f ca="1">IF($A368-P$3&lt;2,0,OFFSET('FPSO1 Base'!P365,-'FPSO1 Otim'!P$3,0))</f>
        <v>51.322632757096777</v>
      </c>
      <c r="Q368" s="19">
        <f ca="1">IF($A368-Q$3&lt;2,0,OFFSET('FPSO1 Base'!Q365,-'FPSO1 Otim'!Q$3,0))</f>
        <v>355.839</v>
      </c>
      <c r="R368" s="19">
        <f ca="1">IF($A368-R$3&lt;2,0,OFFSET('FPSO1 Base'!R365,-'FPSO1 Otim'!R$3,0))</f>
        <v>15.977574162943457</v>
      </c>
      <c r="S368" s="19">
        <f ca="1">IF($A368-S$3&lt;2,0,OFFSET('FPSO1 Base'!S365,-'FPSO1 Otim'!S$3,0))</f>
        <v>248.226</v>
      </c>
      <c r="T368" s="19">
        <f ca="1">IF($A368-T$3&lt;2,0,OFFSET('FPSO1 Base'!T365,-'FPSO1 Otim'!T$3,0))</f>
        <v>392.57549999999998</v>
      </c>
      <c r="U368" s="19">
        <f ca="1">IF($A368-U$3&lt;2,0,OFFSET('FPSO1 Base'!U365,-'FPSO1 Otim'!U$3,0))</f>
        <v>489.21749999999997</v>
      </c>
      <c r="V368" s="19">
        <f ca="1">IF($A368-V$3&lt;2,0,OFFSET('FPSO1 Base'!V365,-'FPSO1 Otim'!V$3,0))</f>
        <v>445.25850000000003</v>
      </c>
      <c r="W368" s="19">
        <f ca="1">IF($A368-W$3&lt;2,0,OFFSET('FPSO1 Base'!W365,-'FPSO1 Otim'!W$3,0))</f>
        <v>202.77449999999999</v>
      </c>
      <c r="X368" s="19">
        <f ca="1">IF($A368-X$3&lt;2,0,OFFSET('FPSO1 Base'!X365,-'FPSO1 Otim'!X$3,0))</f>
        <v>552.4815000000001</v>
      </c>
      <c r="Y368" s="19">
        <f ca="1">IF($A368-Y$3&lt;2,0,OFFSET('FPSO1 Base'!Y365,-'FPSO1 Otim'!Y$3,0))</f>
        <v>380.89049999999997</v>
      </c>
      <c r="Z368" s="19">
        <f ca="1">IF($A368-Z$3&lt;2,0,OFFSET('FPSO1 Base'!Z365,-'FPSO1 Otim'!Z$3,0))</f>
        <v>245.85449999999997</v>
      </c>
      <c r="AA368" s="20">
        <v>15000</v>
      </c>
      <c r="AB368" s="19">
        <f t="shared" ca="1" si="19"/>
        <v>6595.8619735612729</v>
      </c>
      <c r="AC368" s="20">
        <f t="shared" ca="1" si="20"/>
        <v>8404.1380264387262</v>
      </c>
      <c r="AD368" s="19">
        <f t="shared" ca="1" si="21"/>
        <v>327.02320731520507</v>
      </c>
    </row>
    <row r="369" spans="1:30" x14ac:dyDescent="0.25">
      <c r="A369" s="19">
        <v>365</v>
      </c>
      <c r="B369" s="31">
        <v>56705</v>
      </c>
      <c r="C369" s="19">
        <f ca="1">IF($A369-C$3&lt;2,0,OFFSET('FPSO1 Base'!C366,-'FPSO1 Otim'!C$3,0))</f>
        <v>447.36300000000006</v>
      </c>
      <c r="D369" s="19">
        <f ca="1">IF($A369-D$3&lt;2,0,OFFSET('FPSO1 Base'!D366,-'FPSO1 Otim'!D$3,0))</f>
        <v>74.742000000000004</v>
      </c>
      <c r="E369" s="19">
        <f ca="1">IF($A369-E$3&lt;2,0,OFFSET('FPSO1 Base'!E366,-'FPSO1 Otim'!E$3,0))</f>
        <v>223.68150000000003</v>
      </c>
      <c r="F369" s="19">
        <f ca="1">IF($A369-F$3&lt;2,0,OFFSET('FPSO1 Base'!F366,-'FPSO1 Otim'!F$3,0))</f>
        <v>297.1875</v>
      </c>
      <c r="G369" s="19">
        <f ca="1">IF($A369-G$3&lt;2,0,OFFSET('FPSO1 Base'!G366,-'FPSO1 Otim'!G$3,0))</f>
        <v>107.5005</v>
      </c>
      <c r="H369" s="19">
        <f ca="1">IF($A369-H$3&lt;2,0,OFFSET('FPSO1 Base'!H366,-'FPSO1 Otim'!H$3,0))</f>
        <v>535.82549999999992</v>
      </c>
      <c r="I369" s="19">
        <f ca="1">IF($A369-I$3&lt;2,0,OFFSET('FPSO1 Base'!I366,-'FPSO1 Otim'!I$3,0))</f>
        <v>371.41949999999997</v>
      </c>
      <c r="J369" s="19">
        <f ca="1">IF($A369-J$3&lt;2,0,OFFSET('FPSO1 Base'!J366,-'FPSO1 Otim'!J$3,0))</f>
        <v>201.64949999999999</v>
      </c>
      <c r="K369" s="19">
        <f ca="1">IF($A369-K$3&lt;2,0,OFFSET('FPSO1 Base'!K366,-'FPSO1 Otim'!K$3,0))</f>
        <v>185.8545</v>
      </c>
      <c r="L369" s="19">
        <f ca="1">IF($A369-L$3&lt;2,0,OFFSET('FPSO1 Base'!L366,-'FPSO1 Otim'!L$3,0))</f>
        <v>231.58799999999999</v>
      </c>
      <c r="M369" s="19">
        <f ca="1">IF($A369-M$3&lt;2,0,OFFSET('FPSO1 Base'!M366,-'FPSO1 Otim'!M$3,0))</f>
        <v>332.08949999999999</v>
      </c>
      <c r="N369" s="19">
        <f ca="1">IF($A369-N$3&lt;2,0,OFFSET('FPSO1 Base'!N366,-'FPSO1 Otim'!N$3,0))</f>
        <v>8.9122439748199387</v>
      </c>
      <c r="O369" s="19">
        <f ca="1">IF($A369-O$3&lt;2,0,OFFSET('FPSO1 Base'!O366,-'FPSO1 Otim'!O$3,0))</f>
        <v>189.9195</v>
      </c>
      <c r="P369" s="19">
        <f ca="1">IF($A369-P$3&lt;2,0,OFFSET('FPSO1 Base'!P366,-'FPSO1 Otim'!P$3,0))</f>
        <v>50.809406429525808</v>
      </c>
      <c r="Q369" s="19">
        <f ca="1">IF($A369-Q$3&lt;2,0,OFFSET('FPSO1 Base'!Q366,-'FPSO1 Otim'!Q$3,0))</f>
        <v>354.87149999999997</v>
      </c>
      <c r="R369" s="19">
        <f ca="1">IF($A369-R$3&lt;2,0,OFFSET('FPSO1 Base'!R366,-'FPSO1 Otim'!R$3,0))</f>
        <v>15.817798421314022</v>
      </c>
      <c r="S369" s="19">
        <f ca="1">IF($A369-S$3&lt;2,0,OFFSET('FPSO1 Base'!S366,-'FPSO1 Otim'!S$3,0))</f>
        <v>248.85449999999997</v>
      </c>
      <c r="T369" s="19">
        <f ca="1">IF($A369-T$3&lt;2,0,OFFSET('FPSO1 Base'!T366,-'FPSO1 Otim'!T$3,0))</f>
        <v>390.87150000000003</v>
      </c>
      <c r="U369" s="19">
        <f ca="1">IF($A369-U$3&lt;2,0,OFFSET('FPSO1 Base'!U366,-'FPSO1 Otim'!U$3,0))</f>
        <v>488.54100000000005</v>
      </c>
      <c r="V369" s="19">
        <f ca="1">IF($A369-V$3&lt;2,0,OFFSET('FPSO1 Base'!V366,-'FPSO1 Otim'!V$3,0))</f>
        <v>444.375</v>
      </c>
      <c r="W369" s="19">
        <f ca="1">IF($A369-W$3&lt;2,0,OFFSET('FPSO1 Base'!W366,-'FPSO1 Otim'!W$3,0))</f>
        <v>202.30650000000003</v>
      </c>
      <c r="X369" s="19">
        <f ca="1">IF($A369-X$3&lt;2,0,OFFSET('FPSO1 Base'!X366,-'FPSO1 Otim'!X$3,0))</f>
        <v>550.93500000000006</v>
      </c>
      <c r="Y369" s="19">
        <f ca="1">IF($A369-Y$3&lt;2,0,OFFSET('FPSO1 Base'!Y366,-'FPSO1 Otim'!Y$3,0))</f>
        <v>380.31299999999999</v>
      </c>
      <c r="Z369" s="19">
        <f ca="1">IF($A369-Z$3&lt;2,0,OFFSET('FPSO1 Base'!Z366,-'FPSO1 Otim'!Z$3,0))</f>
        <v>244.31849999999997</v>
      </c>
      <c r="AA369" s="20">
        <v>15000</v>
      </c>
      <c r="AB369" s="19">
        <f t="shared" ca="1" si="19"/>
        <v>6579.746448825661</v>
      </c>
      <c r="AC369" s="20">
        <f t="shared" ca="1" si="20"/>
        <v>8420.253551174339</v>
      </c>
      <c r="AD369" s="19">
        <f t="shared" ca="1" si="21"/>
        <v>323.52813093537856</v>
      </c>
    </row>
    <row r="370" spans="1:30" x14ac:dyDescent="0.25">
      <c r="A370" s="19">
        <v>366</v>
      </c>
      <c r="B370" s="31">
        <v>56735</v>
      </c>
      <c r="C370" s="19">
        <f ca="1">IF($A370-C$3&lt;2,0,OFFSET('FPSO1 Base'!C367,-'FPSO1 Otim'!C$3,0))</f>
        <v>446.21100000000001</v>
      </c>
      <c r="D370" s="19">
        <f ca="1">IF($A370-D$3&lt;2,0,OFFSET('FPSO1 Base'!D367,-'FPSO1 Otim'!D$3,0))</f>
        <v>74.438999999999993</v>
      </c>
      <c r="E370" s="19">
        <f ca="1">IF($A370-E$3&lt;2,0,OFFSET('FPSO1 Base'!E367,-'FPSO1 Otim'!E$3,0))</f>
        <v>222.22949999999997</v>
      </c>
      <c r="F370" s="19">
        <f ca="1">IF($A370-F$3&lt;2,0,OFFSET('FPSO1 Base'!F367,-'FPSO1 Otim'!F$3,0))</f>
        <v>296.39550000000003</v>
      </c>
      <c r="G370" s="19">
        <f ca="1">IF($A370-G$3&lt;2,0,OFFSET('FPSO1 Base'!G367,-'FPSO1 Otim'!G$3,0))</f>
        <v>107.17649999999999</v>
      </c>
      <c r="H370" s="19">
        <f ca="1">IF($A370-H$3&lt;2,0,OFFSET('FPSO1 Base'!H367,-'FPSO1 Otim'!H$3,0))</f>
        <v>535.66050000000007</v>
      </c>
      <c r="I370" s="19">
        <f ca="1">IF($A370-I$3&lt;2,0,OFFSET('FPSO1 Base'!I367,-'FPSO1 Otim'!I$3,0))</f>
        <v>370.96500000000003</v>
      </c>
      <c r="J370" s="19">
        <f ca="1">IF($A370-J$3&lt;2,0,OFFSET('FPSO1 Base'!J367,-'FPSO1 Otim'!J$3,0))</f>
        <v>201.315</v>
      </c>
      <c r="K370" s="19">
        <f ca="1">IF($A370-K$3&lt;2,0,OFFSET('FPSO1 Base'!K367,-'FPSO1 Otim'!K$3,0))</f>
        <v>184.98149999999998</v>
      </c>
      <c r="L370" s="19">
        <f ca="1">IF($A370-L$3&lt;2,0,OFFSET('FPSO1 Base'!L367,-'FPSO1 Otim'!L$3,0))</f>
        <v>231.291</v>
      </c>
      <c r="M370" s="19">
        <f ca="1">IF($A370-M$3&lt;2,0,OFFSET('FPSO1 Base'!M367,-'FPSO1 Otim'!M$3,0))</f>
        <v>331.815</v>
      </c>
      <c r="N370" s="19">
        <f ca="1">IF($A370-N$3&lt;2,0,OFFSET('FPSO1 Base'!N367,-'FPSO1 Otim'!N$3,0))</f>
        <v>8.8231215350717385</v>
      </c>
      <c r="O370" s="19">
        <f ca="1">IF($A370-O$3&lt;2,0,OFFSET('FPSO1 Base'!O367,-'FPSO1 Otim'!O$3,0))</f>
        <v>188.952</v>
      </c>
      <c r="P370" s="19">
        <f ca="1">IF($A370-P$3&lt;2,0,OFFSET('FPSO1 Base'!P367,-'FPSO1 Otim'!P$3,0))</f>
        <v>50.301312365230551</v>
      </c>
      <c r="Q370" s="19">
        <f ca="1">IF($A370-Q$3&lt;2,0,OFFSET('FPSO1 Base'!Q367,-'FPSO1 Otim'!Q$3,0))</f>
        <v>353.85</v>
      </c>
      <c r="R370" s="19">
        <f ca="1">IF($A370-R$3&lt;2,0,OFFSET('FPSO1 Base'!R367,-'FPSO1 Otim'!R$3,0))</f>
        <v>15.659620437100882</v>
      </c>
      <c r="S370" s="19">
        <f ca="1">IF($A370-S$3&lt;2,0,OFFSET('FPSO1 Base'!S367,-'FPSO1 Otim'!S$3,0))</f>
        <v>249.5745</v>
      </c>
      <c r="T370" s="19">
        <f ca="1">IF($A370-T$3&lt;2,0,OFFSET('FPSO1 Base'!T367,-'FPSO1 Otim'!T$3,0))</f>
        <v>389.178</v>
      </c>
      <c r="U370" s="19">
        <f ca="1">IF($A370-U$3&lt;2,0,OFFSET('FPSO1 Base'!U367,-'FPSO1 Otim'!U$3,0))</f>
        <v>487.79999999999995</v>
      </c>
      <c r="V370" s="19">
        <f ca="1">IF($A370-V$3&lt;2,0,OFFSET('FPSO1 Base'!V367,-'FPSO1 Otim'!V$3,0))</f>
        <v>443.70899999999995</v>
      </c>
      <c r="W370" s="19">
        <f ca="1">IF($A370-W$3&lt;2,0,OFFSET('FPSO1 Base'!W367,-'FPSO1 Otim'!W$3,0))</f>
        <v>201.89550000000003</v>
      </c>
      <c r="X370" s="19">
        <f ca="1">IF($A370-X$3&lt;2,0,OFFSET('FPSO1 Base'!X367,-'FPSO1 Otim'!X$3,0))</f>
        <v>548.95049999999992</v>
      </c>
      <c r="Y370" s="19">
        <f ca="1">IF($A370-Y$3&lt;2,0,OFFSET('FPSO1 Base'!Y367,-'FPSO1 Otim'!Y$3,0))</f>
        <v>380.43150000000003</v>
      </c>
      <c r="Z370" s="19">
        <f ca="1">IF($A370-Z$3&lt;2,0,OFFSET('FPSO1 Base'!Z367,-'FPSO1 Otim'!Z$3,0))</f>
        <v>242.53199999999998</v>
      </c>
      <c r="AA370" s="20">
        <v>15000</v>
      </c>
      <c r="AB370" s="19">
        <f t="shared" ca="1" si="19"/>
        <v>6564.1365543374031</v>
      </c>
      <c r="AC370" s="20">
        <f t="shared" ca="1" si="20"/>
        <v>8435.8634456625969</v>
      </c>
      <c r="AD370" s="19">
        <f t="shared" ca="1" si="21"/>
        <v>320.09314480977855</v>
      </c>
    </row>
    <row r="371" spans="1:30" x14ac:dyDescent="0.25">
      <c r="A371" s="19">
        <v>367</v>
      </c>
      <c r="B371" s="31">
        <v>56766</v>
      </c>
      <c r="C371" s="19">
        <f ca="1">IF($A371-C$3&lt;2,0,OFFSET('FPSO1 Base'!C368,-'FPSO1 Otim'!C$3,0))</f>
        <v>444.87299999999999</v>
      </c>
      <c r="D371" s="19">
        <f ca="1">IF($A371-D$3&lt;2,0,OFFSET('FPSO1 Base'!D368,-'FPSO1 Otim'!D$3,0))</f>
        <v>74.092500000000001</v>
      </c>
      <c r="E371" s="19">
        <f ca="1">IF($A371-E$3&lt;2,0,OFFSET('FPSO1 Base'!E368,-'FPSO1 Otim'!E$3,0))</f>
        <v>220.77449999999999</v>
      </c>
      <c r="F371" s="19">
        <f ca="1">IF($A371-F$3&lt;2,0,OFFSET('FPSO1 Base'!F368,-'FPSO1 Otim'!F$3,0))</f>
        <v>295.45050000000003</v>
      </c>
      <c r="G371" s="19">
        <f ca="1">IF($A371-G$3&lt;2,0,OFFSET('FPSO1 Base'!G368,-'FPSO1 Otim'!G$3,0))</f>
        <v>107.0745</v>
      </c>
      <c r="H371" s="19">
        <f ca="1">IF($A371-H$3&lt;2,0,OFFSET('FPSO1 Base'!H368,-'FPSO1 Otim'!H$3,0))</f>
        <v>535.52250000000004</v>
      </c>
      <c r="I371" s="19">
        <f ca="1">IF($A371-I$3&lt;2,0,OFFSET('FPSO1 Base'!I368,-'FPSO1 Otim'!I$3,0))</f>
        <v>370.572</v>
      </c>
      <c r="J371" s="19">
        <f ca="1">IF($A371-J$3&lt;2,0,OFFSET('FPSO1 Base'!J368,-'FPSO1 Otim'!J$3,0))</f>
        <v>200.952</v>
      </c>
      <c r="K371" s="19">
        <f ca="1">IF($A371-K$3&lt;2,0,OFFSET('FPSO1 Base'!K368,-'FPSO1 Otim'!K$3,0))</f>
        <v>184.2705</v>
      </c>
      <c r="L371" s="19">
        <f ca="1">IF($A371-L$3&lt;2,0,OFFSET('FPSO1 Base'!L368,-'FPSO1 Otim'!L$3,0))</f>
        <v>231.012</v>
      </c>
      <c r="M371" s="19">
        <f ca="1">IF($A371-M$3&lt;2,0,OFFSET('FPSO1 Base'!M368,-'FPSO1 Otim'!M$3,0))</f>
        <v>331.47450000000003</v>
      </c>
      <c r="N371" s="19">
        <f ca="1">IF($A371-N$3&lt;2,0,OFFSET('FPSO1 Base'!N368,-'FPSO1 Otim'!N$3,0))</f>
        <v>8.7348903197210213</v>
      </c>
      <c r="O371" s="19">
        <f ca="1">IF($A371-O$3&lt;2,0,OFFSET('FPSO1 Base'!O368,-'FPSO1 Otim'!O$3,0))</f>
        <v>187.90049999999999</v>
      </c>
      <c r="P371" s="19">
        <f ca="1">IF($A371-P$3&lt;2,0,OFFSET('FPSO1 Base'!P368,-'FPSO1 Otim'!P$3,0))</f>
        <v>49.798299241578242</v>
      </c>
      <c r="Q371" s="19">
        <f ca="1">IF($A371-Q$3&lt;2,0,OFFSET('FPSO1 Base'!Q368,-'FPSO1 Otim'!Q$3,0))</f>
        <v>352.887</v>
      </c>
      <c r="R371" s="19">
        <f ca="1">IF($A371-R$3&lt;2,0,OFFSET('FPSO1 Base'!R368,-'FPSO1 Otim'!R$3,0))</f>
        <v>15.503024232729873</v>
      </c>
      <c r="S371" s="19">
        <f ca="1">IF($A371-S$3&lt;2,0,OFFSET('FPSO1 Base'!S368,-'FPSO1 Otim'!S$3,0))</f>
        <v>250.185</v>
      </c>
      <c r="T371" s="19">
        <f ca="1">IF($A371-T$3&lt;2,0,OFFSET('FPSO1 Base'!T368,-'FPSO1 Otim'!T$3,0))</f>
        <v>387.34950000000003</v>
      </c>
      <c r="U371" s="19">
        <f ca="1">IF($A371-U$3&lt;2,0,OFFSET('FPSO1 Base'!U368,-'FPSO1 Otim'!U$3,0))</f>
        <v>487.161</v>
      </c>
      <c r="V371" s="19">
        <f ca="1">IF($A371-V$3&lt;2,0,OFFSET('FPSO1 Base'!V368,-'FPSO1 Otim'!V$3,0))</f>
        <v>442.79999999999995</v>
      </c>
      <c r="W371" s="19">
        <f ca="1">IF($A371-W$3&lt;2,0,OFFSET('FPSO1 Base'!W368,-'FPSO1 Otim'!W$3,0))</f>
        <v>201.429</v>
      </c>
      <c r="X371" s="19">
        <f ca="1">IF($A371-X$3&lt;2,0,OFFSET('FPSO1 Base'!X368,-'FPSO1 Otim'!X$3,0))</f>
        <v>547.25850000000003</v>
      </c>
      <c r="Y371" s="19">
        <f ca="1">IF($A371-Y$3&lt;2,0,OFFSET('FPSO1 Base'!Y368,-'FPSO1 Otim'!Y$3,0))</f>
        <v>380.553</v>
      </c>
      <c r="Z371" s="19">
        <f ca="1">IF($A371-Z$3&lt;2,0,OFFSET('FPSO1 Base'!Z368,-'FPSO1 Otim'!Z$3,0))</f>
        <v>241.053</v>
      </c>
      <c r="AA371" s="20">
        <v>15000</v>
      </c>
      <c r="AB371" s="19">
        <f t="shared" ca="1" si="19"/>
        <v>6548.6812137940296</v>
      </c>
      <c r="AC371" s="20">
        <f t="shared" ca="1" si="20"/>
        <v>8451.3187862059713</v>
      </c>
      <c r="AD371" s="19">
        <f t="shared" ca="1" si="21"/>
        <v>316.70031228016683</v>
      </c>
    </row>
    <row r="372" spans="1:30" x14ac:dyDescent="0.25">
      <c r="A372" s="19">
        <v>368</v>
      </c>
      <c r="B372" s="31">
        <v>56796</v>
      </c>
      <c r="C372" s="19">
        <f ca="1">IF($A372-C$3&lt;2,0,OFFSET('FPSO1 Base'!C369,-'FPSO1 Otim'!C$3,0))</f>
        <v>443.61149999999998</v>
      </c>
      <c r="D372" s="19">
        <f ca="1">IF($A372-D$3&lt;2,0,OFFSET('FPSO1 Base'!D369,-'FPSO1 Otim'!D$3,0))</f>
        <v>73.766999999999996</v>
      </c>
      <c r="E372" s="19">
        <f ca="1">IF($A372-E$3&lt;2,0,OFFSET('FPSO1 Base'!E369,-'FPSO1 Otim'!E$3,0))</f>
        <v>219.411</v>
      </c>
      <c r="F372" s="19">
        <f ca="1">IF($A372-F$3&lt;2,0,OFFSET('FPSO1 Base'!F369,-'FPSO1 Otim'!F$3,0))</f>
        <v>294.58050000000003</v>
      </c>
      <c r="G372" s="19">
        <f ca="1">IF($A372-G$3&lt;2,0,OFFSET('FPSO1 Base'!G369,-'FPSO1 Otim'!G$3,0))</f>
        <v>106.89750000000001</v>
      </c>
      <c r="H372" s="19">
        <f ca="1">IF($A372-H$3&lt;2,0,OFFSET('FPSO1 Base'!H369,-'FPSO1 Otim'!H$3,0))</f>
        <v>535.40100000000007</v>
      </c>
      <c r="I372" s="19">
        <f ca="1">IF($A372-I$3&lt;2,0,OFFSET('FPSO1 Base'!I369,-'FPSO1 Otim'!I$3,0))</f>
        <v>370.15049999999997</v>
      </c>
      <c r="J372" s="19">
        <f ca="1">IF($A372-J$3&lt;2,0,OFFSET('FPSO1 Base'!J369,-'FPSO1 Otim'!J$3,0))</f>
        <v>200.58599999999998</v>
      </c>
      <c r="K372" s="19">
        <f ca="1">IF($A372-K$3&lt;2,0,OFFSET('FPSO1 Base'!K369,-'FPSO1 Otim'!K$3,0))</f>
        <v>183.42449999999999</v>
      </c>
      <c r="L372" s="19">
        <f ca="1">IF($A372-L$3&lt;2,0,OFFSET('FPSO1 Base'!L369,-'FPSO1 Otim'!L$3,0))</f>
        <v>230.71199999999999</v>
      </c>
      <c r="M372" s="19">
        <f ca="1">IF($A372-M$3&lt;2,0,OFFSET('FPSO1 Base'!M369,-'FPSO1 Otim'!M$3,0))</f>
        <v>331.185</v>
      </c>
      <c r="N372" s="19">
        <f ca="1">IF($A372-N$3&lt;2,0,OFFSET('FPSO1 Base'!N369,-'FPSO1 Otim'!N$3,0))</f>
        <v>8.6475414165238114</v>
      </c>
      <c r="O372" s="19">
        <f ca="1">IF($A372-O$3&lt;2,0,OFFSET('FPSO1 Base'!O369,-'FPSO1 Otim'!O$3,0))</f>
        <v>186.02149499999999</v>
      </c>
      <c r="P372" s="19">
        <f ca="1">IF($A372-P$3&lt;2,0,OFFSET('FPSO1 Base'!P369,-'FPSO1 Otim'!P$3,0))</f>
        <v>49.300316249162456</v>
      </c>
      <c r="Q372" s="19">
        <f ca="1">IF($A372-Q$3&lt;2,0,OFFSET('FPSO1 Base'!Q369,-'FPSO1 Otim'!Q$3,0))</f>
        <v>351.82500000000005</v>
      </c>
      <c r="R372" s="19">
        <f ca="1">IF($A372-R$3&lt;2,0,OFFSET('FPSO1 Base'!R369,-'FPSO1 Otim'!R$3,0))</f>
        <v>15.347993990402573</v>
      </c>
      <c r="S372" s="19">
        <f ca="1">IF($A372-S$3&lt;2,0,OFFSET('FPSO1 Base'!S369,-'FPSO1 Otim'!S$3,0))</f>
        <v>250.79999999999998</v>
      </c>
      <c r="T372" s="19">
        <f ca="1">IF($A372-T$3&lt;2,0,OFFSET('FPSO1 Base'!T369,-'FPSO1 Otim'!T$3,0))</f>
        <v>385.76550000000003</v>
      </c>
      <c r="U372" s="19">
        <f ca="1">IF($A372-U$3&lt;2,0,OFFSET('FPSO1 Base'!U369,-'FPSO1 Otim'!U$3,0))</f>
        <v>486.42450000000002</v>
      </c>
      <c r="V372" s="19">
        <f ca="1">IF($A372-V$3&lt;2,0,OFFSET('FPSO1 Base'!V369,-'FPSO1 Otim'!V$3,0))</f>
        <v>441.91949999999997</v>
      </c>
      <c r="W372" s="19">
        <f ca="1">IF($A372-W$3&lt;2,0,OFFSET('FPSO1 Base'!W369,-'FPSO1 Otim'!W$3,0))</f>
        <v>201.0975</v>
      </c>
      <c r="X372" s="19">
        <f ca="1">IF($A372-X$3&lt;2,0,OFFSET('FPSO1 Base'!X369,-'FPSO1 Otim'!X$3,0))</f>
        <v>545.20049999999992</v>
      </c>
      <c r="Y372" s="19">
        <f ca="1">IF($A372-Y$3&lt;2,0,OFFSET('FPSO1 Base'!Y369,-'FPSO1 Otim'!Y$3,0))</f>
        <v>380.47799999999995</v>
      </c>
      <c r="Z372" s="19">
        <f ca="1">IF($A372-Z$3&lt;2,0,OFFSET('FPSO1 Base'!Z369,-'FPSO1 Otim'!Z$3,0))</f>
        <v>239.35050000000001</v>
      </c>
      <c r="AA372" s="20">
        <v>15000</v>
      </c>
      <c r="AB372" s="19">
        <f t="shared" ca="1" si="19"/>
        <v>6531.9048466560889</v>
      </c>
      <c r="AC372" s="20">
        <f t="shared" ca="1" si="20"/>
        <v>8468.0951533439111</v>
      </c>
      <c r="AD372" s="19">
        <f t="shared" ca="1" si="21"/>
        <v>313.2783387443086</v>
      </c>
    </row>
    <row r="373" spans="1:30" x14ac:dyDescent="0.25">
      <c r="A373" s="19">
        <v>369</v>
      </c>
      <c r="B373" s="31">
        <v>56827</v>
      </c>
      <c r="C373" s="19">
        <f ca="1">IF($A373-C$3&lt;2,0,OFFSET('FPSO1 Base'!C370,-'FPSO1 Otim'!C$3,0))</f>
        <v>442.42949999999996</v>
      </c>
      <c r="D373" s="19">
        <f ca="1">IF($A373-D$3&lt;2,0,OFFSET('FPSO1 Base'!D370,-'FPSO1 Otim'!D$3,0))</f>
        <v>73.430999999999997</v>
      </c>
      <c r="E373" s="19">
        <f ca="1">IF($A373-E$3&lt;2,0,OFFSET('FPSO1 Base'!E370,-'FPSO1 Otim'!E$3,0))</f>
        <v>217.98749999999998</v>
      </c>
      <c r="F373" s="19">
        <f ca="1">IF($A373-F$3&lt;2,0,OFFSET('FPSO1 Base'!F370,-'FPSO1 Otim'!F$3,0))</f>
        <v>293.625</v>
      </c>
      <c r="G373" s="19">
        <f ca="1">IF($A373-G$3&lt;2,0,OFFSET('FPSO1 Base'!G370,-'FPSO1 Otim'!G$3,0))</f>
        <v>106.70099999999999</v>
      </c>
      <c r="H373" s="19">
        <f ca="1">IF($A373-H$3&lt;2,0,OFFSET('FPSO1 Base'!H370,-'FPSO1 Otim'!H$3,0))</f>
        <v>535.27800000000002</v>
      </c>
      <c r="I373" s="19">
        <f ca="1">IF($A373-I$3&lt;2,0,OFFSET('FPSO1 Base'!I370,-'FPSO1 Otim'!I$3,0))</f>
        <v>369.75</v>
      </c>
      <c r="J373" s="19">
        <f ca="1">IF($A373-J$3&lt;2,0,OFFSET('FPSO1 Base'!J370,-'FPSO1 Otim'!J$3,0))</f>
        <v>200.226</v>
      </c>
      <c r="K373" s="19">
        <f ca="1">IF($A373-K$3&lt;2,0,OFFSET('FPSO1 Base'!K370,-'FPSO1 Otim'!K$3,0))</f>
        <v>182.637</v>
      </c>
      <c r="L373" s="19">
        <f ca="1">IF($A373-L$3&lt;2,0,OFFSET('FPSO1 Base'!L370,-'FPSO1 Otim'!L$3,0))</f>
        <v>230.4195</v>
      </c>
      <c r="M373" s="19">
        <f ca="1">IF($A373-M$3&lt;2,0,OFFSET('FPSO1 Base'!M370,-'FPSO1 Otim'!M$3,0))</f>
        <v>330.82500000000005</v>
      </c>
      <c r="N373" s="19">
        <f ca="1">IF($A373-N$3&lt;2,0,OFFSET('FPSO1 Base'!N370,-'FPSO1 Otim'!N$3,0))</f>
        <v>8.5610660023585723</v>
      </c>
      <c r="O373" s="19">
        <f ca="1">IF($A373-O$3&lt;2,0,OFFSET('FPSO1 Base'!O370,-'FPSO1 Otim'!O$3,0))</f>
        <v>184.16128004999999</v>
      </c>
      <c r="P373" s="19">
        <f ca="1">IF($A373-P$3&lt;2,0,OFFSET('FPSO1 Base'!P370,-'FPSO1 Otim'!P$3,0))</f>
        <v>48.807313086670831</v>
      </c>
      <c r="Q373" s="19">
        <f ca="1">IF($A373-Q$3&lt;2,0,OFFSET('FPSO1 Base'!Q370,-'FPSO1 Otim'!Q$3,0))</f>
        <v>350.80650000000003</v>
      </c>
      <c r="R373" s="19">
        <f ca="1">IF($A373-R$3&lt;2,0,OFFSET('FPSO1 Base'!R370,-'FPSO1 Otim'!R$3,0))</f>
        <v>15.194514050498547</v>
      </c>
      <c r="S373" s="19">
        <f ca="1">IF($A373-S$3&lt;2,0,OFFSET('FPSO1 Base'!S370,-'FPSO1 Otim'!S$3,0))</f>
        <v>251.322</v>
      </c>
      <c r="T373" s="19">
        <f ca="1">IF($A373-T$3&lt;2,0,OFFSET('FPSO1 Base'!T370,-'FPSO1 Otim'!T$3,0))</f>
        <v>384</v>
      </c>
      <c r="U373" s="19">
        <f ca="1">IF($A373-U$3&lt;2,0,OFFSET('FPSO1 Base'!U370,-'FPSO1 Otim'!U$3,0))</f>
        <v>485.70899999999995</v>
      </c>
      <c r="V373" s="19">
        <f ca="1">IF($A373-V$3&lt;2,0,OFFSET('FPSO1 Base'!V370,-'FPSO1 Otim'!V$3,0))</f>
        <v>441</v>
      </c>
      <c r="W373" s="19">
        <f ca="1">IF($A373-W$3&lt;2,0,OFFSET('FPSO1 Base'!W370,-'FPSO1 Otim'!W$3,0))</f>
        <v>200.65049999999999</v>
      </c>
      <c r="X373" s="19">
        <f ca="1">IF($A373-X$3&lt;2,0,OFFSET('FPSO1 Base'!X370,-'FPSO1 Otim'!X$3,0))</f>
        <v>543.24149999999997</v>
      </c>
      <c r="Y373" s="19">
        <f ca="1">IF($A373-Y$3&lt;2,0,OFFSET('FPSO1 Base'!Y370,-'FPSO1 Otim'!Y$3,0))</f>
        <v>380.202</v>
      </c>
      <c r="Z373" s="19">
        <f ca="1">IF($A373-Z$3&lt;2,0,OFFSET('FPSO1 Base'!Z370,-'FPSO1 Otim'!Z$3,0))</f>
        <v>237.762</v>
      </c>
      <c r="AA373" s="20">
        <v>15000</v>
      </c>
      <c r="AB373" s="19">
        <f t="shared" ca="1" si="19"/>
        <v>6514.727173189528</v>
      </c>
      <c r="AC373" s="20">
        <f t="shared" ca="1" si="20"/>
        <v>8485.2728268104729</v>
      </c>
      <c r="AD373" s="19">
        <f t="shared" ca="1" si="21"/>
        <v>309.87220761020376</v>
      </c>
    </row>
    <row r="374" spans="1:30" x14ac:dyDescent="0.25">
      <c r="A374" s="19">
        <v>370</v>
      </c>
      <c r="B374" s="31">
        <v>56858</v>
      </c>
      <c r="C374" s="19">
        <f ca="1">IF($A374-C$3&lt;2,0,OFFSET('FPSO1 Base'!C371,-'FPSO1 Otim'!C$3,0))</f>
        <v>441.06450000000001</v>
      </c>
      <c r="D374" s="19">
        <f ca="1">IF($A374-D$3&lt;2,0,OFFSET('FPSO1 Base'!D371,-'FPSO1 Otim'!D$3,0))</f>
        <v>73.100999999999999</v>
      </c>
      <c r="E374" s="19">
        <f ca="1">IF($A374-E$3&lt;2,0,OFFSET('FPSO1 Base'!E371,-'FPSO1 Otim'!E$3,0))</f>
        <v>216.6525</v>
      </c>
      <c r="F374" s="19">
        <f ca="1">IF($A374-F$3&lt;2,0,OFFSET('FPSO1 Base'!F371,-'FPSO1 Otim'!F$3,0))</f>
        <v>292.69349999999997</v>
      </c>
      <c r="G374" s="19">
        <f ca="1">IF($A374-G$3&lt;2,0,OFFSET('FPSO1 Base'!G371,-'FPSO1 Otim'!G$3,0))</f>
        <v>105.98850000000002</v>
      </c>
      <c r="H374" s="19">
        <f ca="1">IF($A374-H$3&lt;2,0,OFFSET('FPSO1 Base'!H371,-'FPSO1 Otim'!H$3,0))</f>
        <v>535.16399999999999</v>
      </c>
      <c r="I374" s="19">
        <f ca="1">IF($A374-I$3&lt;2,0,OFFSET('FPSO1 Base'!I371,-'FPSO1 Otim'!I$3,0))</f>
        <v>369.29999999999995</v>
      </c>
      <c r="J374" s="19">
        <f ca="1">IF($A374-J$3&lt;2,0,OFFSET('FPSO1 Base'!J371,-'FPSO1 Otim'!J$3,0))</f>
        <v>199.90049999999999</v>
      </c>
      <c r="K374" s="19">
        <f ca="1">IF($A374-K$3&lt;2,0,OFFSET('FPSO1 Base'!K371,-'FPSO1 Otim'!K$3,0))</f>
        <v>181.77450000000002</v>
      </c>
      <c r="L374" s="19">
        <f ca="1">IF($A374-L$3&lt;2,0,OFFSET('FPSO1 Base'!L371,-'FPSO1 Otim'!L$3,0))</f>
        <v>230.17499999999998</v>
      </c>
      <c r="M374" s="19">
        <f ca="1">IF($A374-M$3&lt;2,0,OFFSET('FPSO1 Base'!M371,-'FPSO1 Otim'!M$3,0))</f>
        <v>330.55650000000003</v>
      </c>
      <c r="N374" s="19">
        <f ca="1">IF($A374-N$3&lt;2,0,OFFSET('FPSO1 Base'!N371,-'FPSO1 Otim'!N$3,0))</f>
        <v>8.4754553423349872</v>
      </c>
      <c r="O374" s="19">
        <f ca="1">IF($A374-O$3&lt;2,0,OFFSET('FPSO1 Base'!O371,-'FPSO1 Otim'!O$3,0))</f>
        <v>182.31966724949999</v>
      </c>
      <c r="P374" s="19">
        <f ca="1">IF($A374-P$3&lt;2,0,OFFSET('FPSO1 Base'!P371,-'FPSO1 Otim'!P$3,0))</f>
        <v>48.319239955804122</v>
      </c>
      <c r="Q374" s="19">
        <f ca="1">IF($A374-Q$3&lt;2,0,OFFSET('FPSO1 Base'!Q371,-'FPSO1 Otim'!Q$3,0))</f>
        <v>349.863</v>
      </c>
      <c r="R374" s="19">
        <f ca="1">IF($A374-R$3&lt;2,0,OFFSET('FPSO1 Base'!R371,-'FPSO1 Otim'!R$3,0))</f>
        <v>15.042568909993562</v>
      </c>
      <c r="S374" s="19">
        <f ca="1">IF($A374-S$3&lt;2,0,OFFSET('FPSO1 Base'!S371,-'FPSO1 Otim'!S$3,0))</f>
        <v>251.709</v>
      </c>
      <c r="T374" s="19">
        <f ca="1">IF($A374-T$3&lt;2,0,OFFSET('FPSO1 Base'!T371,-'FPSO1 Otim'!T$3,0))</f>
        <v>382.37850000000003</v>
      </c>
      <c r="U374" s="19">
        <f ca="1">IF($A374-U$3&lt;2,0,OFFSET('FPSO1 Base'!U371,-'FPSO1 Otim'!U$3,0))</f>
        <v>485.08050000000003</v>
      </c>
      <c r="V374" s="19">
        <f ca="1">IF($A374-V$3&lt;2,0,OFFSET('FPSO1 Base'!V371,-'FPSO1 Otim'!V$3,0))</f>
        <v>440.08050000000003</v>
      </c>
      <c r="W374" s="19">
        <f ca="1">IF($A374-W$3&lt;2,0,OFFSET('FPSO1 Base'!W371,-'FPSO1 Otim'!W$3,0))</f>
        <v>200.274</v>
      </c>
      <c r="X374" s="19">
        <f ca="1">IF($A374-X$3&lt;2,0,OFFSET('FPSO1 Base'!X371,-'FPSO1 Otim'!X$3,0))</f>
        <v>541.35450000000003</v>
      </c>
      <c r="Y374" s="19">
        <f ca="1">IF($A374-Y$3&lt;2,0,OFFSET('FPSO1 Base'!Y371,-'FPSO1 Otim'!Y$3,0))</f>
        <v>379.72500000000002</v>
      </c>
      <c r="Z374" s="19">
        <f ca="1">IF($A374-Z$3&lt;2,0,OFFSET('FPSO1 Base'!Z371,-'FPSO1 Otim'!Z$3,0))</f>
        <v>236.0505</v>
      </c>
      <c r="AA374" s="20">
        <v>15000</v>
      </c>
      <c r="AB374" s="19">
        <f t="shared" ca="1" si="19"/>
        <v>6497.042931457634</v>
      </c>
      <c r="AC374" s="20">
        <f t="shared" ca="1" si="20"/>
        <v>8502.957068542366</v>
      </c>
      <c r="AD374" s="19">
        <f t="shared" ca="1" si="21"/>
        <v>306.47708310517834</v>
      </c>
    </row>
    <row r="375" spans="1:30" x14ac:dyDescent="0.25">
      <c r="A375" s="19">
        <v>371</v>
      </c>
      <c r="B375" s="31">
        <v>56888</v>
      </c>
      <c r="C375" s="19">
        <f ca="1">IF($A375-C$3&lt;2,0,OFFSET('FPSO1 Base'!C372,-'FPSO1 Otim'!C$3,0))</f>
        <v>439.92599999999999</v>
      </c>
      <c r="D375" s="19">
        <f ca="1">IF($A375-D$3&lt;2,0,OFFSET('FPSO1 Base'!D372,-'FPSO1 Otim'!D$3,0))</f>
        <v>72.798000000000002</v>
      </c>
      <c r="E375" s="19">
        <f ca="1">IF($A375-E$3&lt;2,0,OFFSET('FPSO1 Base'!E372,-'FPSO1 Otim'!E$3,0))</f>
        <v>215.4195</v>
      </c>
      <c r="F375" s="19">
        <f ca="1">IF($A375-F$3&lt;2,0,OFFSET('FPSO1 Base'!F372,-'FPSO1 Otim'!F$3,0))</f>
        <v>291.75</v>
      </c>
      <c r="G375" s="19">
        <f ca="1">IF($A375-G$3&lt;2,0,OFFSET('FPSO1 Base'!G372,-'FPSO1 Otim'!G$3,0))</f>
        <v>105.76950000000001</v>
      </c>
      <c r="H375" s="19">
        <f ca="1">IF($A375-H$3&lt;2,0,OFFSET('FPSO1 Base'!H372,-'FPSO1 Otim'!H$3,0))</f>
        <v>535.04549999999995</v>
      </c>
      <c r="I375" s="19">
        <f ca="1">IF($A375-I$3&lt;2,0,OFFSET('FPSO1 Base'!I372,-'FPSO1 Otim'!I$3,0))</f>
        <v>369.09749999999997</v>
      </c>
      <c r="J375" s="19">
        <f ca="1">IF($A375-J$3&lt;2,0,OFFSET('FPSO1 Base'!J372,-'FPSO1 Otim'!J$3,0))</f>
        <v>199.524</v>
      </c>
      <c r="K375" s="19">
        <f ca="1">IF($A375-K$3&lt;2,0,OFFSET('FPSO1 Base'!K372,-'FPSO1 Otim'!K$3,0))</f>
        <v>180.9675</v>
      </c>
      <c r="L375" s="19">
        <f ca="1">IF($A375-L$3&lt;2,0,OFFSET('FPSO1 Base'!L372,-'FPSO1 Otim'!L$3,0))</f>
        <v>229.899</v>
      </c>
      <c r="M375" s="19">
        <f ca="1">IF($A375-M$3&lt;2,0,OFFSET('FPSO1 Base'!M372,-'FPSO1 Otim'!M$3,0))</f>
        <v>330.24149999999997</v>
      </c>
      <c r="N375" s="19">
        <f ca="1">IF($A375-N$3&lt;2,0,OFFSET('FPSO1 Base'!N372,-'FPSO1 Otim'!N$3,0))</f>
        <v>8.3907007889116372</v>
      </c>
      <c r="O375" s="19">
        <f ca="1">IF($A375-O$3&lt;2,0,OFFSET('FPSO1 Base'!O372,-'FPSO1 Otim'!O$3,0))</f>
        <v>180.49647057700497</v>
      </c>
      <c r="P375" s="19">
        <f ca="1">IF($A375-P$3&lt;2,0,OFFSET('FPSO1 Base'!P372,-'FPSO1 Otim'!P$3,0))</f>
        <v>47.836047556246079</v>
      </c>
      <c r="Q375" s="19">
        <f ca="1">IF($A375-Q$3&lt;2,0,OFFSET('FPSO1 Base'!Q372,-'FPSO1 Otim'!Q$3,0))</f>
        <v>348.75</v>
      </c>
      <c r="R375" s="19">
        <f ca="1">IF($A375-R$3&lt;2,0,OFFSET('FPSO1 Base'!R372,-'FPSO1 Otim'!R$3,0))</f>
        <v>14.892143220893626</v>
      </c>
      <c r="S375" s="19">
        <f ca="1">IF($A375-S$3&lt;2,0,OFFSET('FPSO1 Base'!S372,-'FPSO1 Otim'!S$3,0))</f>
        <v>252.21449999999999</v>
      </c>
      <c r="T375" s="19">
        <f ca="1">IF($A375-T$3&lt;2,0,OFFSET('FPSO1 Base'!T372,-'FPSO1 Otim'!T$3,0))</f>
        <v>380.87850000000003</v>
      </c>
      <c r="U375" s="19">
        <f ca="1">IF($A375-U$3&lt;2,0,OFFSET('FPSO1 Base'!U372,-'FPSO1 Otim'!U$3,0))</f>
        <v>484.25850000000003</v>
      </c>
      <c r="V375" s="19">
        <f ca="1">IF($A375-V$3&lt;2,0,OFFSET('FPSO1 Base'!V372,-'FPSO1 Otim'!V$3,0))</f>
        <v>439.161</v>
      </c>
      <c r="W375" s="19">
        <f ca="1">IF($A375-W$3&lt;2,0,OFFSET('FPSO1 Base'!W372,-'FPSO1 Otim'!W$3,0))</f>
        <v>199.875</v>
      </c>
      <c r="X375" s="19">
        <f ca="1">IF($A375-X$3&lt;2,0,OFFSET('FPSO1 Base'!X372,-'FPSO1 Otim'!X$3,0))</f>
        <v>539.35050000000001</v>
      </c>
      <c r="Y375" s="19">
        <f ca="1">IF($A375-Y$3&lt;2,0,OFFSET('FPSO1 Base'!Y372,-'FPSO1 Otim'!Y$3,0))</f>
        <v>379.137</v>
      </c>
      <c r="Z375" s="19">
        <f ca="1">IF($A375-Z$3&lt;2,0,OFFSET('FPSO1 Base'!Z372,-'FPSO1 Otim'!Z$3,0))</f>
        <v>234.423</v>
      </c>
      <c r="AA375" s="20">
        <v>15000</v>
      </c>
      <c r="AB375" s="19">
        <f t="shared" ca="1" si="19"/>
        <v>6480.1013621430557</v>
      </c>
      <c r="AC375" s="20">
        <f t="shared" ca="1" si="20"/>
        <v>8519.8986378569443</v>
      </c>
      <c r="AD375" s="19">
        <f t="shared" ca="1" si="21"/>
        <v>303.15165532168504</v>
      </c>
    </row>
    <row r="376" spans="1:30" x14ac:dyDescent="0.25">
      <c r="A376" s="19">
        <v>372</v>
      </c>
      <c r="B376" s="31">
        <v>56919</v>
      </c>
      <c r="C376" s="19">
        <f ca="1">IF($A376-C$3&lt;2,0,OFFSET('FPSO1 Base'!C373,-'FPSO1 Otim'!C$3,0))</f>
        <v>438.62250000000006</v>
      </c>
      <c r="D376" s="19">
        <f ca="1">IF($A376-D$3&lt;2,0,OFFSET('FPSO1 Base'!D373,-'FPSO1 Otim'!D$3,0))</f>
        <v>72.474000000000004</v>
      </c>
      <c r="E376" s="19">
        <f ca="1">IF($A376-E$3&lt;2,0,OFFSET('FPSO1 Base'!E373,-'FPSO1 Otim'!E$3,0))</f>
        <v>214.005</v>
      </c>
      <c r="F376" s="19">
        <f ca="1">IF($A376-F$3&lt;2,0,OFFSET('FPSO1 Base'!F373,-'FPSO1 Otim'!F$3,0))</f>
        <v>290.8005</v>
      </c>
      <c r="G376" s="19">
        <f ca="1">IF($A376-G$3&lt;2,0,OFFSET('FPSO1 Base'!G373,-'FPSO1 Otim'!G$3,0))</f>
        <v>105.501</v>
      </c>
      <c r="H376" s="19">
        <f ca="1">IF($A376-H$3&lt;2,0,OFFSET('FPSO1 Base'!H373,-'FPSO1 Otim'!H$3,0))</f>
        <v>534.93000000000006</v>
      </c>
      <c r="I376" s="19">
        <f ca="1">IF($A376-I$3&lt;2,0,OFFSET('FPSO1 Base'!I373,-'FPSO1 Otim'!I$3,0))</f>
        <v>369.048</v>
      </c>
      <c r="J376" s="19">
        <f ca="1">IF($A376-J$3&lt;2,0,OFFSET('FPSO1 Base'!J373,-'FPSO1 Otim'!J$3,0))</f>
        <v>199.15049999999999</v>
      </c>
      <c r="K376" s="19">
        <f ca="1">IF($A376-K$3&lt;2,0,OFFSET('FPSO1 Base'!K373,-'FPSO1 Otim'!K$3,0))</f>
        <v>180.1695</v>
      </c>
      <c r="L376" s="19">
        <f ca="1">IF($A376-L$3&lt;2,0,OFFSET('FPSO1 Base'!L373,-'FPSO1 Otim'!L$3,0))</f>
        <v>229.6695</v>
      </c>
      <c r="M376" s="19">
        <f ca="1">IF($A376-M$3&lt;2,0,OFFSET('FPSO1 Base'!M373,-'FPSO1 Otim'!M$3,0))</f>
        <v>329.97450000000003</v>
      </c>
      <c r="N376" s="19">
        <f ca="1">IF($A376-N$3&lt;2,0,OFFSET('FPSO1 Base'!N373,-'FPSO1 Otim'!N$3,0))</f>
        <v>8.3067937810225203</v>
      </c>
      <c r="O376" s="19">
        <f ca="1">IF($A376-O$3&lt;2,0,OFFSET('FPSO1 Base'!O373,-'FPSO1 Otim'!O$3,0))</f>
        <v>178.69150587123491</v>
      </c>
      <c r="P376" s="19">
        <f ca="1">IF($A376-P$3&lt;2,0,OFFSET('FPSO1 Base'!P373,-'FPSO1 Otim'!P$3,0))</f>
        <v>47.357687080683618</v>
      </c>
      <c r="Q376" s="19">
        <f ca="1">IF($A376-Q$3&lt;2,0,OFFSET('FPSO1 Base'!Q373,-'FPSO1 Otim'!Q$3,0))</f>
        <v>347.87850000000003</v>
      </c>
      <c r="R376" s="19">
        <f ca="1">IF($A376-R$3&lt;2,0,OFFSET('FPSO1 Base'!R373,-'FPSO1 Otim'!R$3,0))</f>
        <v>14.743221788684689</v>
      </c>
      <c r="S376" s="19">
        <f ca="1">IF($A376-S$3&lt;2,0,OFFSET('FPSO1 Base'!S373,-'FPSO1 Otim'!S$3,0))</f>
        <v>252.60449999999997</v>
      </c>
      <c r="T376" s="19">
        <f ca="1">IF($A376-T$3&lt;2,0,OFFSET('FPSO1 Base'!T373,-'FPSO1 Otim'!T$3,0))</f>
        <v>379.09800000000001</v>
      </c>
      <c r="U376" s="19">
        <f ca="1">IF($A376-U$3&lt;2,0,OFFSET('FPSO1 Base'!U373,-'FPSO1 Otim'!U$3,0))</f>
        <v>483.58050000000003</v>
      </c>
      <c r="V376" s="19">
        <f ca="1">IF($A376-V$3&lt;2,0,OFFSET('FPSO1 Base'!V373,-'FPSO1 Otim'!V$3,0))</f>
        <v>438.10050000000001</v>
      </c>
      <c r="W376" s="19">
        <f ca="1">IF($A376-W$3&lt;2,0,OFFSET('FPSO1 Base'!W373,-'FPSO1 Otim'!W$3,0))</f>
        <v>199.476</v>
      </c>
      <c r="X376" s="19">
        <f ca="1">IF($A376-X$3&lt;2,0,OFFSET('FPSO1 Base'!X373,-'FPSO1 Otim'!X$3,0))</f>
        <v>537.53250000000003</v>
      </c>
      <c r="Y376" s="19">
        <f ca="1">IF($A376-Y$3&lt;2,0,OFFSET('FPSO1 Base'!Y373,-'FPSO1 Otim'!Y$3,0))</f>
        <v>378.43799999999999</v>
      </c>
      <c r="Z376" s="19">
        <f ca="1">IF($A376-Z$3&lt;2,0,OFFSET('FPSO1 Base'!Z373,-'FPSO1 Otim'!Z$3,0))</f>
        <v>232.791</v>
      </c>
      <c r="AA376" s="20">
        <v>15000</v>
      </c>
      <c r="AB376" s="19">
        <f t="shared" ca="1" si="19"/>
        <v>6462.9437085216259</v>
      </c>
      <c r="AC376" s="20">
        <f t="shared" ca="1" si="20"/>
        <v>8537.0562914783732</v>
      </c>
      <c r="AD376" s="19">
        <f t="shared" ca="1" si="21"/>
        <v>299.85023519251791</v>
      </c>
    </row>
    <row r="377" spans="1:30" x14ac:dyDescent="0.25">
      <c r="A377" s="19">
        <v>373</v>
      </c>
      <c r="B377" s="31">
        <v>56949</v>
      </c>
      <c r="C377" s="19">
        <f ca="1">IF($A377-C$3&lt;2,0,OFFSET('FPSO1 Base'!C374,-'FPSO1 Otim'!C$3,0))</f>
        <v>437.37450000000001</v>
      </c>
      <c r="D377" s="19">
        <f ca="1">IF($A377-D$3&lt;2,0,OFFSET('FPSO1 Base'!D374,-'FPSO1 Otim'!D$3,0))</f>
        <v>72.143999999999991</v>
      </c>
      <c r="E377" s="19">
        <f ca="1">IF($A377-E$3&lt;2,0,OFFSET('FPSO1 Base'!E374,-'FPSO1 Otim'!E$3,0))</f>
        <v>212.916</v>
      </c>
      <c r="F377" s="19">
        <f ca="1">IF($A377-F$3&lt;2,0,OFFSET('FPSO1 Base'!F374,-'FPSO1 Otim'!F$3,0))</f>
        <v>289.911</v>
      </c>
      <c r="G377" s="19">
        <f ca="1">IF($A377-G$3&lt;2,0,OFFSET('FPSO1 Base'!G374,-'FPSO1 Otim'!G$3,0))</f>
        <v>105.339</v>
      </c>
      <c r="H377" s="19">
        <f ca="1">IF($A377-H$3&lt;2,0,OFFSET('FPSO1 Base'!H374,-'FPSO1 Otim'!H$3,0))</f>
        <v>534.83399999999995</v>
      </c>
      <c r="I377" s="19">
        <f ca="1">IF($A377-I$3&lt;2,0,OFFSET('FPSO1 Base'!I374,-'FPSO1 Otim'!I$3,0))</f>
        <v>369.22500000000002</v>
      </c>
      <c r="J377" s="19">
        <f ca="1">IF($A377-J$3&lt;2,0,OFFSET('FPSO1 Base'!J374,-'FPSO1 Otim'!J$3,0))</f>
        <v>198.8475</v>
      </c>
      <c r="K377" s="19">
        <f ca="1">IF($A377-K$3&lt;2,0,OFFSET('FPSO1 Base'!K374,-'FPSO1 Otim'!K$3,0))</f>
        <v>179.37450000000001</v>
      </c>
      <c r="L377" s="19">
        <f ca="1">IF($A377-L$3&lt;2,0,OFFSET('FPSO1 Base'!L374,-'FPSO1 Otim'!L$3,0))</f>
        <v>229.41899999999998</v>
      </c>
      <c r="M377" s="19">
        <f ca="1">IF($A377-M$3&lt;2,0,OFFSET('FPSO1 Base'!M374,-'FPSO1 Otim'!M$3,0))</f>
        <v>329.73450000000003</v>
      </c>
      <c r="N377" s="19">
        <f ca="1">IF($A377-N$3&lt;2,0,OFFSET('FPSO1 Base'!N374,-'FPSO1 Otim'!N$3,0))</f>
        <v>8.2237258432122946</v>
      </c>
      <c r="O377" s="19">
        <f ca="1">IF($A377-O$3&lt;2,0,OFFSET('FPSO1 Base'!O374,-'FPSO1 Otim'!O$3,0))</f>
        <v>176.90459081252257</v>
      </c>
      <c r="P377" s="19">
        <f ca="1">IF($A377-P$3&lt;2,0,OFFSET('FPSO1 Base'!P374,-'FPSO1 Otim'!P$3,0))</f>
        <v>46.884110209876781</v>
      </c>
      <c r="Q377" s="19">
        <f ca="1">IF($A377-Q$3&lt;2,0,OFFSET('FPSO1 Base'!Q374,-'FPSO1 Otim'!Q$3,0))</f>
        <v>346.84950000000003</v>
      </c>
      <c r="R377" s="19">
        <f ca="1">IF($A377-R$3&lt;2,0,OFFSET('FPSO1 Base'!R374,-'FPSO1 Otim'!R$3,0))</f>
        <v>14.595789570797843</v>
      </c>
      <c r="S377" s="19">
        <f ca="1">IF($A377-S$3&lt;2,0,OFFSET('FPSO1 Base'!S374,-'FPSO1 Otim'!S$3,0))</f>
        <v>253.02449999999999</v>
      </c>
      <c r="T377" s="19">
        <f ca="1">IF($A377-T$3&lt;2,0,OFFSET('FPSO1 Base'!T374,-'FPSO1 Otim'!T$3,0))</f>
        <v>377.637</v>
      </c>
      <c r="U377" s="19">
        <f ca="1">IF($A377-U$3&lt;2,0,OFFSET('FPSO1 Base'!U374,-'FPSO1 Otim'!U$3,0))</f>
        <v>482.77500000000003</v>
      </c>
      <c r="V377" s="19">
        <f ca="1">IF($A377-V$3&lt;2,0,OFFSET('FPSO1 Base'!V374,-'FPSO1 Otim'!V$3,0))</f>
        <v>437.226</v>
      </c>
      <c r="W377" s="19">
        <f ca="1">IF($A377-W$3&lt;2,0,OFFSET('FPSO1 Base'!W374,-'FPSO1 Otim'!W$3,0))</f>
        <v>199.137</v>
      </c>
      <c r="X377" s="19">
        <f ca="1">IF($A377-X$3&lt;2,0,OFFSET('FPSO1 Base'!X374,-'FPSO1 Otim'!X$3,0))</f>
        <v>535.60050000000001</v>
      </c>
      <c r="Y377" s="19">
        <f ca="1">IF($A377-Y$3&lt;2,0,OFFSET('FPSO1 Base'!Y374,-'FPSO1 Otim'!Y$3,0))</f>
        <v>377.74649999999997</v>
      </c>
      <c r="Z377" s="19">
        <f ca="1">IF($A377-Z$3&lt;2,0,OFFSET('FPSO1 Base'!Z374,-'FPSO1 Otim'!Z$3,0))</f>
        <v>231.07500000000002</v>
      </c>
      <c r="AA377" s="20">
        <v>15000</v>
      </c>
      <c r="AB377" s="19">
        <f t="shared" ca="1" si="19"/>
        <v>6446.7982164364093</v>
      </c>
      <c r="AC377" s="20">
        <f t="shared" ca="1" si="20"/>
        <v>8553.2017835635907</v>
      </c>
      <c r="AD377" s="19">
        <f t="shared" ca="1" si="21"/>
        <v>296.62924977147514</v>
      </c>
    </row>
    <row r="378" spans="1:30" x14ac:dyDescent="0.25">
      <c r="A378" s="19">
        <v>374</v>
      </c>
      <c r="B378" s="31">
        <v>56980</v>
      </c>
      <c r="C378" s="19">
        <f ca="1">IF($A378-C$3&lt;2,0,OFFSET('FPSO1 Base'!C375,-'FPSO1 Otim'!C$3,0))</f>
        <v>436.14600000000002</v>
      </c>
      <c r="D378" s="19">
        <f ca="1">IF($A378-D$3&lt;2,0,OFFSET('FPSO1 Base'!D375,-'FPSO1 Otim'!D$3,0))</f>
        <v>71.836500000000001</v>
      </c>
      <c r="E378" s="19">
        <f ca="1">IF($A378-E$3&lt;2,0,OFFSET('FPSO1 Base'!E375,-'FPSO1 Otim'!E$3,0))</f>
        <v>211.62450000000001</v>
      </c>
      <c r="F378" s="19">
        <f ca="1">IF($A378-F$3&lt;2,0,OFFSET('FPSO1 Base'!F375,-'FPSO1 Otim'!F$3,0))</f>
        <v>288.97500000000002</v>
      </c>
      <c r="G378" s="19">
        <f ca="1">IF($A378-G$3&lt;2,0,OFFSET('FPSO1 Base'!G375,-'FPSO1 Otim'!G$3,0))</f>
        <v>105.23099999999999</v>
      </c>
      <c r="H378" s="19">
        <f ca="1">IF($A378-H$3&lt;2,0,OFFSET('FPSO1 Base'!H375,-'FPSO1 Otim'!H$3,0))</f>
        <v>534.69299999999998</v>
      </c>
      <c r="I378" s="19">
        <f ca="1">IF($A378-I$3&lt;2,0,OFFSET('FPSO1 Base'!I375,-'FPSO1 Otim'!I$3,0))</f>
        <v>369.50850000000003</v>
      </c>
      <c r="J378" s="19">
        <f ca="1">IF($A378-J$3&lt;2,0,OFFSET('FPSO1 Base'!J375,-'FPSO1 Otim'!J$3,0))</f>
        <v>198.53249999999997</v>
      </c>
      <c r="K378" s="19">
        <f ca="1">IF($A378-K$3&lt;2,0,OFFSET('FPSO1 Base'!K375,-'FPSO1 Otim'!K$3,0))</f>
        <v>178.6215</v>
      </c>
      <c r="L378" s="19">
        <f ca="1">IF($A378-L$3&lt;2,0,OFFSET('FPSO1 Base'!L375,-'FPSO1 Otim'!L$3,0))</f>
        <v>229.209</v>
      </c>
      <c r="M378" s="19">
        <f ca="1">IF($A378-M$3&lt;2,0,OFFSET('FPSO1 Base'!M375,-'FPSO1 Otim'!M$3,0))</f>
        <v>329.4</v>
      </c>
      <c r="N378" s="19">
        <f ca="1">IF($A378-N$3&lt;2,0,OFFSET('FPSO1 Base'!N375,-'FPSO1 Otim'!N$3,0))</f>
        <v>8.1414885847801717</v>
      </c>
      <c r="O378" s="19">
        <f ca="1">IF($A378-O$3&lt;2,0,OFFSET('FPSO1 Base'!O375,-'FPSO1 Otim'!O$3,0))</f>
        <v>175.13554490439734</v>
      </c>
      <c r="P378" s="19">
        <f ca="1">IF($A378-P$3&lt;2,0,OFFSET('FPSO1 Base'!P375,-'FPSO1 Otim'!P$3,0))</f>
        <v>46.415269107778009</v>
      </c>
      <c r="Q378" s="19">
        <f ca="1">IF($A378-Q$3&lt;2,0,OFFSET('FPSO1 Base'!Q375,-'FPSO1 Otim'!Q$3,0))</f>
        <v>345.96750000000003</v>
      </c>
      <c r="R378" s="19">
        <f ca="1">IF($A378-R$3&lt;2,0,OFFSET('FPSO1 Base'!R375,-'FPSO1 Otim'!R$3,0))</f>
        <v>14.449831675089865</v>
      </c>
      <c r="S378" s="19">
        <f ca="1">IF($A378-S$3&lt;2,0,OFFSET('FPSO1 Base'!S375,-'FPSO1 Otim'!S$3,0))</f>
        <v>253.4025</v>
      </c>
      <c r="T378" s="19">
        <f ca="1">IF($A378-T$3&lt;2,0,OFFSET('FPSO1 Base'!T375,-'FPSO1 Otim'!T$3,0))</f>
        <v>376.00049999999999</v>
      </c>
      <c r="U378" s="19">
        <f ca="1">IF($A378-U$3&lt;2,0,OFFSET('FPSO1 Base'!U375,-'FPSO1 Otim'!U$3,0))</f>
        <v>482.05649999999997</v>
      </c>
      <c r="V378" s="19">
        <f ca="1">IF($A378-V$3&lt;2,0,OFFSET('FPSO1 Base'!V375,-'FPSO1 Otim'!V$3,0))</f>
        <v>436.5</v>
      </c>
      <c r="W378" s="19">
        <f ca="1">IF($A378-W$3&lt;2,0,OFFSET('FPSO1 Base'!W375,-'FPSO1 Otim'!W$3,0))</f>
        <v>198.72450000000001</v>
      </c>
      <c r="X378" s="19">
        <f ca="1">IF($A378-X$3&lt;2,0,OFFSET('FPSO1 Base'!X375,-'FPSO1 Otim'!X$3,0))</f>
        <v>533.80649999999991</v>
      </c>
      <c r="Y378" s="19">
        <f ca="1">IF($A378-Y$3&lt;2,0,OFFSET('FPSO1 Base'!Y375,-'FPSO1 Otim'!Y$3,0))</f>
        <v>377.03249999999997</v>
      </c>
      <c r="Z378" s="19">
        <f ca="1">IF($A378-Z$3&lt;2,0,OFFSET('FPSO1 Base'!Z375,-'FPSO1 Otim'!Z$3,0))</f>
        <v>229.524</v>
      </c>
      <c r="AA378" s="20">
        <v>15000</v>
      </c>
      <c r="AB378" s="19">
        <f t="shared" ca="1" si="19"/>
        <v>6430.9341342720463</v>
      </c>
      <c r="AC378" s="20">
        <f t="shared" ca="1" si="20"/>
        <v>8569.0658657279528</v>
      </c>
      <c r="AD378" s="19">
        <f t="shared" ca="1" si="21"/>
        <v>293.45386479152154</v>
      </c>
    </row>
    <row r="379" spans="1:30" x14ac:dyDescent="0.25">
      <c r="A379" s="19">
        <v>375</v>
      </c>
      <c r="B379" s="31">
        <v>57011</v>
      </c>
      <c r="C379" s="19">
        <f ca="1">IF($A379-C$3&lt;2,0,OFFSET('FPSO1 Base'!C376,-'FPSO1 Otim'!C$3,0))</f>
        <v>435.00600000000003</v>
      </c>
      <c r="D379" s="19">
        <f ca="1">IF($A379-D$3&lt;2,0,OFFSET('FPSO1 Base'!D376,-'FPSO1 Otim'!D$3,0))</f>
        <v>71.581499999999991</v>
      </c>
      <c r="E379" s="19">
        <f ca="1">IF($A379-E$3&lt;2,0,OFFSET('FPSO1 Base'!E376,-'FPSO1 Otim'!E$3,0))</f>
        <v>210.435</v>
      </c>
      <c r="F379" s="19">
        <f ca="1">IF($A379-F$3&lt;2,0,OFFSET('FPSO1 Base'!F376,-'FPSO1 Otim'!F$3,0))</f>
        <v>288.09749999999997</v>
      </c>
      <c r="G379" s="19">
        <f ca="1">IF($A379-G$3&lt;2,0,OFFSET('FPSO1 Base'!G376,-'FPSO1 Otim'!G$3,0))</f>
        <v>105.0675</v>
      </c>
      <c r="H379" s="19">
        <f ca="1">IF($A379-H$3&lt;2,0,OFFSET('FPSO1 Base'!H376,-'FPSO1 Otim'!H$3,0))</f>
        <v>534.59699999999998</v>
      </c>
      <c r="I379" s="19">
        <f ca="1">IF($A379-I$3&lt;2,0,OFFSET('FPSO1 Base'!I376,-'FPSO1 Otim'!I$3,0))</f>
        <v>369.67499999999995</v>
      </c>
      <c r="J379" s="19">
        <f ca="1">IF($A379-J$3&lt;2,0,OFFSET('FPSO1 Base'!J376,-'FPSO1 Otim'!J$3,0))</f>
        <v>198.1755</v>
      </c>
      <c r="K379" s="19">
        <f ca="1">IF($A379-K$3&lt;2,0,OFFSET('FPSO1 Base'!K376,-'FPSO1 Otim'!K$3,0))</f>
        <v>177.82499999999999</v>
      </c>
      <c r="L379" s="19">
        <f ca="1">IF($A379-L$3&lt;2,0,OFFSET('FPSO1 Base'!L376,-'FPSO1 Otim'!L$3,0))</f>
        <v>228.98699999999997</v>
      </c>
      <c r="M379" s="19">
        <f ca="1">IF($A379-M$3&lt;2,0,OFFSET('FPSO1 Base'!M376,-'FPSO1 Otim'!M$3,0))</f>
        <v>329.15250000000003</v>
      </c>
      <c r="N379" s="19">
        <f ca="1">IF($A379-N$3&lt;2,0,OFFSET('FPSO1 Base'!N376,-'FPSO1 Otim'!N$3,0))</f>
        <v>8.0600736989323707</v>
      </c>
      <c r="O379" s="19">
        <f ca="1">IF($A379-O$3&lt;2,0,OFFSET('FPSO1 Base'!O376,-'FPSO1 Otim'!O$3,0))</f>
        <v>173.38418945535335</v>
      </c>
      <c r="P379" s="19">
        <f ca="1">IF($A379-P$3&lt;2,0,OFFSET('FPSO1 Base'!P376,-'FPSO1 Otim'!P$3,0))</f>
        <v>45.951116416700231</v>
      </c>
      <c r="Q379" s="19">
        <f ca="1">IF($A379-Q$3&lt;2,0,OFFSET('FPSO1 Base'!Q376,-'FPSO1 Otim'!Q$3,0))</f>
        <v>344.95050000000003</v>
      </c>
      <c r="R379" s="19">
        <f ca="1">IF($A379-R$3&lt;2,0,OFFSET('FPSO1 Base'!R376,-'FPSO1 Otim'!R$3,0))</f>
        <v>14.305333358338967</v>
      </c>
      <c r="S379" s="19">
        <f ca="1">IF($A379-S$3&lt;2,0,OFFSET('FPSO1 Base'!S376,-'FPSO1 Otim'!S$3,0))</f>
        <v>253.6995</v>
      </c>
      <c r="T379" s="19">
        <f ca="1">IF($A379-T$3&lt;2,0,OFFSET('FPSO1 Base'!T376,-'FPSO1 Otim'!T$3,0))</f>
        <v>374.49149999999997</v>
      </c>
      <c r="U379" s="19">
        <f ca="1">IF($A379-U$3&lt;2,0,OFFSET('FPSO1 Base'!U376,-'FPSO1 Otim'!U$3,0))</f>
        <v>481.27500000000003</v>
      </c>
      <c r="V379" s="19">
        <f ca="1">IF($A379-V$3&lt;2,0,OFFSET('FPSO1 Base'!V376,-'FPSO1 Otim'!V$3,0))</f>
        <v>435.726</v>
      </c>
      <c r="W379" s="19">
        <f ca="1">IF($A379-W$3&lt;2,0,OFFSET('FPSO1 Base'!W376,-'FPSO1 Otim'!W$3,0))</f>
        <v>198.12149999999997</v>
      </c>
      <c r="X379" s="19">
        <f ca="1">IF($A379-X$3&lt;2,0,OFFSET('FPSO1 Base'!X376,-'FPSO1 Otim'!X$3,0))</f>
        <v>532.11300000000006</v>
      </c>
      <c r="Y379" s="19">
        <f ca="1">IF($A379-Y$3&lt;2,0,OFFSET('FPSO1 Base'!Y376,-'FPSO1 Otim'!Y$3,0))</f>
        <v>376.28700000000003</v>
      </c>
      <c r="Z379" s="19">
        <f ca="1">IF($A379-Z$3&lt;2,0,OFFSET('FPSO1 Base'!Z376,-'FPSO1 Otim'!Z$3,0))</f>
        <v>227.8245</v>
      </c>
      <c r="AA379" s="20">
        <v>15000</v>
      </c>
      <c r="AB379" s="19">
        <f t="shared" ca="1" si="19"/>
        <v>6414.788712929324</v>
      </c>
      <c r="AC379" s="20">
        <f t="shared" ca="1" si="20"/>
        <v>8585.2112870706769</v>
      </c>
      <c r="AD379" s="19">
        <f t="shared" ca="1" si="21"/>
        <v>290.2979734765949</v>
      </c>
    </row>
    <row r="380" spans="1:30" x14ac:dyDescent="0.25">
      <c r="A380" s="19">
        <v>376</v>
      </c>
      <c r="B380" s="31">
        <v>57040</v>
      </c>
      <c r="C380" s="19">
        <f ca="1">IF($A380-C$3&lt;2,0,OFFSET('FPSO1 Base'!C377,-'FPSO1 Otim'!C$3,0))</f>
        <v>433.7355</v>
      </c>
      <c r="D380" s="19">
        <f ca="1">IF($A380-D$3&lt;2,0,OFFSET('FPSO1 Base'!D377,-'FPSO1 Otim'!D$3,0))</f>
        <v>71.162999999999997</v>
      </c>
      <c r="E380" s="19">
        <f ca="1">IF($A380-E$3&lt;2,0,OFFSET('FPSO1 Base'!E377,-'FPSO1 Otim'!E$3,0))</f>
        <v>209.16300000000001</v>
      </c>
      <c r="F380" s="19">
        <f ca="1">IF($A380-F$3&lt;2,0,OFFSET('FPSO1 Base'!F377,-'FPSO1 Otim'!F$3,0))</f>
        <v>287.274</v>
      </c>
      <c r="G380" s="19">
        <f ca="1">IF($A380-G$3&lt;2,0,OFFSET('FPSO1 Base'!G377,-'FPSO1 Otim'!G$3,0))</f>
        <v>104.883</v>
      </c>
      <c r="H380" s="19">
        <f ca="1">IF($A380-H$3&lt;2,0,OFFSET('FPSO1 Base'!H377,-'FPSO1 Otim'!H$3,0))</f>
        <v>534.52200000000005</v>
      </c>
      <c r="I380" s="19">
        <f ca="1">IF($A380-I$3&lt;2,0,OFFSET('FPSO1 Base'!I377,-'FPSO1 Otim'!I$3,0))</f>
        <v>369.89550000000003</v>
      </c>
      <c r="J380" s="19">
        <f ca="1">IF($A380-J$3&lt;2,0,OFFSET('FPSO1 Base'!J377,-'FPSO1 Otim'!J$3,0))</f>
        <v>197.9025</v>
      </c>
      <c r="K380" s="19">
        <f ca="1">IF($A380-K$3&lt;2,0,OFFSET('FPSO1 Base'!K377,-'FPSO1 Otim'!K$3,0))</f>
        <v>177.06</v>
      </c>
      <c r="L380" s="19">
        <f ca="1">IF($A380-L$3&lt;2,0,OFFSET('FPSO1 Base'!L377,-'FPSO1 Otim'!L$3,0))</f>
        <v>228.786</v>
      </c>
      <c r="M380" s="19">
        <f ca="1">IF($A380-M$3&lt;2,0,OFFSET('FPSO1 Base'!M377,-'FPSO1 Otim'!M$3,0))</f>
        <v>328.839</v>
      </c>
      <c r="N380" s="19">
        <f ca="1">IF($A380-N$3&lt;2,0,OFFSET('FPSO1 Base'!N377,-'FPSO1 Otim'!N$3,0))</f>
        <v>7.9794729619430473</v>
      </c>
      <c r="O380" s="19">
        <f ca="1">IF($A380-O$3&lt;2,0,OFFSET('FPSO1 Base'!O377,-'FPSO1 Otim'!O$3,0))</f>
        <v>171.65034756079982</v>
      </c>
      <c r="P380" s="19">
        <f ca="1">IF($A380-P$3&lt;2,0,OFFSET('FPSO1 Base'!P377,-'FPSO1 Otim'!P$3,0))</f>
        <v>45.491605252533226</v>
      </c>
      <c r="Q380" s="19">
        <f ca="1">IF($A380-Q$3&lt;2,0,OFFSET('FPSO1 Base'!Q377,-'FPSO1 Otim'!Q$3,0))</f>
        <v>344.05650000000003</v>
      </c>
      <c r="R380" s="19">
        <f ca="1">IF($A380-R$3&lt;2,0,OFFSET('FPSO1 Base'!R377,-'FPSO1 Otim'!R$3,0))</f>
        <v>14.162280024755576</v>
      </c>
      <c r="S380" s="19">
        <f ca="1">IF($A380-S$3&lt;2,0,OFFSET('FPSO1 Base'!S377,-'FPSO1 Otim'!S$3,0))</f>
        <v>254.10449999999997</v>
      </c>
      <c r="T380" s="19">
        <f ca="1">IF($A380-T$3&lt;2,0,OFFSET('FPSO1 Base'!T377,-'FPSO1 Otim'!T$3,0))</f>
        <v>372.82500000000005</v>
      </c>
      <c r="U380" s="19">
        <f ca="1">IF($A380-U$3&lt;2,0,OFFSET('FPSO1 Base'!U377,-'FPSO1 Otim'!U$3,0))</f>
        <v>480.58050000000003</v>
      </c>
      <c r="V380" s="19">
        <f ca="1">IF($A380-V$3&lt;2,0,OFFSET('FPSO1 Base'!V377,-'FPSO1 Otim'!V$3,0))</f>
        <v>434.952</v>
      </c>
      <c r="W380" s="19">
        <f ca="1">IF($A380-W$3&lt;2,0,OFFSET('FPSO1 Base'!W377,-'FPSO1 Otim'!W$3,0))</f>
        <v>197.4495</v>
      </c>
      <c r="X380" s="19">
        <f ca="1">IF($A380-X$3&lt;2,0,OFFSET('FPSO1 Base'!X377,-'FPSO1 Otim'!X$3,0))</f>
        <v>530.63850000000002</v>
      </c>
      <c r="Y380" s="19">
        <f ca="1">IF($A380-Y$3&lt;2,0,OFFSET('FPSO1 Base'!Y377,-'FPSO1 Otim'!Y$3,0))</f>
        <v>375.64049999999997</v>
      </c>
      <c r="Z380" s="19">
        <f ca="1">IF($A380-Z$3&lt;2,0,OFFSET('FPSO1 Base'!Z377,-'FPSO1 Otim'!Z$3,0))</f>
        <v>226.28249999999997</v>
      </c>
      <c r="AA380" s="20">
        <v>15000</v>
      </c>
      <c r="AB380" s="19">
        <f t="shared" ca="1" si="19"/>
        <v>6399.0367058000311</v>
      </c>
      <c r="AC380" s="20">
        <f t="shared" ca="1" si="20"/>
        <v>8600.9632941999698</v>
      </c>
      <c r="AD380" s="19">
        <f t="shared" ca="1" si="21"/>
        <v>287.19185898063114</v>
      </c>
    </row>
    <row r="381" spans="1:30" x14ac:dyDescent="0.25">
      <c r="A381" s="19">
        <v>377</v>
      </c>
      <c r="B381" s="31">
        <v>57071</v>
      </c>
      <c r="C381" s="19">
        <f ca="1">IF($A381-C$3&lt;2,0,OFFSET('FPSO1 Base'!C378,-'FPSO1 Otim'!C$3,0))</f>
        <v>432.56850000000003</v>
      </c>
      <c r="D381" s="19">
        <f ca="1">IF($A381-D$3&lt;2,0,OFFSET('FPSO1 Base'!D378,-'FPSO1 Otim'!D$3,0))</f>
        <v>70.938000000000002</v>
      </c>
      <c r="E381" s="19">
        <f ca="1">IF($A381-E$3&lt;2,0,OFFSET('FPSO1 Base'!E378,-'FPSO1 Otim'!E$3,0))</f>
        <v>207.96750000000003</v>
      </c>
      <c r="F381" s="19">
        <f ca="1">IF($A381-F$3&lt;2,0,OFFSET('FPSO1 Base'!F378,-'FPSO1 Otim'!F$3,0))</f>
        <v>286.25850000000003</v>
      </c>
      <c r="G381" s="19">
        <f ca="1">IF($A381-G$3&lt;2,0,OFFSET('FPSO1 Base'!G378,-'FPSO1 Otim'!G$3,0))</f>
        <v>104.73599999999999</v>
      </c>
      <c r="H381" s="19">
        <f ca="1">IF($A381-H$3&lt;2,0,OFFSET('FPSO1 Base'!H378,-'FPSO1 Otim'!H$3,0))</f>
        <v>534.43200000000002</v>
      </c>
      <c r="I381" s="19">
        <f ca="1">IF($A381-I$3&lt;2,0,OFFSET('FPSO1 Base'!I378,-'FPSO1 Otim'!I$3,0))</f>
        <v>370.113</v>
      </c>
      <c r="J381" s="19">
        <f ca="1">IF($A381-J$3&lt;2,0,OFFSET('FPSO1 Base'!J378,-'FPSO1 Otim'!J$3,0))</f>
        <v>197.59950000000001</v>
      </c>
      <c r="K381" s="19">
        <f ca="1">IF($A381-K$3&lt;2,0,OFFSET('FPSO1 Base'!K378,-'FPSO1 Otim'!K$3,0))</f>
        <v>176.3475</v>
      </c>
      <c r="L381" s="19">
        <f ca="1">IF($A381-L$3&lt;2,0,OFFSET('FPSO1 Base'!L378,-'FPSO1 Otim'!L$3,0))</f>
        <v>228.5745</v>
      </c>
      <c r="M381" s="19">
        <f ca="1">IF($A381-M$3&lt;2,0,OFFSET('FPSO1 Base'!M378,-'FPSO1 Otim'!M$3,0))</f>
        <v>328.47300000000001</v>
      </c>
      <c r="N381" s="19">
        <f ca="1">IF($A381-N$3&lt;2,0,OFFSET('FPSO1 Base'!N378,-'FPSO1 Otim'!N$3,0))</f>
        <v>7.899678232323617</v>
      </c>
      <c r="O381" s="19">
        <f ca="1">IF($A381-O$3&lt;2,0,OFFSET('FPSO1 Base'!O378,-'FPSO1 Otim'!O$3,0))</f>
        <v>169.93384408519182</v>
      </c>
      <c r="P381" s="19">
        <f ca="1">IF($A381-P$3&lt;2,0,OFFSET('FPSO1 Base'!P378,-'FPSO1 Otim'!P$3,0))</f>
        <v>45.036689200007892</v>
      </c>
      <c r="Q381" s="19">
        <f ca="1">IF($A381-Q$3&lt;2,0,OFFSET('FPSO1 Base'!Q378,-'FPSO1 Otim'!Q$3,0))</f>
        <v>343.185</v>
      </c>
      <c r="R381" s="19">
        <f ca="1">IF($A381-R$3&lt;2,0,OFFSET('FPSO1 Base'!R378,-'FPSO1 Otim'!R$3,0))</f>
        <v>14.020657224508021</v>
      </c>
      <c r="S381" s="19">
        <f ca="1">IF($A381-S$3&lt;2,0,OFFSET('FPSO1 Base'!S378,-'FPSO1 Otim'!S$3,0))</f>
        <v>254.4195</v>
      </c>
      <c r="T381" s="19">
        <f ca="1">IF($A381-T$3&lt;2,0,OFFSET('FPSO1 Base'!T378,-'FPSO1 Otim'!T$3,0))</f>
        <v>371.274</v>
      </c>
      <c r="U381" s="19">
        <f ca="1">IF($A381-U$3&lt;2,0,OFFSET('FPSO1 Base'!U378,-'FPSO1 Otim'!U$3,0))</f>
        <v>479.87849999999997</v>
      </c>
      <c r="V381" s="19">
        <f ca="1">IF($A381-V$3&lt;2,0,OFFSET('FPSO1 Base'!V378,-'FPSO1 Otim'!V$3,0))</f>
        <v>434.03550000000007</v>
      </c>
      <c r="W381" s="19">
        <f ca="1">IF($A381-W$3&lt;2,0,OFFSET('FPSO1 Base'!W378,-'FPSO1 Otim'!W$3,0))</f>
        <v>196.911</v>
      </c>
      <c r="X381" s="19">
        <f ca="1">IF($A381-X$3&lt;2,0,OFFSET('FPSO1 Base'!X378,-'FPSO1 Otim'!X$3,0))</f>
        <v>529.64549999999997</v>
      </c>
      <c r="Y381" s="19">
        <f ca="1">IF($A381-Y$3&lt;2,0,OFFSET('FPSO1 Base'!Y378,-'FPSO1 Otim'!Y$3,0))</f>
        <v>374.93700000000001</v>
      </c>
      <c r="Z381" s="19">
        <f ca="1">IF($A381-Z$3&lt;2,0,OFFSET('FPSO1 Base'!Z378,-'FPSO1 Otim'!Z$3,0))</f>
        <v>224.7585</v>
      </c>
      <c r="AA381" s="20">
        <v>15000</v>
      </c>
      <c r="AB381" s="19">
        <f t="shared" ca="1" si="19"/>
        <v>6383.9433687420305</v>
      </c>
      <c r="AC381" s="20">
        <f t="shared" ca="1" si="20"/>
        <v>8616.0566312579685</v>
      </c>
      <c r="AD381" s="19">
        <f t="shared" ca="1" si="21"/>
        <v>284.14657459962456</v>
      </c>
    </row>
    <row r="382" spans="1:30" x14ac:dyDescent="0.25">
      <c r="A382" s="19">
        <v>378</v>
      </c>
      <c r="B382" s="31">
        <v>57101</v>
      </c>
      <c r="C382" s="19">
        <f ca="1">IF($A382-C$3&lt;2,0,OFFSET('FPSO1 Base'!C379,-'FPSO1 Otim'!C$3,0))</f>
        <v>431.27850000000001</v>
      </c>
      <c r="D382" s="19">
        <f ca="1">IF($A382-D$3&lt;2,0,OFFSET('FPSO1 Base'!D379,-'FPSO1 Otim'!D$3,0))</f>
        <v>70.545000000000002</v>
      </c>
      <c r="E382" s="19">
        <f ca="1">IF($A382-E$3&lt;2,0,OFFSET('FPSO1 Base'!E379,-'FPSO1 Otim'!E$3,0))</f>
        <v>206.7945</v>
      </c>
      <c r="F382" s="19">
        <f ca="1">IF($A382-F$3&lt;2,0,OFFSET('FPSO1 Base'!F379,-'FPSO1 Otim'!F$3,0))</f>
        <v>285.48450000000003</v>
      </c>
      <c r="G382" s="19">
        <f ca="1">IF($A382-G$3&lt;2,0,OFFSET('FPSO1 Base'!G379,-'FPSO1 Otim'!G$3,0))</f>
        <v>104.589</v>
      </c>
      <c r="H382" s="19">
        <f ca="1">IF($A382-H$3&lt;2,0,OFFSET('FPSO1 Base'!H379,-'FPSO1 Otim'!H$3,0))</f>
        <v>534.31349999999998</v>
      </c>
      <c r="I382" s="19">
        <f ca="1">IF($A382-I$3&lt;2,0,OFFSET('FPSO1 Base'!I379,-'FPSO1 Otim'!I$3,0))</f>
        <v>370.28550000000001</v>
      </c>
      <c r="J382" s="19">
        <f ca="1">IF($A382-J$3&lt;2,0,OFFSET('FPSO1 Base'!J379,-'FPSO1 Otim'!J$3,0))</f>
        <v>197.298</v>
      </c>
      <c r="K382" s="19">
        <f ca="1">IF($A382-K$3&lt;2,0,OFFSET('FPSO1 Base'!K379,-'FPSO1 Otim'!K$3,0))</f>
        <v>175.48650000000001</v>
      </c>
      <c r="L382" s="19">
        <f ca="1">IF($A382-L$3&lt;2,0,OFFSET('FPSO1 Base'!L379,-'FPSO1 Otim'!L$3,0))</f>
        <v>228.351</v>
      </c>
      <c r="M382" s="19">
        <f ca="1">IF($A382-M$3&lt;2,0,OFFSET('FPSO1 Base'!M379,-'FPSO1 Otim'!M$3,0))</f>
        <v>328.209</v>
      </c>
      <c r="N382" s="19">
        <f ca="1">IF($A382-N$3&lt;2,0,OFFSET('FPSO1 Base'!N379,-'FPSO1 Otim'!N$3,0))</f>
        <v>7.8206814500003805</v>
      </c>
      <c r="O382" s="19">
        <f ca="1">IF($A382-O$3&lt;2,0,OFFSET('FPSO1 Base'!O379,-'FPSO1 Otim'!O$3,0))</f>
        <v>168.23450564433989</v>
      </c>
      <c r="P382" s="19">
        <f ca="1">IF($A382-P$3&lt;2,0,OFFSET('FPSO1 Base'!P379,-'FPSO1 Otim'!P$3,0))</f>
        <v>44.586322308007816</v>
      </c>
      <c r="Q382" s="19">
        <f ca="1">IF($A382-Q$3&lt;2,0,OFFSET('FPSO1 Base'!Q379,-'FPSO1 Otim'!Q$3,0))</f>
        <v>342.27449999999999</v>
      </c>
      <c r="R382" s="19">
        <f ca="1">IF($A382-R$3&lt;2,0,OFFSET('FPSO1 Base'!R379,-'FPSO1 Otim'!R$3,0))</f>
        <v>13.88045065226294</v>
      </c>
      <c r="S382" s="19">
        <f ca="1">IF($A382-S$3&lt;2,0,OFFSET('FPSO1 Base'!S379,-'FPSO1 Otim'!S$3,0))</f>
        <v>254.67449999999997</v>
      </c>
      <c r="T382" s="19">
        <f ca="1">IF($A382-T$3&lt;2,0,OFFSET('FPSO1 Base'!T379,-'FPSO1 Otim'!T$3,0))</f>
        <v>369.726</v>
      </c>
      <c r="U382" s="19">
        <f ca="1">IF($A382-U$3&lt;2,0,OFFSET('FPSO1 Base'!U379,-'FPSO1 Otim'!U$3,0))</f>
        <v>479.14949999999999</v>
      </c>
      <c r="V382" s="19">
        <f ca="1">IF($A382-V$3&lt;2,0,OFFSET('FPSO1 Base'!V379,-'FPSO1 Otim'!V$3,0))</f>
        <v>433.25850000000003</v>
      </c>
      <c r="W382" s="19">
        <f ca="1">IF($A382-W$3&lt;2,0,OFFSET('FPSO1 Base'!W379,-'FPSO1 Otim'!W$3,0))</f>
        <v>196.37850000000003</v>
      </c>
      <c r="X382" s="19">
        <f ca="1">IF($A382-X$3&lt;2,0,OFFSET('FPSO1 Base'!X379,-'FPSO1 Otim'!X$3,0))</f>
        <v>527.80050000000006</v>
      </c>
      <c r="Y382" s="19">
        <f ca="1">IF($A382-Y$3&lt;2,0,OFFSET('FPSO1 Base'!Y379,-'FPSO1 Otim'!Y$3,0))</f>
        <v>374.322</v>
      </c>
      <c r="Z382" s="19">
        <f ca="1">IF($A382-Z$3&lt;2,0,OFFSET('FPSO1 Base'!Z379,-'FPSO1 Otim'!Z$3,0))</f>
        <v>223.09950000000001</v>
      </c>
      <c r="AA382" s="20">
        <v>15000</v>
      </c>
      <c r="AB382" s="19">
        <f t="shared" ca="1" si="19"/>
        <v>6367.840460054611</v>
      </c>
      <c r="AC382" s="20">
        <f t="shared" ca="1" si="20"/>
        <v>8632.159539945389</v>
      </c>
      <c r="AD382" s="19">
        <f t="shared" ca="1" si="21"/>
        <v>281.08744567667003</v>
      </c>
    </row>
    <row r="383" spans="1:30" x14ac:dyDescent="0.25">
      <c r="A383" s="19">
        <v>379</v>
      </c>
      <c r="B383" s="31">
        <v>57132</v>
      </c>
      <c r="C383" s="19">
        <f ca="1">IF($A383-C$3&lt;2,0,OFFSET('FPSO1 Base'!C380,-'FPSO1 Otim'!C$3,0))</f>
        <v>430.029</v>
      </c>
      <c r="D383" s="19">
        <f ca="1">IF($A383-D$3&lt;2,0,OFFSET('FPSO1 Base'!D380,-'FPSO1 Otim'!D$3,0))</f>
        <v>70.3005</v>
      </c>
      <c r="E383" s="19">
        <f ca="1">IF($A383-E$3&lt;2,0,OFFSET('FPSO1 Base'!E380,-'FPSO1 Otim'!E$3,0))</f>
        <v>205.57500000000002</v>
      </c>
      <c r="F383" s="19">
        <f ca="1">IF($A383-F$3&lt;2,0,OFFSET('FPSO1 Base'!F380,-'FPSO1 Otim'!F$3,0))</f>
        <v>284.54999999999995</v>
      </c>
      <c r="G383" s="19">
        <f ca="1">IF($A383-G$3&lt;2,0,OFFSET('FPSO1 Base'!G380,-'FPSO1 Otim'!G$3,0))</f>
        <v>104.4195</v>
      </c>
      <c r="H383" s="19">
        <f ca="1">IF($A383-H$3&lt;2,0,OFFSET('FPSO1 Base'!H380,-'FPSO1 Otim'!H$3,0))</f>
        <v>534.20400000000006</v>
      </c>
      <c r="I383" s="19">
        <f ca="1">IF($A383-I$3&lt;2,0,OFFSET('FPSO1 Base'!I380,-'FPSO1 Otim'!I$3,0))</f>
        <v>370.37850000000003</v>
      </c>
      <c r="J383" s="19">
        <f ca="1">IF($A383-J$3&lt;2,0,OFFSET('FPSO1 Base'!J380,-'FPSO1 Otim'!J$3,0))</f>
        <v>197.05650000000003</v>
      </c>
      <c r="K383" s="19">
        <f ca="1">IF($A383-K$3&lt;2,0,OFFSET('FPSO1 Base'!K380,-'FPSO1 Otim'!K$3,0))</f>
        <v>174.786</v>
      </c>
      <c r="L383" s="19">
        <f ca="1">IF($A383-L$3&lt;2,0,OFFSET('FPSO1 Base'!L380,-'FPSO1 Otim'!L$3,0))</f>
        <v>228.14550000000003</v>
      </c>
      <c r="M383" s="19">
        <f ca="1">IF($A383-M$3&lt;2,0,OFFSET('FPSO1 Base'!M380,-'FPSO1 Otim'!M$3,0))</f>
        <v>327.85050000000001</v>
      </c>
      <c r="N383" s="19">
        <f ca="1">IF($A383-N$3&lt;2,0,OFFSET('FPSO1 Base'!N380,-'FPSO1 Otim'!N$3,0))</f>
        <v>7.7424746355003764</v>
      </c>
      <c r="O383" s="19">
        <f ca="1">IF($A383-O$3&lt;2,0,OFFSET('FPSO1 Base'!O380,-'FPSO1 Otim'!O$3,0))</f>
        <v>166.55216058789648</v>
      </c>
      <c r="P383" s="19">
        <f ca="1">IF($A383-P$3&lt;2,0,OFFSET('FPSO1 Base'!P380,-'FPSO1 Otim'!P$3,0))</f>
        <v>44.140459084927734</v>
      </c>
      <c r="Q383" s="19">
        <f ca="1">IF($A383-Q$3&lt;2,0,OFFSET('FPSO1 Base'!Q380,-'FPSO1 Otim'!Q$3,0))</f>
        <v>341.44349999999997</v>
      </c>
      <c r="R383" s="19">
        <f ca="1">IF($A383-R$3&lt;2,0,OFFSET('FPSO1 Base'!R380,-'FPSO1 Otim'!R$3,0))</f>
        <v>13.741646145740312</v>
      </c>
      <c r="S383" s="19">
        <f ca="1">IF($A383-S$3&lt;2,0,OFFSET('FPSO1 Base'!S380,-'FPSO1 Otim'!S$3,0))</f>
        <v>254.976</v>
      </c>
      <c r="T383" s="19">
        <f ca="1">IF($A383-T$3&lt;2,0,OFFSET('FPSO1 Base'!T380,-'FPSO1 Otim'!T$3,0))</f>
        <v>368.14949999999999</v>
      </c>
      <c r="U383" s="19">
        <f ca="1">IF($A383-U$3&lt;2,0,OFFSET('FPSO1 Base'!U380,-'FPSO1 Otim'!U$3,0))</f>
        <v>478.572</v>
      </c>
      <c r="V383" s="19">
        <f ca="1">IF($A383-V$3&lt;2,0,OFFSET('FPSO1 Base'!V380,-'FPSO1 Otim'!V$3,0))</f>
        <v>432.34950000000003</v>
      </c>
      <c r="W383" s="19">
        <f ca="1">IF($A383-W$3&lt;2,0,OFFSET('FPSO1 Base'!W380,-'FPSO1 Otim'!W$3,0))</f>
        <v>195.85649999999998</v>
      </c>
      <c r="X383" s="19">
        <f ca="1">IF($A383-X$3&lt;2,0,OFFSET('FPSO1 Base'!X380,-'FPSO1 Otim'!X$3,0))</f>
        <v>526.25850000000003</v>
      </c>
      <c r="Y383" s="19">
        <f ca="1">IF($A383-Y$3&lt;2,0,OFFSET('FPSO1 Base'!Y380,-'FPSO1 Otim'!Y$3,0))</f>
        <v>373.77750000000003</v>
      </c>
      <c r="Z383" s="19">
        <f ca="1">IF($A383-Z$3&lt;2,0,OFFSET('FPSO1 Base'!Z380,-'FPSO1 Otim'!Z$3,0))</f>
        <v>221.649</v>
      </c>
      <c r="AA383" s="20">
        <v>15000</v>
      </c>
      <c r="AB383" s="19">
        <f t="shared" ca="1" si="19"/>
        <v>6352.5037404540662</v>
      </c>
      <c r="AC383" s="20">
        <f t="shared" ca="1" si="20"/>
        <v>8647.4962595459328</v>
      </c>
      <c r="AD383" s="19">
        <f t="shared" ca="1" si="21"/>
        <v>278.09301466910517</v>
      </c>
    </row>
    <row r="384" spans="1:30" x14ac:dyDescent="0.25">
      <c r="A384" s="19">
        <v>380</v>
      </c>
      <c r="B384" s="31">
        <v>57162</v>
      </c>
      <c r="C384" s="19">
        <f ca="1">IF($A384-C$3&lt;2,0,OFFSET('FPSO1 Base'!C381,-'FPSO1 Otim'!C$3,0))</f>
        <v>428.82149999999996</v>
      </c>
      <c r="D384" s="19">
        <f ca="1">IF($A384-D$3&lt;2,0,OFFSET('FPSO1 Base'!D381,-'FPSO1 Otim'!D$3,0))</f>
        <v>69.9465</v>
      </c>
      <c r="E384" s="19">
        <f ca="1">IF($A384-E$3&lt;2,0,OFFSET('FPSO1 Base'!E381,-'FPSO1 Otim'!E$3,0))</f>
        <v>204.48450000000003</v>
      </c>
      <c r="F384" s="19">
        <f ca="1">IF($A384-F$3&lt;2,0,OFFSET('FPSO1 Base'!F381,-'FPSO1 Otim'!F$3,0))</f>
        <v>283.69349999999997</v>
      </c>
      <c r="G384" s="19">
        <f ca="1">IF($A384-G$3&lt;2,0,OFFSET('FPSO1 Base'!G381,-'FPSO1 Otim'!G$3,0))</f>
        <v>104.24549999999999</v>
      </c>
      <c r="H384" s="19">
        <f ca="1">IF($A384-H$3&lt;2,0,OFFSET('FPSO1 Base'!H381,-'FPSO1 Otim'!H$3,0))</f>
        <v>534.12450000000001</v>
      </c>
      <c r="I384" s="19">
        <f ca="1">IF($A384-I$3&lt;2,0,OFFSET('FPSO1 Base'!I381,-'FPSO1 Otim'!I$3,0))</f>
        <v>370.5</v>
      </c>
      <c r="J384" s="19">
        <f ca="1">IF($A384-J$3&lt;2,0,OFFSET('FPSO1 Base'!J381,-'FPSO1 Otim'!J$3,0))</f>
        <v>196.7415</v>
      </c>
      <c r="K384" s="19">
        <f ca="1">IF($A384-K$3&lt;2,0,OFFSET('FPSO1 Base'!K381,-'FPSO1 Otim'!K$3,0))</f>
        <v>173.988</v>
      </c>
      <c r="L384" s="19">
        <f ca="1">IF($A384-L$3&lt;2,0,OFFSET('FPSO1 Base'!L381,-'FPSO1 Otim'!L$3,0))</f>
        <v>227.93700000000001</v>
      </c>
      <c r="M384" s="19">
        <f ca="1">IF($A384-M$3&lt;2,0,OFFSET('FPSO1 Base'!M381,-'FPSO1 Otim'!M$3,0))</f>
        <v>327.55650000000003</v>
      </c>
      <c r="N384" s="19">
        <f ca="1">IF($A384-N$3&lt;2,0,OFFSET('FPSO1 Base'!N381,-'FPSO1 Otim'!N$3,0))</f>
        <v>7.6650498891453722</v>
      </c>
      <c r="O384" s="19">
        <f ca="1">IF($A384-O$3&lt;2,0,OFFSET('FPSO1 Base'!O381,-'FPSO1 Otim'!O$3,0))</f>
        <v>164.8866389820175</v>
      </c>
      <c r="P384" s="19">
        <f ca="1">IF($A384-P$3&lt;2,0,OFFSET('FPSO1 Base'!P381,-'FPSO1 Otim'!P$3,0))</f>
        <v>43.699054494078453</v>
      </c>
      <c r="Q384" s="19">
        <f ca="1">IF($A384-Q$3&lt;2,0,OFFSET('FPSO1 Base'!Q381,-'FPSO1 Otim'!Q$3,0))</f>
        <v>340.54949999999997</v>
      </c>
      <c r="R384" s="19">
        <f ca="1">IF($A384-R$3&lt;2,0,OFFSET('FPSO1 Base'!R381,-'FPSO1 Otim'!R$3,0))</f>
        <v>13.604229684282908</v>
      </c>
      <c r="S384" s="19">
        <f ca="1">IF($A384-S$3&lt;2,0,OFFSET('FPSO1 Base'!S381,-'FPSO1 Otim'!S$3,0))</f>
        <v>255.22500000000002</v>
      </c>
      <c r="T384" s="19">
        <f ca="1">IF($A384-T$3&lt;2,0,OFFSET('FPSO1 Base'!T381,-'FPSO1 Otim'!T$3,0))</f>
        <v>366.702</v>
      </c>
      <c r="U384" s="19">
        <f ca="1">IF($A384-U$3&lt;2,0,OFFSET('FPSO1 Base'!U381,-'FPSO1 Otim'!U$3,0))</f>
        <v>477.85050000000001</v>
      </c>
      <c r="V384" s="19">
        <f ca="1">IF($A384-V$3&lt;2,0,OFFSET('FPSO1 Base'!V381,-'FPSO1 Otim'!V$3,0))</f>
        <v>431.46749999999997</v>
      </c>
      <c r="W384" s="19">
        <f ca="1">IF($A384-W$3&lt;2,0,OFFSET('FPSO1 Base'!W381,-'FPSO1 Otim'!W$3,0))</f>
        <v>195.411</v>
      </c>
      <c r="X384" s="19">
        <f ca="1">IF($A384-X$3&lt;2,0,OFFSET('FPSO1 Base'!X381,-'FPSO1 Otim'!X$3,0))</f>
        <v>524.65049999999997</v>
      </c>
      <c r="Y384" s="19">
        <f ca="1">IF($A384-Y$3&lt;2,0,OFFSET('FPSO1 Base'!Y381,-'FPSO1 Otim'!Y$3,0))</f>
        <v>373.03199999999998</v>
      </c>
      <c r="Z384" s="19">
        <f ca="1">IF($A384-Z$3&lt;2,0,OFFSET('FPSO1 Base'!Z381,-'FPSO1 Otim'!Z$3,0))</f>
        <v>220.03800000000001</v>
      </c>
      <c r="AA384" s="20">
        <v>15000</v>
      </c>
      <c r="AB384" s="19">
        <f t="shared" ca="1" si="19"/>
        <v>6336.8199730495235</v>
      </c>
      <c r="AC384" s="20">
        <f t="shared" ca="1" si="20"/>
        <v>8663.1800269504765</v>
      </c>
      <c r="AD384" s="19">
        <f t="shared" ca="1" si="21"/>
        <v>275.11381261541294</v>
      </c>
    </row>
    <row r="385" spans="1:30" x14ac:dyDescent="0.25">
      <c r="A385" s="19">
        <v>381</v>
      </c>
      <c r="B385" s="31">
        <v>57193</v>
      </c>
      <c r="C385" s="19">
        <f ca="1">IF($A385-C$3&lt;2,0,OFFSET('FPSO1 Base'!C382,-'FPSO1 Otim'!C$3,0))</f>
        <v>427.54499999999996</v>
      </c>
      <c r="D385" s="19">
        <f ca="1">IF($A385-D$3&lt;2,0,OFFSET('FPSO1 Base'!D382,-'FPSO1 Otim'!D$3,0))</f>
        <v>69.675000000000011</v>
      </c>
      <c r="E385" s="19">
        <f ca="1">IF($A385-E$3&lt;2,0,OFFSET('FPSO1 Base'!E382,-'FPSO1 Otim'!E$3,0))</f>
        <v>203.29949999999997</v>
      </c>
      <c r="F385" s="19">
        <f ca="1">IF($A385-F$3&lt;2,0,OFFSET('FPSO1 Base'!F382,-'FPSO1 Otim'!F$3,0))</f>
        <v>282.75</v>
      </c>
      <c r="G385" s="19">
        <f ca="1">IF($A385-G$3&lt;2,0,OFFSET('FPSO1 Base'!G382,-'FPSO1 Otim'!G$3,0))</f>
        <v>104.0715</v>
      </c>
      <c r="H385" s="19">
        <f ca="1">IF($A385-H$3&lt;2,0,OFFSET('FPSO1 Base'!H382,-'FPSO1 Otim'!H$3,0))</f>
        <v>534.08249999999998</v>
      </c>
      <c r="I385" s="19">
        <f ca="1">IF($A385-I$3&lt;2,0,OFFSET('FPSO1 Base'!I382,-'FPSO1 Otim'!I$3,0))</f>
        <v>370.5</v>
      </c>
      <c r="J385" s="19">
        <f ca="1">IF($A385-J$3&lt;2,0,OFFSET('FPSO1 Base'!J382,-'FPSO1 Otim'!J$3,0))</f>
        <v>196.524</v>
      </c>
      <c r="K385" s="19">
        <f ca="1">IF($A385-K$3&lt;2,0,OFFSET('FPSO1 Base'!K382,-'FPSO1 Otim'!K$3,0))</f>
        <v>173.274</v>
      </c>
      <c r="L385" s="19">
        <f ca="1">IF($A385-L$3&lt;2,0,OFFSET('FPSO1 Base'!L382,-'FPSO1 Otim'!L$3,0))</f>
        <v>227.7225</v>
      </c>
      <c r="M385" s="19">
        <f ca="1">IF($A385-M$3&lt;2,0,OFFSET('FPSO1 Base'!M382,-'FPSO1 Otim'!M$3,0))</f>
        <v>327.1995</v>
      </c>
      <c r="N385" s="19">
        <f ca="1">IF($A385-N$3&lt;2,0,OFFSET('FPSO1 Base'!N382,-'FPSO1 Otim'!N$3,0))</f>
        <v>7.5883993902539189</v>
      </c>
      <c r="O385" s="19">
        <f ca="1">IF($A385-O$3&lt;2,0,OFFSET('FPSO1 Base'!O382,-'FPSO1 Otim'!O$3,0))</f>
        <v>163.23777259219733</v>
      </c>
      <c r="P385" s="19">
        <f ca="1">IF($A385-P$3&lt;2,0,OFFSET('FPSO1 Base'!P382,-'FPSO1 Otim'!P$3,0))</f>
        <v>43.262063949137669</v>
      </c>
      <c r="Q385" s="19">
        <f ca="1">IF($A385-Q$3&lt;2,0,OFFSET('FPSO1 Base'!Q382,-'FPSO1 Otim'!Q$3,0))</f>
        <v>339.774</v>
      </c>
      <c r="R385" s="19">
        <f ca="1">IF($A385-R$3&lt;2,0,OFFSET('FPSO1 Base'!R382,-'FPSO1 Otim'!R$3,0))</f>
        <v>13.468187387440079</v>
      </c>
      <c r="S385" s="19">
        <f ca="1">IF($A385-S$3&lt;2,0,OFFSET('FPSO1 Base'!S382,-'FPSO1 Otim'!S$3,0))</f>
        <v>255.459</v>
      </c>
      <c r="T385" s="19">
        <f ca="1">IF($A385-T$3&lt;2,0,OFFSET('FPSO1 Base'!T382,-'FPSO1 Otim'!T$3,0))</f>
        <v>365.12549999999999</v>
      </c>
      <c r="U385" s="19">
        <f ca="1">IF($A385-U$3&lt;2,0,OFFSET('FPSO1 Base'!U382,-'FPSO1 Otim'!U$3,0))</f>
        <v>477.19350000000003</v>
      </c>
      <c r="V385" s="19">
        <f ca="1">IF($A385-V$3&lt;2,0,OFFSET('FPSO1 Base'!V382,-'FPSO1 Otim'!V$3,0))</f>
        <v>430.5</v>
      </c>
      <c r="W385" s="19">
        <f ca="1">IF($A385-W$3&lt;2,0,OFFSET('FPSO1 Base'!W382,-'FPSO1 Otim'!W$3,0))</f>
        <v>194.89949999999999</v>
      </c>
      <c r="X385" s="19">
        <f ca="1">IF($A385-X$3&lt;2,0,OFFSET('FPSO1 Base'!X382,-'FPSO1 Otim'!X$3,0))</f>
        <v>523.01549999999997</v>
      </c>
      <c r="Y385" s="19">
        <f ca="1">IF($A385-Y$3&lt;2,0,OFFSET('FPSO1 Base'!Y382,-'FPSO1 Otim'!Y$3,0))</f>
        <v>372.411</v>
      </c>
      <c r="Z385" s="19">
        <f ca="1">IF($A385-Z$3&lt;2,0,OFFSET('FPSO1 Base'!Z382,-'FPSO1 Otim'!Z$3,0))</f>
        <v>218.553</v>
      </c>
      <c r="AA385" s="20">
        <v>15000</v>
      </c>
      <c r="AB385" s="19">
        <f t="shared" ca="1" si="19"/>
        <v>6321.1309233190277</v>
      </c>
      <c r="AC385" s="20">
        <f t="shared" ca="1" si="20"/>
        <v>8678.8690766809723</v>
      </c>
      <c r="AD385" s="19">
        <f t="shared" ca="1" si="21"/>
        <v>272.16463200627305</v>
      </c>
    </row>
    <row r="386" spans="1:30" x14ac:dyDescent="0.25">
      <c r="A386" s="19">
        <v>382</v>
      </c>
      <c r="B386" s="31">
        <v>57224</v>
      </c>
      <c r="C386" s="19">
        <f ca="1">IF($A386-C$3&lt;2,0,OFFSET('FPSO1 Base'!C383,-'FPSO1 Otim'!C$3,0))</f>
        <v>426.36750000000001</v>
      </c>
      <c r="D386" s="19">
        <f ca="1">IF($A386-D$3&lt;2,0,OFFSET('FPSO1 Base'!D383,-'FPSO1 Otim'!D$3,0))</f>
        <v>69.272999999999996</v>
      </c>
      <c r="E386" s="19">
        <f ca="1">IF($A386-E$3&lt;2,0,OFFSET('FPSO1 Base'!E383,-'FPSO1 Otim'!E$3,0))</f>
        <v>202.209</v>
      </c>
      <c r="F386" s="19">
        <f ca="1">IF($A386-F$3&lt;2,0,OFFSET('FPSO1 Base'!F383,-'FPSO1 Otim'!F$3,0))</f>
        <v>281.87850000000003</v>
      </c>
      <c r="G386" s="19">
        <f ca="1">IF($A386-G$3&lt;2,0,OFFSET('FPSO1 Base'!G383,-'FPSO1 Otim'!G$3,0))</f>
        <v>103.851</v>
      </c>
      <c r="H386" s="19">
        <f ca="1">IF($A386-H$3&lt;2,0,OFFSET('FPSO1 Base'!H383,-'FPSO1 Otim'!H$3,0))</f>
        <v>533.95950000000005</v>
      </c>
      <c r="I386" s="19">
        <f ca="1">IF($A386-I$3&lt;2,0,OFFSET('FPSO1 Base'!I383,-'FPSO1 Otim'!I$3,0))</f>
        <v>370.5</v>
      </c>
      <c r="J386" s="19">
        <f ca="1">IF($A386-J$3&lt;2,0,OFFSET('FPSO1 Base'!J383,-'FPSO1 Otim'!J$3,0))</f>
        <v>196.22550000000001</v>
      </c>
      <c r="K386" s="19">
        <f ca="1">IF($A386-K$3&lt;2,0,OFFSET('FPSO1 Base'!K383,-'FPSO1 Otim'!K$3,0))</f>
        <v>172.488</v>
      </c>
      <c r="L386" s="19">
        <f ca="1">IF($A386-L$3&lt;2,0,OFFSET('FPSO1 Base'!L383,-'FPSO1 Otim'!L$3,0))</f>
        <v>227.47500000000002</v>
      </c>
      <c r="M386" s="19">
        <f ca="1">IF($A386-M$3&lt;2,0,OFFSET('FPSO1 Base'!M383,-'FPSO1 Otim'!M$3,0))</f>
        <v>326.928</v>
      </c>
      <c r="N386" s="19">
        <f ca="1">IF($A386-N$3&lt;2,0,OFFSET('FPSO1 Base'!N383,-'FPSO1 Otim'!N$3,0))</f>
        <v>7.5125153963513798</v>
      </c>
      <c r="O386" s="19">
        <f ca="1">IF($A386-O$3&lt;2,0,OFFSET('FPSO1 Base'!O383,-'FPSO1 Otim'!O$3,0))</f>
        <v>161.60539486627536</v>
      </c>
      <c r="P386" s="19">
        <f ca="1">IF($A386-P$3&lt;2,0,OFFSET('FPSO1 Base'!P383,-'FPSO1 Otim'!P$3,0))</f>
        <v>42.829443309646294</v>
      </c>
      <c r="Q386" s="19">
        <f ca="1">IF($A386-Q$3&lt;2,0,OFFSET('FPSO1 Base'!Q383,-'FPSO1 Otim'!Q$3,0))</f>
        <v>339.09749999999997</v>
      </c>
      <c r="R386" s="19">
        <f ca="1">IF($A386-R$3&lt;2,0,OFFSET('FPSO1 Base'!R383,-'FPSO1 Otim'!R$3,0))</f>
        <v>13.333505513565678</v>
      </c>
      <c r="S386" s="19">
        <f ca="1">IF($A386-S$3&lt;2,0,OFFSET('FPSO1 Base'!S383,-'FPSO1 Otim'!S$3,0))</f>
        <v>255.678</v>
      </c>
      <c r="T386" s="19">
        <f ca="1">IF($A386-T$3&lt;2,0,OFFSET('FPSO1 Base'!T383,-'FPSO1 Otim'!T$3,0))</f>
        <v>363.65250000000003</v>
      </c>
      <c r="U386" s="19">
        <f ca="1">IF($A386-U$3&lt;2,0,OFFSET('FPSO1 Base'!U383,-'FPSO1 Otim'!U$3,0))</f>
        <v>476.61300000000006</v>
      </c>
      <c r="V386" s="19">
        <f ca="1">IF($A386-V$3&lt;2,0,OFFSET('FPSO1 Base'!V383,-'FPSO1 Otim'!V$3,0))</f>
        <v>429.53250000000003</v>
      </c>
      <c r="W386" s="19">
        <f ca="1">IF($A386-W$3&lt;2,0,OFFSET('FPSO1 Base'!W383,-'FPSO1 Otim'!W$3,0))</f>
        <v>194.4915</v>
      </c>
      <c r="X386" s="19">
        <f ca="1">IF($A386-X$3&lt;2,0,OFFSET('FPSO1 Base'!X383,-'FPSO1 Otim'!X$3,0))</f>
        <v>521.41949999999997</v>
      </c>
      <c r="Y386" s="19">
        <f ca="1">IF($A386-Y$3&lt;2,0,OFFSET('FPSO1 Base'!Y383,-'FPSO1 Otim'!Y$3,0))</f>
        <v>371.70000000000005</v>
      </c>
      <c r="Z386" s="19">
        <f ca="1">IF($A386-Z$3&lt;2,0,OFFSET('FPSO1 Base'!Z383,-'FPSO1 Otim'!Z$3,0))</f>
        <v>216.96299999999999</v>
      </c>
      <c r="AA386" s="20">
        <v>15000</v>
      </c>
      <c r="AB386" s="19">
        <f t="shared" ca="1" si="19"/>
        <v>6305.5833590858383</v>
      </c>
      <c r="AC386" s="20">
        <f t="shared" ca="1" si="20"/>
        <v>8694.4166409141617</v>
      </c>
      <c r="AD386" s="19">
        <f t="shared" ca="1" si="21"/>
        <v>269.2514490394218</v>
      </c>
    </row>
    <row r="387" spans="1:30" x14ac:dyDescent="0.25">
      <c r="A387" s="19">
        <v>383</v>
      </c>
      <c r="B387" s="31">
        <v>57254</v>
      </c>
      <c r="C387" s="19">
        <f ca="1">IF($A387-C$3&lt;2,0,OFFSET('FPSO1 Base'!C384,-'FPSO1 Otim'!C$3,0))</f>
        <v>425.13599999999997</v>
      </c>
      <c r="D387" s="19">
        <f ca="1">IF($A387-D$3&lt;2,0,OFFSET('FPSO1 Base'!D384,-'FPSO1 Otim'!D$3,0))</f>
        <v>68.911500000000004</v>
      </c>
      <c r="E387" s="19">
        <f ca="1">IF($A387-E$3&lt;2,0,OFFSET('FPSO1 Base'!E384,-'FPSO1 Otim'!E$3,0))</f>
        <v>201.2055</v>
      </c>
      <c r="F387" s="19">
        <f ca="1">IF($A387-F$3&lt;2,0,OFFSET('FPSO1 Base'!F384,-'FPSO1 Otim'!F$3,0))</f>
        <v>281.00850000000003</v>
      </c>
      <c r="G387" s="19">
        <f ca="1">IF($A387-G$3&lt;2,0,OFFSET('FPSO1 Base'!G384,-'FPSO1 Otim'!G$3,0))</f>
        <v>103.6965</v>
      </c>
      <c r="H387" s="19">
        <f ca="1">IF($A387-H$3&lt;2,0,OFFSET('FPSO1 Base'!H384,-'FPSO1 Otim'!H$3,0))</f>
        <v>533.88900000000001</v>
      </c>
      <c r="I387" s="19">
        <f ca="1">IF($A387-I$3&lt;2,0,OFFSET('FPSO1 Base'!I384,-'FPSO1 Otim'!I$3,0))</f>
        <v>370.452</v>
      </c>
      <c r="J387" s="19">
        <f ca="1">IF($A387-J$3&lt;2,0,OFFSET('FPSO1 Base'!J384,-'FPSO1 Otim'!J$3,0))</f>
        <v>195.9915</v>
      </c>
      <c r="K387" s="19">
        <f ca="1">IF($A387-K$3&lt;2,0,OFFSET('FPSO1 Base'!K384,-'FPSO1 Otim'!K$3,0))</f>
        <v>171.726</v>
      </c>
      <c r="L387" s="19">
        <f ca="1">IF($A387-L$3&lt;2,0,OFFSET('FPSO1 Base'!L384,-'FPSO1 Otim'!L$3,0))</f>
        <v>227.262</v>
      </c>
      <c r="M387" s="19">
        <f ca="1">IF($A387-M$3&lt;2,0,OFFSET('FPSO1 Base'!M384,-'FPSO1 Otim'!M$3,0))</f>
        <v>326.637</v>
      </c>
      <c r="N387" s="19">
        <f ca="1">IF($A387-N$3&lt;2,0,OFFSET('FPSO1 Base'!N384,-'FPSO1 Otim'!N$3,0))</f>
        <v>7.4373902423878659</v>
      </c>
      <c r="O387" s="19">
        <f ca="1">IF($A387-O$3&lt;2,0,OFFSET('FPSO1 Base'!O384,-'FPSO1 Otim'!O$3,0))</f>
        <v>159.98934091761259</v>
      </c>
      <c r="P387" s="19">
        <f ca="1">IF($A387-P$3&lt;2,0,OFFSET('FPSO1 Base'!P384,-'FPSO1 Otim'!P$3,0))</f>
        <v>42.401148876549833</v>
      </c>
      <c r="Q387" s="19">
        <f ca="1">IF($A387-Q$3&lt;2,0,OFFSET('FPSO1 Base'!Q384,-'FPSO1 Otim'!Q$3,0))</f>
        <v>338.19600000000003</v>
      </c>
      <c r="R387" s="19">
        <f ca="1">IF($A387-R$3&lt;2,0,OFFSET('FPSO1 Base'!R384,-'FPSO1 Otim'!R$3,0))</f>
        <v>13.200170458430021</v>
      </c>
      <c r="S387" s="19">
        <f ca="1">IF($A387-S$3&lt;2,0,OFFSET('FPSO1 Base'!S384,-'FPSO1 Otim'!S$3,0))</f>
        <v>255.87900000000002</v>
      </c>
      <c r="T387" s="19">
        <f ca="1">IF($A387-T$3&lt;2,0,OFFSET('FPSO1 Base'!T384,-'FPSO1 Otim'!T$3,0))</f>
        <v>362.25</v>
      </c>
      <c r="U387" s="19">
        <f ca="1">IF($A387-U$3&lt;2,0,OFFSET('FPSO1 Base'!U384,-'FPSO1 Otim'!U$3,0))</f>
        <v>475.88850000000002</v>
      </c>
      <c r="V387" s="19">
        <f ca="1">IF($A387-V$3&lt;2,0,OFFSET('FPSO1 Base'!V384,-'FPSO1 Otim'!V$3,0))</f>
        <v>428.61300000000006</v>
      </c>
      <c r="W387" s="19">
        <f ca="1">IF($A387-W$3&lt;2,0,OFFSET('FPSO1 Base'!W384,-'FPSO1 Otim'!W$3,0))</f>
        <v>194.02499999999998</v>
      </c>
      <c r="X387" s="19">
        <f ca="1">IF($A387-X$3&lt;2,0,OFFSET('FPSO1 Base'!X384,-'FPSO1 Otim'!X$3,0))</f>
        <v>519.75</v>
      </c>
      <c r="Y387" s="19">
        <f ca="1">IF($A387-Y$3&lt;2,0,OFFSET('FPSO1 Base'!Y384,-'FPSO1 Otim'!Y$3,0))</f>
        <v>371.09250000000003</v>
      </c>
      <c r="Z387" s="19">
        <f ca="1">IF($A387-Z$3&lt;2,0,OFFSET('FPSO1 Base'!Z384,-'FPSO1 Otim'!Z$3,0))</f>
        <v>215.43150000000003</v>
      </c>
      <c r="AA387" s="20">
        <v>15000</v>
      </c>
      <c r="AB387" s="19">
        <f t="shared" ca="1" si="19"/>
        <v>6290.0690504949789</v>
      </c>
      <c r="AC387" s="20">
        <f t="shared" ca="1" si="20"/>
        <v>8709.930949505022</v>
      </c>
      <c r="AD387" s="19">
        <f t="shared" ca="1" si="21"/>
        <v>266.36923694273031</v>
      </c>
    </row>
    <row r="388" spans="1:30" x14ac:dyDescent="0.25">
      <c r="A388" s="19">
        <v>384</v>
      </c>
      <c r="B388" s="31">
        <v>57285</v>
      </c>
      <c r="C388" s="19">
        <f ca="1">IF($A388-C$3&lt;2,0,OFFSET('FPSO1 Base'!C385,-'FPSO1 Otim'!C$3,0))</f>
        <v>423.92550000000006</v>
      </c>
      <c r="D388" s="19">
        <f ca="1">IF($A388-D$3&lt;2,0,OFFSET('FPSO1 Base'!D385,-'FPSO1 Otim'!D$3,0))</f>
        <v>68.623500000000007</v>
      </c>
      <c r="E388" s="19">
        <f ca="1">IF($A388-E$3&lt;2,0,OFFSET('FPSO1 Base'!E385,-'FPSO1 Otim'!E$3,0))</f>
        <v>200.02200000000002</v>
      </c>
      <c r="F388" s="19">
        <f ca="1">IF($A388-F$3&lt;2,0,OFFSET('FPSO1 Base'!F385,-'FPSO1 Otim'!F$3,0))</f>
        <v>280.07550000000003</v>
      </c>
      <c r="G388" s="19">
        <f ca="1">IF($A388-G$3&lt;2,0,OFFSET('FPSO1 Base'!G385,-'FPSO1 Otim'!G$3,0))</f>
        <v>103.40400000000001</v>
      </c>
      <c r="H388" s="19">
        <f ca="1">IF($A388-H$3&lt;2,0,OFFSET('FPSO1 Base'!H385,-'FPSO1 Otim'!H$3,0))</f>
        <v>533.83050000000003</v>
      </c>
      <c r="I388" s="19">
        <f ca="1">IF($A388-I$3&lt;2,0,OFFSET('FPSO1 Base'!I385,-'FPSO1 Otim'!I$3,0))</f>
        <v>370.37850000000003</v>
      </c>
      <c r="J388" s="19">
        <f ca="1">IF($A388-J$3&lt;2,0,OFFSET('FPSO1 Base'!J385,-'FPSO1 Otim'!J$3,0))</f>
        <v>195.72450000000001</v>
      </c>
      <c r="K388" s="19">
        <f ca="1">IF($A388-K$3&lt;2,0,OFFSET('FPSO1 Base'!K385,-'FPSO1 Otim'!K$3,0))</f>
        <v>170.988</v>
      </c>
      <c r="L388" s="19">
        <f ca="1">IF($A388-L$3&lt;2,0,OFFSET('FPSO1 Base'!L385,-'FPSO1 Otim'!L$3,0))</f>
        <v>227.06849999999997</v>
      </c>
      <c r="M388" s="19">
        <f ca="1">IF($A388-M$3&lt;2,0,OFFSET('FPSO1 Base'!M385,-'FPSO1 Otim'!M$3,0))</f>
        <v>326.35050000000001</v>
      </c>
      <c r="N388" s="19">
        <f ca="1">IF($A388-N$3&lt;2,0,OFFSET('FPSO1 Base'!N385,-'FPSO1 Otim'!N$3,0))</f>
        <v>7.3630163399639876</v>
      </c>
      <c r="O388" s="19">
        <f ca="1">IF($A388-O$3&lt;2,0,OFFSET('FPSO1 Base'!O385,-'FPSO1 Otim'!O$3,0))</f>
        <v>158.38944750843646</v>
      </c>
      <c r="P388" s="19">
        <f ca="1">IF($A388-P$3&lt;2,0,OFFSET('FPSO1 Base'!P385,-'FPSO1 Otim'!P$3,0))</f>
        <v>41.977137387784332</v>
      </c>
      <c r="Q388" s="19">
        <f ca="1">IF($A388-Q$3&lt;2,0,OFFSET('FPSO1 Base'!Q385,-'FPSO1 Otim'!Q$3,0))</f>
        <v>337.548</v>
      </c>
      <c r="R388" s="19">
        <f ca="1">IF($A388-R$3&lt;2,0,OFFSET('FPSO1 Base'!R385,-'FPSO1 Otim'!R$3,0))</f>
        <v>13.06816875384572</v>
      </c>
      <c r="S388" s="19">
        <f ca="1">IF($A388-S$3&lt;2,0,OFFSET('FPSO1 Base'!S385,-'FPSO1 Otim'!S$3,0))</f>
        <v>256.065</v>
      </c>
      <c r="T388" s="19">
        <f ca="1">IF($A388-T$3&lt;2,0,OFFSET('FPSO1 Base'!T385,-'FPSO1 Otim'!T$3,0))</f>
        <v>360.69900000000001</v>
      </c>
      <c r="U388" s="19">
        <f ca="1">IF($A388-U$3&lt;2,0,OFFSET('FPSO1 Base'!U385,-'FPSO1 Otim'!U$3,0))</f>
        <v>475.452</v>
      </c>
      <c r="V388" s="19">
        <f ca="1">IF($A388-V$3&lt;2,0,OFFSET('FPSO1 Base'!V385,-'FPSO1 Otim'!V$3,0))</f>
        <v>427.5</v>
      </c>
      <c r="W388" s="19">
        <f ca="1">IF($A388-W$3&lt;2,0,OFFSET('FPSO1 Base'!W385,-'FPSO1 Otim'!W$3,0))</f>
        <v>193.572</v>
      </c>
      <c r="X388" s="19">
        <f ca="1">IF($A388-X$3&lt;2,0,OFFSET('FPSO1 Base'!X385,-'FPSO1 Otim'!X$3,0))</f>
        <v>518.178</v>
      </c>
      <c r="Y388" s="19">
        <f ca="1">IF($A388-Y$3&lt;2,0,OFFSET('FPSO1 Base'!Y385,-'FPSO1 Otim'!Y$3,0))</f>
        <v>370.47450000000003</v>
      </c>
      <c r="Z388" s="19">
        <f ca="1">IF($A388-Z$3&lt;2,0,OFFSET('FPSO1 Base'!Z385,-'FPSO1 Otim'!Z$3,0))</f>
        <v>213.9195</v>
      </c>
      <c r="AA388" s="20">
        <v>15000</v>
      </c>
      <c r="AB388" s="19">
        <f t="shared" ca="1" si="19"/>
        <v>6274.5967699900311</v>
      </c>
      <c r="AC388" s="20">
        <f t="shared" ca="1" si="20"/>
        <v>8725.403230009968</v>
      </c>
      <c r="AD388" s="19">
        <f t="shared" ca="1" si="21"/>
        <v>263.51803955811874</v>
      </c>
    </row>
    <row r="389" spans="1:30" x14ac:dyDescent="0.25">
      <c r="A389" s="19">
        <v>385</v>
      </c>
      <c r="B389" s="31">
        <v>57315</v>
      </c>
      <c r="C389" s="19">
        <f ca="1">IF($A389-C$3&lt;2,0,OFFSET('FPSO1 Base'!C386,-'FPSO1 Otim'!C$3,0))</f>
        <v>422.82</v>
      </c>
      <c r="D389" s="19">
        <f ca="1">IF($A389-D$3&lt;2,0,OFFSET('FPSO1 Base'!D386,-'FPSO1 Otim'!D$3,0))</f>
        <v>68.359499999999997</v>
      </c>
      <c r="E389" s="19">
        <f ca="1">IF($A389-E$3&lt;2,0,OFFSET('FPSO1 Base'!E386,-'FPSO1 Otim'!E$3,0))</f>
        <v>199.077</v>
      </c>
      <c r="F389" s="19">
        <f ca="1">IF($A389-F$3&lt;2,0,OFFSET('FPSO1 Base'!F386,-'FPSO1 Otim'!F$3,0))</f>
        <v>279.24149999999997</v>
      </c>
      <c r="G389" s="19">
        <f ca="1">IF($A389-G$3&lt;2,0,OFFSET('FPSO1 Base'!G386,-'FPSO1 Otim'!G$3,0))</f>
        <v>103.224</v>
      </c>
      <c r="H389" s="19">
        <f ca="1">IF($A389-H$3&lt;2,0,OFFSET('FPSO1 Base'!H386,-'FPSO1 Otim'!H$3,0))</f>
        <v>533.72249999999997</v>
      </c>
      <c r="I389" s="19">
        <f ca="1">IF($A389-I$3&lt;2,0,OFFSET('FPSO1 Base'!I386,-'FPSO1 Otim'!I$3,0))</f>
        <v>370.22550000000001</v>
      </c>
      <c r="J389" s="19">
        <f ca="1">IF($A389-J$3&lt;2,0,OFFSET('FPSO1 Base'!J386,-'FPSO1 Otim'!J$3,0))</f>
        <v>195.459</v>
      </c>
      <c r="K389" s="19">
        <f ca="1">IF($A389-K$3&lt;2,0,OFFSET('FPSO1 Base'!K386,-'FPSO1 Otim'!K$3,0))</f>
        <v>170.22450000000001</v>
      </c>
      <c r="L389" s="19">
        <f ca="1">IF($A389-L$3&lt;2,0,OFFSET('FPSO1 Base'!L386,-'FPSO1 Otim'!L$3,0))</f>
        <v>226.821</v>
      </c>
      <c r="M389" s="19">
        <f ca="1">IF($A389-M$3&lt;2,0,OFFSET('FPSO1 Base'!M386,-'FPSO1 Otim'!M$3,0))</f>
        <v>326.08050000000003</v>
      </c>
      <c r="N389" s="19">
        <f ca="1">IF($A389-N$3&lt;2,0,OFFSET('FPSO1 Base'!N386,-'FPSO1 Otim'!N$3,0))</f>
        <v>7.2893861765643475</v>
      </c>
      <c r="O389" s="19">
        <f ca="1">IF($A389-O$3&lt;2,0,OFFSET('FPSO1 Base'!O386,-'FPSO1 Otim'!O$3,0))</f>
        <v>156.80555303335208</v>
      </c>
      <c r="P389" s="19">
        <f ca="1">IF($A389-P$3&lt;2,0,OFFSET('FPSO1 Base'!P386,-'FPSO1 Otim'!P$3,0))</f>
        <v>41.557366013906488</v>
      </c>
      <c r="Q389" s="19">
        <f ca="1">IF($A389-Q$3&lt;2,0,OFFSET('FPSO1 Base'!Q386,-'FPSO1 Otim'!Q$3,0))</f>
        <v>336.75</v>
      </c>
      <c r="R389" s="19">
        <f ca="1">IF($A389-R$3&lt;2,0,OFFSET('FPSO1 Base'!R386,-'FPSO1 Otim'!R$3,0))</f>
        <v>12.937487066307263</v>
      </c>
      <c r="S389" s="19">
        <f ca="1">IF($A389-S$3&lt;2,0,OFFSET('FPSO1 Base'!S386,-'FPSO1 Otim'!S$3,0))</f>
        <v>256.24950000000001</v>
      </c>
      <c r="T389" s="19">
        <f ca="1">IF($A389-T$3&lt;2,0,OFFSET('FPSO1 Base'!T386,-'FPSO1 Otim'!T$3,0))</f>
        <v>359.709</v>
      </c>
      <c r="U389" s="19">
        <f ca="1">IF($A389-U$3&lt;2,0,OFFSET('FPSO1 Base'!U386,-'FPSO1 Otim'!U$3,0))</f>
        <v>474.62549999999999</v>
      </c>
      <c r="V389" s="19">
        <f ca="1">IF($A389-V$3&lt;2,0,OFFSET('FPSO1 Base'!V386,-'FPSO1 Otim'!V$3,0))</f>
        <v>426.53250000000003</v>
      </c>
      <c r="W389" s="19">
        <f ca="1">IF($A389-W$3&lt;2,0,OFFSET('FPSO1 Base'!W386,-'FPSO1 Otim'!W$3,0))</f>
        <v>193.089</v>
      </c>
      <c r="X389" s="19">
        <f ca="1">IF($A389-X$3&lt;2,0,OFFSET('FPSO1 Base'!X386,-'FPSO1 Otim'!X$3,0))</f>
        <v>516.55050000000006</v>
      </c>
      <c r="Y389" s="19">
        <f ca="1">IF($A389-Y$3&lt;2,0,OFFSET('FPSO1 Base'!Y386,-'FPSO1 Otim'!Y$3,0))</f>
        <v>369.95550000000003</v>
      </c>
      <c r="Z389" s="19">
        <f ca="1">IF($A389-Z$3&lt;2,0,OFFSET('FPSO1 Base'!Z386,-'FPSO1 Otim'!Z$3,0))</f>
        <v>212.37450000000001</v>
      </c>
      <c r="AA389" s="20">
        <v>15000</v>
      </c>
      <c r="AB389" s="19">
        <f t="shared" ca="1" si="19"/>
        <v>6259.6807922901298</v>
      </c>
      <c r="AC389" s="20">
        <f t="shared" ca="1" si="20"/>
        <v>8740.3192077098702</v>
      </c>
      <c r="AD389" s="19">
        <f t="shared" ca="1" si="21"/>
        <v>260.71894632560173</v>
      </c>
    </row>
    <row r="390" spans="1:30" x14ac:dyDescent="0.25">
      <c r="A390" s="19">
        <v>386</v>
      </c>
      <c r="B390" s="31">
        <v>57346</v>
      </c>
      <c r="C390" s="19">
        <f ca="1">IF($A390-C$3&lt;2,0,OFFSET('FPSO1 Base'!C387,-'FPSO1 Otim'!C$3,0))</f>
        <v>421.54349999999999</v>
      </c>
      <c r="D390" s="19">
        <f ca="1">IF($A390-D$3&lt;2,0,OFFSET('FPSO1 Base'!D387,-'FPSO1 Otim'!D$3,0))</f>
        <v>68.080500000000001</v>
      </c>
      <c r="E390" s="19">
        <f ca="1">IF($A390-E$3&lt;2,0,OFFSET('FPSO1 Base'!E387,-'FPSO1 Otim'!E$3,0))</f>
        <v>198</v>
      </c>
      <c r="F390" s="19">
        <f ca="1">IF($A390-F$3&lt;2,0,OFFSET('FPSO1 Base'!F387,-'FPSO1 Otim'!F$3,0))</f>
        <v>278.27549999999997</v>
      </c>
      <c r="G390" s="19">
        <f ca="1">IF($A390-G$3&lt;2,0,OFFSET('FPSO1 Base'!G387,-'FPSO1 Otim'!G$3,0))</f>
        <v>102.97800000000001</v>
      </c>
      <c r="H390" s="19">
        <f ca="1">IF($A390-H$3&lt;2,0,OFFSET('FPSO1 Base'!H387,-'FPSO1 Otim'!H$3,0))</f>
        <v>533.66700000000003</v>
      </c>
      <c r="I390" s="19">
        <f ca="1">IF($A390-I$3&lt;2,0,OFFSET('FPSO1 Base'!I387,-'FPSO1 Otim'!I$3,0))</f>
        <v>370.863</v>
      </c>
      <c r="J390" s="19">
        <f ca="1">IF($A390-J$3&lt;2,0,OFFSET('FPSO1 Base'!J387,-'FPSO1 Otim'!J$3,0))</f>
        <v>195.21750000000003</v>
      </c>
      <c r="K390" s="19">
        <f ca="1">IF($A390-K$3&lt;2,0,OFFSET('FPSO1 Base'!K387,-'FPSO1 Otim'!K$3,0))</f>
        <v>169.512</v>
      </c>
      <c r="L390" s="19">
        <f ca="1">IF($A390-L$3&lt;2,0,OFFSET('FPSO1 Base'!L387,-'FPSO1 Otim'!L$3,0))</f>
        <v>226.6335</v>
      </c>
      <c r="M390" s="19">
        <f ca="1">IF($A390-M$3&lt;2,0,OFFSET('FPSO1 Base'!M387,-'FPSO1 Otim'!M$3,0))</f>
        <v>325.79999999999995</v>
      </c>
      <c r="N390" s="19">
        <f ca="1">IF($A390-N$3&lt;2,0,OFFSET('FPSO1 Base'!N387,-'FPSO1 Otim'!N$3,0))</f>
        <v>7.2164923147987041</v>
      </c>
      <c r="O390" s="19">
        <f ca="1">IF($A390-O$3&lt;2,0,OFFSET('FPSO1 Base'!O387,-'FPSO1 Otim'!O$3,0))</f>
        <v>155.23749750301857</v>
      </c>
      <c r="P390" s="19">
        <f ca="1">IF($A390-P$3&lt;2,0,OFFSET('FPSO1 Base'!P387,-'FPSO1 Otim'!P$3,0))</f>
        <v>41.141792353767421</v>
      </c>
      <c r="Q390" s="19">
        <f ca="1">IF($A390-Q$3&lt;2,0,OFFSET('FPSO1 Base'!Q387,-'FPSO1 Otim'!Q$3,0))</f>
        <v>336.09749999999997</v>
      </c>
      <c r="R390" s="19">
        <f ca="1">IF($A390-R$3&lt;2,0,OFFSET('FPSO1 Base'!R387,-'FPSO1 Otim'!R$3,0))</f>
        <v>12.80811219564419</v>
      </c>
      <c r="S390" s="19">
        <f ca="1">IF($A390-S$3&lt;2,0,OFFSET('FPSO1 Base'!S387,-'FPSO1 Otim'!S$3,0))</f>
        <v>256.40250000000003</v>
      </c>
      <c r="T390" s="19">
        <f ca="1">IF($A390-T$3&lt;2,0,OFFSET('FPSO1 Base'!T387,-'FPSO1 Otim'!T$3,0))</f>
        <v>357.9255</v>
      </c>
      <c r="U390" s="19">
        <f ca="1">IF($A390-U$3&lt;2,0,OFFSET('FPSO1 Base'!U387,-'FPSO1 Otim'!U$3,0))</f>
        <v>473.928</v>
      </c>
      <c r="V390" s="19">
        <f ca="1">IF($A390-V$3&lt;2,0,OFFSET('FPSO1 Base'!V387,-'FPSO1 Otim'!V$3,0))</f>
        <v>425.50049999999999</v>
      </c>
      <c r="W390" s="19">
        <f ca="1">IF($A390-W$3&lt;2,0,OFFSET('FPSO1 Base'!W387,-'FPSO1 Otim'!W$3,0))</f>
        <v>192.62549999999999</v>
      </c>
      <c r="X390" s="19">
        <f ca="1">IF($A390-X$3&lt;2,0,OFFSET('FPSO1 Base'!X387,-'FPSO1 Otim'!X$3,0))</f>
        <v>516.048</v>
      </c>
      <c r="Y390" s="19">
        <f ca="1">IF($A390-Y$3&lt;2,0,OFFSET('FPSO1 Base'!Y387,-'FPSO1 Otim'!Y$3,0))</f>
        <v>369.435</v>
      </c>
      <c r="Z390" s="19">
        <f ca="1">IF($A390-Z$3&lt;2,0,OFFSET('FPSO1 Base'!Z387,-'FPSO1 Otim'!Z$3,0))</f>
        <v>210.94349999999997</v>
      </c>
      <c r="AA390" s="20">
        <v>15000</v>
      </c>
      <c r="AB390" s="19">
        <f t="shared" ca="1" si="19"/>
        <v>6245.8803943672292</v>
      </c>
      <c r="AC390" s="20">
        <f t="shared" ca="1" si="20"/>
        <v>8754.1196056327717</v>
      </c>
      <c r="AD390" s="19">
        <f t="shared" ca="1" si="21"/>
        <v>257.99420093169505</v>
      </c>
    </row>
    <row r="391" spans="1:30" x14ac:dyDescent="0.25">
      <c r="A391" s="19">
        <v>387</v>
      </c>
      <c r="B391" s="31">
        <v>57377</v>
      </c>
      <c r="C391" s="19">
        <f ca="1">IF($A391-C$3&lt;2,0,OFFSET('FPSO1 Base'!C388,-'FPSO1 Otim'!C$3,0))</f>
        <v>420.5145</v>
      </c>
      <c r="D391" s="19">
        <f ca="1">IF($A391-D$3&lt;2,0,OFFSET('FPSO1 Base'!D388,-'FPSO1 Otim'!D$3,0))</f>
        <v>67.822500000000005</v>
      </c>
      <c r="E391" s="19">
        <f ca="1">IF($A391-E$3&lt;2,0,OFFSET('FPSO1 Base'!E388,-'FPSO1 Otim'!E$3,0))</f>
        <v>197.0085</v>
      </c>
      <c r="F391" s="19">
        <f ca="1">IF($A391-F$3&lt;2,0,OFFSET('FPSO1 Base'!F388,-'FPSO1 Otim'!F$3,0))</f>
        <v>277.452</v>
      </c>
      <c r="G391" s="19">
        <f ca="1">IF($A391-G$3&lt;2,0,OFFSET('FPSO1 Base'!G388,-'FPSO1 Otim'!G$3,0))</f>
        <v>102.828</v>
      </c>
      <c r="H391" s="19">
        <f ca="1">IF($A391-H$3&lt;2,0,OFFSET('FPSO1 Base'!H388,-'FPSO1 Otim'!H$3,0))</f>
        <v>533.60550000000001</v>
      </c>
      <c r="I391" s="19">
        <f ca="1">IF($A391-I$3&lt;2,0,OFFSET('FPSO1 Base'!I388,-'FPSO1 Otim'!I$3,0))</f>
        <v>371.57550000000003</v>
      </c>
      <c r="J391" s="19">
        <f ca="1">IF($A391-J$3&lt;2,0,OFFSET('FPSO1 Base'!J388,-'FPSO1 Otim'!J$3,0))</f>
        <v>194.92499999999998</v>
      </c>
      <c r="K391" s="19">
        <f ca="1">IF($A391-K$3&lt;2,0,OFFSET('FPSO1 Base'!K388,-'FPSO1 Otim'!K$3,0))</f>
        <v>168.75</v>
      </c>
      <c r="L391" s="19">
        <f ca="1">IF($A391-L$3&lt;2,0,OFFSET('FPSO1 Base'!L388,-'FPSO1 Otim'!L$3,0))</f>
        <v>226.43700000000001</v>
      </c>
      <c r="M391" s="19">
        <f ca="1">IF($A391-M$3&lt;2,0,OFFSET('FPSO1 Base'!M388,-'FPSO1 Otim'!M$3,0))</f>
        <v>325.5</v>
      </c>
      <c r="N391" s="19">
        <f ca="1">IF($A391-N$3&lt;2,0,OFFSET('FPSO1 Base'!N388,-'FPSO1 Otim'!N$3,0))</f>
        <v>7.1443273916507168</v>
      </c>
      <c r="O391" s="19">
        <f ca="1">IF($A391-O$3&lt;2,0,OFFSET('FPSO1 Base'!O388,-'FPSO1 Otim'!O$3,0))</f>
        <v>153.6851225279884</v>
      </c>
      <c r="P391" s="19">
        <f ca="1">IF($A391-P$3&lt;2,0,OFFSET('FPSO1 Base'!P388,-'FPSO1 Otim'!P$3,0))</f>
        <v>40.730374430229745</v>
      </c>
      <c r="Q391" s="19">
        <f ca="1">IF($A391-Q$3&lt;2,0,OFFSET('FPSO1 Base'!Q388,-'FPSO1 Otim'!Q$3,0))</f>
        <v>335.35050000000001</v>
      </c>
      <c r="R391" s="19">
        <f ca="1">IF($A391-R$3&lt;2,0,OFFSET('FPSO1 Base'!R388,-'FPSO1 Otim'!R$3,0))</f>
        <v>12.680031073687749</v>
      </c>
      <c r="S391" s="19">
        <f ca="1">IF($A391-S$3&lt;2,0,OFFSET('FPSO1 Base'!S388,-'FPSO1 Otim'!S$3,0))</f>
        <v>256.54949999999997</v>
      </c>
      <c r="T391" s="19">
        <f ca="1">IF($A391-T$3&lt;2,0,OFFSET('FPSO1 Base'!T388,-'FPSO1 Otim'!T$3,0))</f>
        <v>356.565</v>
      </c>
      <c r="U391" s="19">
        <f ca="1">IF($A391-U$3&lt;2,0,OFFSET('FPSO1 Base'!U388,-'FPSO1 Otim'!U$3,0))</f>
        <v>473.17499999999995</v>
      </c>
      <c r="V391" s="19">
        <f ca="1">IF($A391-V$3&lt;2,0,OFFSET('FPSO1 Base'!V388,-'FPSO1 Otim'!V$3,0))</f>
        <v>424.5</v>
      </c>
      <c r="W391" s="19">
        <f ca="1">IF($A391-W$3&lt;2,0,OFFSET('FPSO1 Base'!W388,-'FPSO1 Otim'!W$3,0))</f>
        <v>192.1695</v>
      </c>
      <c r="X391" s="19">
        <f ca="1">IF($A391-X$3&lt;2,0,OFFSET('FPSO1 Base'!X388,-'FPSO1 Otim'!X$3,0))</f>
        <v>515.46749999999997</v>
      </c>
      <c r="Y391" s="19">
        <f ca="1">IF($A391-Y$3&lt;2,0,OFFSET('FPSO1 Base'!Y388,-'FPSO1 Otim'!Y$3,0))</f>
        <v>368.93700000000001</v>
      </c>
      <c r="Z391" s="19">
        <f ca="1">IF($A391-Z$3&lt;2,0,OFFSET('FPSO1 Base'!Z388,-'FPSO1 Otim'!Z$3,0))</f>
        <v>209.4255</v>
      </c>
      <c r="AA391" s="20">
        <v>15000</v>
      </c>
      <c r="AB391" s="19">
        <f t="shared" ref="AB391:AB454" ca="1" si="22">SUM(C391:Z391)</f>
        <v>6232.7978554235569</v>
      </c>
      <c r="AC391" s="20">
        <f t="shared" ref="AC391:AC454" ca="1" si="23">AA391-AB391</f>
        <v>8767.202144576444</v>
      </c>
      <c r="AD391" s="19">
        <f t="shared" ref="AD391:AD454" ca="1" si="24">AB391/(1+$AD$2)^(A391-2)</f>
        <v>255.32609223562818</v>
      </c>
    </row>
    <row r="392" spans="1:30" x14ac:dyDescent="0.25">
      <c r="A392" s="19">
        <v>388</v>
      </c>
      <c r="B392" s="31">
        <v>57405</v>
      </c>
      <c r="C392" s="19">
        <f ca="1">IF($A392-C$3&lt;2,0,OFFSET('FPSO1 Base'!C389,-'FPSO1 Otim'!C$3,0))</f>
        <v>419.37</v>
      </c>
      <c r="D392" s="19">
        <f ca="1">IF($A392-D$3&lt;2,0,OFFSET('FPSO1 Base'!D389,-'FPSO1 Otim'!D$3,0))</f>
        <v>67.524000000000001</v>
      </c>
      <c r="E392" s="19">
        <f ca="1">IF($A392-E$3&lt;2,0,OFFSET('FPSO1 Base'!E389,-'FPSO1 Otim'!E$3,0))</f>
        <v>195.9495</v>
      </c>
      <c r="F392" s="19">
        <f ca="1">IF($A392-F$3&lt;2,0,OFFSET('FPSO1 Base'!F389,-'FPSO1 Otim'!F$3,0))</f>
        <v>276.62850000000003</v>
      </c>
      <c r="G392" s="19">
        <f ca="1">IF($A392-G$3&lt;2,0,OFFSET('FPSO1 Base'!G389,-'FPSO1 Otim'!G$3,0))</f>
        <v>102.65549999999999</v>
      </c>
      <c r="H392" s="19">
        <f ca="1">IF($A392-H$3&lt;2,0,OFFSET('FPSO1 Base'!H389,-'FPSO1 Otim'!H$3,0))</f>
        <v>533.54549999999995</v>
      </c>
      <c r="I392" s="19">
        <f ca="1">IF($A392-I$3&lt;2,0,OFFSET('FPSO1 Base'!I389,-'FPSO1 Otim'!I$3,0))</f>
        <v>372.53249999999997</v>
      </c>
      <c r="J392" s="19">
        <f ca="1">IF($A392-J$3&lt;2,0,OFFSET('FPSO1 Base'!J389,-'FPSO1 Otim'!J$3,0))</f>
        <v>194.709</v>
      </c>
      <c r="K392" s="19">
        <f ca="1">IF($A392-K$3&lt;2,0,OFFSET('FPSO1 Base'!K389,-'FPSO1 Otim'!K$3,0))</f>
        <v>168.036</v>
      </c>
      <c r="L392" s="19">
        <f ca="1">IF($A392-L$3&lt;2,0,OFFSET('FPSO1 Base'!L389,-'FPSO1 Otim'!L$3,0))</f>
        <v>226.23450000000003</v>
      </c>
      <c r="M392" s="19">
        <f ca="1">IF($A392-M$3&lt;2,0,OFFSET('FPSO1 Base'!M389,-'FPSO1 Otim'!M$3,0))</f>
        <v>325.23450000000003</v>
      </c>
      <c r="N392" s="19">
        <f ca="1">IF($A392-N$3&lt;2,0,OFFSET('FPSO1 Base'!N389,-'FPSO1 Otim'!N$3,0))</f>
        <v>7.0728841177342092</v>
      </c>
      <c r="O392" s="19">
        <f ca="1">IF($A392-O$3&lt;2,0,OFFSET('FPSO1 Base'!O389,-'FPSO1 Otim'!O$3,0))</f>
        <v>152.14827130270851</v>
      </c>
      <c r="P392" s="19">
        <f ca="1">IF($A392-P$3&lt;2,0,OFFSET('FPSO1 Base'!P389,-'FPSO1 Otim'!P$3,0))</f>
        <v>40.323070685927448</v>
      </c>
      <c r="Q392" s="19">
        <f ca="1">IF($A392-Q$3&lt;2,0,OFFSET('FPSO1 Base'!Q389,-'FPSO1 Otim'!Q$3,0))</f>
        <v>334.69349999999997</v>
      </c>
      <c r="R392" s="19">
        <f ca="1">IF($A392-R$3&lt;2,0,OFFSET('FPSO1 Base'!R389,-'FPSO1 Otim'!R$3,0))</f>
        <v>12.553230762950871</v>
      </c>
      <c r="S392" s="19">
        <f ca="1">IF($A392-S$3&lt;2,0,OFFSET('FPSO1 Base'!S389,-'FPSO1 Otim'!S$3,0))</f>
        <v>256.66949999999997</v>
      </c>
      <c r="T392" s="19">
        <f ca="1">IF($A392-T$3&lt;2,0,OFFSET('FPSO1 Base'!T389,-'FPSO1 Otim'!T$3,0))</f>
        <v>355.125</v>
      </c>
      <c r="U392" s="19">
        <f ca="1">IF($A392-U$3&lt;2,0,OFFSET('FPSO1 Base'!U389,-'FPSO1 Otim'!U$3,0))</f>
        <v>472.5</v>
      </c>
      <c r="V392" s="19">
        <f ca="1">IF($A392-V$3&lt;2,0,OFFSET('FPSO1 Base'!V389,-'FPSO1 Otim'!V$3,0))</f>
        <v>423.62849999999997</v>
      </c>
      <c r="W392" s="19">
        <f ca="1">IF($A392-W$3&lt;2,0,OFFSET('FPSO1 Base'!W389,-'FPSO1 Otim'!W$3,0))</f>
        <v>191.65049999999999</v>
      </c>
      <c r="X392" s="19">
        <f ca="1">IF($A392-X$3&lt;2,0,OFFSET('FPSO1 Base'!X389,-'FPSO1 Otim'!X$3,0))</f>
        <v>514.5</v>
      </c>
      <c r="Y392" s="19">
        <f ca="1">IF($A392-Y$3&lt;2,0,OFFSET('FPSO1 Base'!Y389,-'FPSO1 Otim'!Y$3,0))</f>
        <v>368.46750000000003</v>
      </c>
      <c r="Z392" s="19">
        <f ca="1">IF($A392-Z$3&lt;2,0,OFFSET('FPSO1 Base'!Z389,-'FPSO1 Otim'!Z$3,0))</f>
        <v>208.041</v>
      </c>
      <c r="AA392" s="20">
        <v>15000</v>
      </c>
      <c r="AB392" s="19">
        <f t="shared" ca="1" si="22"/>
        <v>6219.7924568693206</v>
      </c>
      <c r="AC392" s="20">
        <f t="shared" ca="1" si="23"/>
        <v>8780.2075431306803</v>
      </c>
      <c r="AD392" s="19">
        <f t="shared" ca="1" si="24"/>
        <v>252.68759709277509</v>
      </c>
    </row>
    <row r="393" spans="1:30" x14ac:dyDescent="0.25">
      <c r="A393" s="19">
        <v>389</v>
      </c>
      <c r="B393" s="31">
        <v>57436</v>
      </c>
      <c r="C393" s="19">
        <f ca="1">IF($A393-C$3&lt;2,0,OFFSET('FPSO1 Base'!C390,-'FPSO1 Otim'!C$3,0))</f>
        <v>418.26150000000001</v>
      </c>
      <c r="D393" s="19">
        <f ca="1">IF($A393-D$3&lt;2,0,OFFSET('FPSO1 Base'!D390,-'FPSO1 Otim'!D$3,0))</f>
        <v>67.228499999999997</v>
      </c>
      <c r="E393" s="19">
        <f ca="1">IF($A393-E$3&lt;2,0,OFFSET('FPSO1 Base'!E390,-'FPSO1 Otim'!E$3,0))</f>
        <v>194.976</v>
      </c>
      <c r="F393" s="19">
        <f ca="1">IF($A393-F$3&lt;2,0,OFFSET('FPSO1 Base'!F390,-'FPSO1 Otim'!F$3,0))</f>
        <v>275.70600000000002</v>
      </c>
      <c r="G393" s="19">
        <f ca="1">IF($A393-G$3&lt;2,0,OFFSET('FPSO1 Base'!G390,-'FPSO1 Otim'!G$3,0))</f>
        <v>102.41550000000001</v>
      </c>
      <c r="H393" s="19">
        <f ca="1">IF($A393-H$3&lt;2,0,OFFSET('FPSO1 Base'!H390,-'FPSO1 Otim'!H$3,0))</f>
        <v>533.43899999999996</v>
      </c>
      <c r="I393" s="19">
        <f ca="1">IF($A393-I$3&lt;2,0,OFFSET('FPSO1 Base'!I390,-'FPSO1 Otim'!I$3,0))</f>
        <v>373.524</v>
      </c>
      <c r="J393" s="19">
        <f ca="1">IF($A393-J$3&lt;2,0,OFFSET('FPSO1 Base'!J390,-'FPSO1 Otim'!J$3,0))</f>
        <v>194.39999999999998</v>
      </c>
      <c r="K393" s="19">
        <f ca="1">IF($A393-K$3&lt;2,0,OFFSET('FPSO1 Base'!K390,-'FPSO1 Otim'!K$3,0))</f>
        <v>167.3475</v>
      </c>
      <c r="L393" s="19">
        <f ca="1">IF($A393-L$3&lt;2,0,OFFSET('FPSO1 Base'!L390,-'FPSO1 Otim'!L$3,0))</f>
        <v>226.02449999999999</v>
      </c>
      <c r="M393" s="19">
        <f ca="1">IF($A393-M$3&lt;2,0,OFFSET('FPSO1 Base'!M390,-'FPSO1 Otim'!M$3,0))</f>
        <v>324.90449999999998</v>
      </c>
      <c r="N393" s="19">
        <f ca="1">IF($A393-N$3&lt;2,0,OFFSET('FPSO1 Base'!N390,-'FPSO1 Otim'!N$3,0))</f>
        <v>7.0021552765568673</v>
      </c>
      <c r="O393" s="19">
        <f ca="1">IF($A393-O$3&lt;2,0,OFFSET('FPSO1 Base'!O390,-'FPSO1 Otim'!O$3,0))</f>
        <v>150.62678858968141</v>
      </c>
      <c r="P393" s="19">
        <f ca="1">IF($A393-P$3&lt;2,0,OFFSET('FPSO1 Base'!P390,-'FPSO1 Otim'!P$3,0))</f>
        <v>39.919839979068172</v>
      </c>
      <c r="Q393" s="19">
        <f ca="1">IF($A393-Q$3&lt;2,0,OFFSET('FPSO1 Base'!Q390,-'FPSO1 Otim'!Q$3,0))</f>
        <v>334.089</v>
      </c>
      <c r="R393" s="19">
        <f ca="1">IF($A393-R$3&lt;2,0,OFFSET('FPSO1 Base'!R390,-'FPSO1 Otim'!R$3,0))</f>
        <v>12.427698455321362</v>
      </c>
      <c r="S393" s="19">
        <f ca="1">IF($A393-S$3&lt;2,0,OFFSET('FPSO1 Base'!S390,-'FPSO1 Otim'!S$3,0))</f>
        <v>256.815</v>
      </c>
      <c r="T393" s="19">
        <f ca="1">IF($A393-T$3&lt;2,0,OFFSET('FPSO1 Base'!T390,-'FPSO1 Otim'!T$3,0))</f>
        <v>353.75850000000003</v>
      </c>
      <c r="U393" s="19">
        <f ca="1">IF($A393-U$3&lt;2,0,OFFSET('FPSO1 Base'!U390,-'FPSO1 Otim'!U$3,0))</f>
        <v>471.84749999999997</v>
      </c>
      <c r="V393" s="19">
        <f ca="1">IF($A393-V$3&lt;2,0,OFFSET('FPSO1 Base'!V390,-'FPSO1 Otim'!V$3,0))</f>
        <v>422.625</v>
      </c>
      <c r="W393" s="19">
        <f ca="1">IF($A393-W$3&lt;2,0,OFFSET('FPSO1 Base'!W390,-'FPSO1 Otim'!W$3,0))</f>
        <v>191.1525</v>
      </c>
      <c r="X393" s="19">
        <f ca="1">IF($A393-X$3&lt;2,0,OFFSET('FPSO1 Base'!X390,-'FPSO1 Otim'!X$3,0))</f>
        <v>513.38699999999994</v>
      </c>
      <c r="Y393" s="19">
        <f ca="1">IF($A393-Y$3&lt;2,0,OFFSET('FPSO1 Base'!Y390,-'FPSO1 Otim'!Y$3,0))</f>
        <v>367.97550000000001</v>
      </c>
      <c r="Z393" s="19">
        <f ca="1">IF($A393-Z$3&lt;2,0,OFFSET('FPSO1 Base'!Z390,-'FPSO1 Otim'!Z$3,0))</f>
        <v>206.685</v>
      </c>
      <c r="AA393" s="20">
        <v>15000</v>
      </c>
      <c r="AB393" s="19">
        <f t="shared" ca="1" si="22"/>
        <v>6206.538482300627</v>
      </c>
      <c r="AC393" s="20">
        <f t="shared" ca="1" si="23"/>
        <v>8793.4615176993721</v>
      </c>
      <c r="AD393" s="19">
        <f t="shared" ca="1" si="24"/>
        <v>250.06525904347649</v>
      </c>
    </row>
    <row r="394" spans="1:30" x14ac:dyDescent="0.25">
      <c r="A394" s="19">
        <v>390</v>
      </c>
      <c r="B394" s="31">
        <v>57466</v>
      </c>
      <c r="C394" s="19">
        <f ca="1">IF($A394-C$3&lt;2,0,OFFSET('FPSO1 Base'!C391,-'FPSO1 Otim'!C$3,0))</f>
        <v>417.10199999999998</v>
      </c>
      <c r="D394" s="19">
        <f ca="1">IF($A394-D$3&lt;2,0,OFFSET('FPSO1 Base'!D391,-'FPSO1 Otim'!D$3,0))</f>
        <v>66.955500000000001</v>
      </c>
      <c r="E394" s="19">
        <f ca="1">IF($A394-E$3&lt;2,0,OFFSET('FPSO1 Base'!E391,-'FPSO1 Otim'!E$3,0))</f>
        <v>193.98450000000003</v>
      </c>
      <c r="F394" s="19">
        <f ca="1">IF($A394-F$3&lt;2,0,OFFSET('FPSO1 Base'!F391,-'FPSO1 Otim'!F$3,0))</f>
        <v>274.98450000000003</v>
      </c>
      <c r="G394" s="19">
        <f ca="1">IF($A394-G$3&lt;2,0,OFFSET('FPSO1 Base'!G391,-'FPSO1 Otim'!G$3,0))</f>
        <v>102.13800000000001</v>
      </c>
      <c r="H394" s="19">
        <f ca="1">IF($A394-H$3&lt;2,0,OFFSET('FPSO1 Base'!H391,-'FPSO1 Otim'!H$3,0))</f>
        <v>533.41650000000004</v>
      </c>
      <c r="I394" s="19">
        <f ca="1">IF($A394-I$3&lt;2,0,OFFSET('FPSO1 Base'!I391,-'FPSO1 Otim'!I$3,0))</f>
        <v>374.08949999999999</v>
      </c>
      <c r="J394" s="19">
        <f ca="1">IF($A394-J$3&lt;2,0,OFFSET('FPSO1 Base'!J391,-'FPSO1 Otim'!J$3,0))</f>
        <v>194.1525</v>
      </c>
      <c r="K394" s="19">
        <f ca="1">IF($A394-K$3&lt;2,0,OFFSET('FPSO1 Base'!K391,-'FPSO1 Otim'!K$3,0))</f>
        <v>166.46100000000001</v>
      </c>
      <c r="L394" s="19">
        <f ca="1">IF($A394-L$3&lt;2,0,OFFSET('FPSO1 Base'!L391,-'FPSO1 Otim'!L$3,0))</f>
        <v>225.8475</v>
      </c>
      <c r="M394" s="19">
        <f ca="1">IF($A394-M$3&lt;2,0,OFFSET('FPSO1 Base'!M391,-'FPSO1 Otim'!M$3,0))</f>
        <v>324.798</v>
      </c>
      <c r="N394" s="19">
        <f ca="1">IF($A394-N$3&lt;2,0,OFFSET('FPSO1 Base'!N391,-'FPSO1 Otim'!N$3,0))</f>
        <v>6.9321337237912983</v>
      </c>
      <c r="O394" s="19">
        <f ca="1">IF($A394-O$3&lt;2,0,OFFSET('FPSO1 Base'!O391,-'FPSO1 Otim'!O$3,0))</f>
        <v>149.12052070378459</v>
      </c>
      <c r="P394" s="19">
        <f ca="1">IF($A394-P$3&lt;2,0,OFFSET('FPSO1 Base'!P391,-'FPSO1 Otim'!P$3,0))</f>
        <v>39.520641579277488</v>
      </c>
      <c r="Q394" s="19">
        <f ca="1">IF($A394-Q$3&lt;2,0,OFFSET('FPSO1 Base'!Q391,-'FPSO1 Otim'!Q$3,0))</f>
        <v>333.47550000000001</v>
      </c>
      <c r="R394" s="19">
        <f ca="1">IF($A394-R$3&lt;2,0,OFFSET('FPSO1 Base'!R391,-'FPSO1 Otim'!R$3,0))</f>
        <v>12.303421470768148</v>
      </c>
      <c r="S394" s="19">
        <f ca="1">IF($A394-S$3&lt;2,0,OFFSET('FPSO1 Base'!S391,-'FPSO1 Otim'!S$3,0))</f>
        <v>256.92449999999997</v>
      </c>
      <c r="T394" s="19">
        <f ca="1">IF($A394-T$3&lt;2,0,OFFSET('FPSO1 Base'!T391,-'FPSO1 Otim'!T$3,0))</f>
        <v>352.452</v>
      </c>
      <c r="U394" s="19">
        <f ca="1">IF($A394-U$3&lt;2,0,OFFSET('FPSO1 Base'!U391,-'FPSO1 Otim'!U$3,0))</f>
        <v>471.15000000000003</v>
      </c>
      <c r="V394" s="19">
        <f ca="1">IF($A394-V$3&lt;2,0,OFFSET('FPSO1 Base'!V391,-'FPSO1 Otim'!V$3,0))</f>
        <v>421.74149999999997</v>
      </c>
      <c r="W394" s="19">
        <f ca="1">IF($A394-W$3&lt;2,0,OFFSET('FPSO1 Base'!W391,-'FPSO1 Otim'!W$3,0))</f>
        <v>190.572</v>
      </c>
      <c r="X394" s="19">
        <f ca="1">IF($A394-X$3&lt;2,0,OFFSET('FPSO1 Base'!X391,-'FPSO1 Otim'!X$3,0))</f>
        <v>511.84950000000003</v>
      </c>
      <c r="Y394" s="19">
        <f ca="1">IF($A394-Y$3&lt;2,0,OFFSET('FPSO1 Base'!Y391,-'FPSO1 Otim'!Y$3,0))</f>
        <v>367.488</v>
      </c>
      <c r="Z394" s="19">
        <f ca="1">IF($A394-Z$3&lt;2,0,OFFSET('FPSO1 Base'!Z391,-'FPSO1 Otim'!Z$3,0))</f>
        <v>205.16549999999998</v>
      </c>
      <c r="AA394" s="20">
        <v>15000</v>
      </c>
      <c r="AB394" s="19">
        <f t="shared" ca="1" si="22"/>
        <v>6192.6247174776227</v>
      </c>
      <c r="AC394" s="20">
        <f t="shared" ca="1" si="23"/>
        <v>8807.3752825223783</v>
      </c>
      <c r="AD394" s="19">
        <f t="shared" ca="1" si="24"/>
        <v>247.44264286320276</v>
      </c>
    </row>
    <row r="395" spans="1:30" x14ac:dyDescent="0.25">
      <c r="A395" s="19">
        <v>391</v>
      </c>
      <c r="B395" s="31">
        <v>57497</v>
      </c>
      <c r="C395" s="19">
        <f ca="1">IF($A395-C$3&lt;2,0,OFFSET('FPSO1 Base'!C392,-'FPSO1 Otim'!C$3,0))</f>
        <v>416.01599999999996</v>
      </c>
      <c r="D395" s="19">
        <f ca="1">IF($A395-D$3&lt;2,0,OFFSET('FPSO1 Base'!D392,-'FPSO1 Otim'!D$3,0))</f>
        <v>66.697500000000005</v>
      </c>
      <c r="E395" s="19">
        <f ca="1">IF($A395-E$3&lt;2,0,OFFSET('FPSO1 Base'!E392,-'FPSO1 Otim'!E$3,0))</f>
        <v>192.98699999999997</v>
      </c>
      <c r="F395" s="19">
        <f ca="1">IF($A395-F$3&lt;2,0,OFFSET('FPSO1 Base'!F392,-'FPSO1 Otim'!F$3,0))</f>
        <v>274.09950000000003</v>
      </c>
      <c r="G395" s="19">
        <f ca="1">IF($A395-G$3&lt;2,0,OFFSET('FPSO1 Base'!G392,-'FPSO1 Otim'!G$3,0))</f>
        <v>101.99549999999999</v>
      </c>
      <c r="H395" s="19">
        <f ca="1">IF($A395-H$3&lt;2,0,OFFSET('FPSO1 Base'!H392,-'FPSO1 Otim'!H$3,0))</f>
        <v>533.32500000000005</v>
      </c>
      <c r="I395" s="19">
        <f ca="1">IF($A395-I$3&lt;2,0,OFFSET('FPSO1 Base'!I392,-'FPSO1 Otim'!I$3,0))</f>
        <v>374.37149999999997</v>
      </c>
      <c r="J395" s="19">
        <f ca="1">IF($A395-J$3&lt;2,0,OFFSET('FPSO1 Base'!J392,-'FPSO1 Otim'!J$3,0))</f>
        <v>193.935</v>
      </c>
      <c r="K395" s="19">
        <f ca="1">IF($A395-K$3&lt;2,0,OFFSET('FPSO1 Base'!K392,-'FPSO1 Otim'!K$3,0))</f>
        <v>166.2225</v>
      </c>
      <c r="L395" s="19">
        <f ca="1">IF($A395-L$3&lt;2,0,OFFSET('FPSO1 Base'!L392,-'FPSO1 Otim'!L$3,0))</f>
        <v>225.62850000000003</v>
      </c>
      <c r="M395" s="19">
        <f ca="1">IF($A395-M$3&lt;2,0,OFFSET('FPSO1 Base'!M392,-'FPSO1 Otim'!M$3,0))</f>
        <v>324.67499999999995</v>
      </c>
      <c r="N395" s="19">
        <f ca="1">IF($A395-N$3&lt;2,0,OFFSET('FPSO1 Base'!N392,-'FPSO1 Otim'!N$3,0))</f>
        <v>6.8628123865533857</v>
      </c>
      <c r="O395" s="19">
        <f ca="1">IF($A395-O$3&lt;2,0,OFFSET('FPSO1 Base'!O392,-'FPSO1 Otim'!O$3,0))</f>
        <v>147.62931549674676</v>
      </c>
      <c r="P395" s="19">
        <f ca="1">IF($A395-P$3&lt;2,0,OFFSET('FPSO1 Base'!P392,-'FPSO1 Otim'!P$3,0))</f>
        <v>39.12543516348471</v>
      </c>
      <c r="Q395" s="19">
        <f ca="1">IF($A395-Q$3&lt;2,0,OFFSET('FPSO1 Base'!Q392,-'FPSO1 Otim'!Q$3,0))</f>
        <v>332.952</v>
      </c>
      <c r="R395" s="19">
        <f ca="1">IF($A395-R$3&lt;2,0,OFFSET('FPSO1 Base'!R392,-'FPSO1 Otim'!R$3,0))</f>
        <v>12.180387256060467</v>
      </c>
      <c r="S395" s="19">
        <f ca="1">IF($A395-S$3&lt;2,0,OFFSET('FPSO1 Base'!S392,-'FPSO1 Otim'!S$3,0))</f>
        <v>257.05650000000003</v>
      </c>
      <c r="T395" s="19">
        <f ca="1">IF($A395-T$3&lt;2,0,OFFSET('FPSO1 Base'!T392,-'FPSO1 Otim'!T$3,0))</f>
        <v>351.02549999999997</v>
      </c>
      <c r="U395" s="19">
        <f ca="1">IF($A395-U$3&lt;2,0,OFFSET('FPSO1 Base'!U392,-'FPSO1 Otim'!U$3,0))</f>
        <v>470.51550000000003</v>
      </c>
      <c r="V395" s="19">
        <f ca="1">IF($A395-V$3&lt;2,0,OFFSET('FPSO1 Base'!V392,-'FPSO1 Otim'!V$3,0))</f>
        <v>418.79999999999995</v>
      </c>
      <c r="W395" s="19">
        <f ca="1">IF($A395-W$3&lt;2,0,OFFSET('FPSO1 Base'!W392,-'FPSO1 Otim'!W$3,0))</f>
        <v>189.96449999999999</v>
      </c>
      <c r="X395" s="19">
        <f ca="1">IF($A395-X$3&lt;2,0,OFFSET('FPSO1 Base'!X392,-'FPSO1 Otim'!X$3,0))</f>
        <v>510.19350000000003</v>
      </c>
      <c r="Y395" s="19">
        <f ca="1">IF($A395-Y$3&lt;2,0,OFFSET('FPSO1 Base'!Y392,-'FPSO1 Otim'!Y$3,0))</f>
        <v>367.053</v>
      </c>
      <c r="Z395" s="19">
        <f ca="1">IF($A395-Z$3&lt;2,0,OFFSET('FPSO1 Base'!Z392,-'FPSO1 Otim'!Z$3,0))</f>
        <v>203.916</v>
      </c>
      <c r="AA395" s="20">
        <v>15000</v>
      </c>
      <c r="AB395" s="19">
        <f t="shared" ca="1" si="22"/>
        <v>6177.2274503028466</v>
      </c>
      <c r="AC395" s="20">
        <f t="shared" ca="1" si="23"/>
        <v>8822.7725496971543</v>
      </c>
      <c r="AD395" s="19">
        <f t="shared" ca="1" si="24"/>
        <v>244.78750856501563</v>
      </c>
    </row>
    <row r="396" spans="1:30" x14ac:dyDescent="0.25">
      <c r="A396" s="19">
        <v>392</v>
      </c>
      <c r="B396" s="31">
        <v>57527</v>
      </c>
      <c r="C396" s="19">
        <f ca="1">IF($A396-C$3&lt;2,0,OFFSET('FPSO1 Base'!C393,-'FPSO1 Otim'!C$3,0))</f>
        <v>414.88200000000006</v>
      </c>
      <c r="D396" s="19">
        <f ca="1">IF($A396-D$3&lt;2,0,OFFSET('FPSO1 Base'!D393,-'FPSO1 Otim'!D$3,0))</f>
        <v>66.406499999999994</v>
      </c>
      <c r="E396" s="19">
        <f ca="1">IF($A396-E$3&lt;2,0,OFFSET('FPSO1 Base'!E393,-'FPSO1 Otim'!E$3,0))</f>
        <v>192.036</v>
      </c>
      <c r="F396" s="19">
        <f ca="1">IF($A396-F$3&lt;2,0,OFFSET('FPSO1 Base'!F393,-'FPSO1 Otim'!F$3,0))</f>
        <v>273.291</v>
      </c>
      <c r="G396" s="19">
        <f ca="1">IF($A396-G$3&lt;2,0,OFFSET('FPSO1 Base'!G393,-'FPSO1 Otim'!G$3,0))</f>
        <v>101.7885</v>
      </c>
      <c r="H396" s="19">
        <f ca="1">IF($A396-H$3&lt;2,0,OFFSET('FPSO1 Base'!H393,-'FPSO1 Otim'!H$3,0))</f>
        <v>533.274</v>
      </c>
      <c r="I396" s="19">
        <f ca="1">IF($A396-I$3&lt;2,0,OFFSET('FPSO1 Base'!I393,-'FPSO1 Otim'!I$3,0))</f>
        <v>374.67449999999997</v>
      </c>
      <c r="J396" s="19">
        <f ca="1">IF($A396-J$3&lt;2,0,OFFSET('FPSO1 Base'!J393,-'FPSO1 Otim'!J$3,0))</f>
        <v>193.6335</v>
      </c>
      <c r="K396" s="19">
        <f ca="1">IF($A396-K$3&lt;2,0,OFFSET('FPSO1 Base'!K393,-'FPSO1 Otim'!K$3,0))</f>
        <v>165.5745</v>
      </c>
      <c r="L396" s="19">
        <f ca="1">IF($A396-L$3&lt;2,0,OFFSET('FPSO1 Base'!L393,-'FPSO1 Otim'!L$3,0))</f>
        <v>225.42449999999997</v>
      </c>
      <c r="M396" s="19">
        <f ca="1">IF($A396-M$3&lt;2,0,OFFSET('FPSO1 Base'!M393,-'FPSO1 Otim'!M$3,0))</f>
        <v>324.50850000000003</v>
      </c>
      <c r="N396" s="19">
        <f ca="1">IF($A396-N$3&lt;2,0,OFFSET('FPSO1 Base'!N393,-'FPSO1 Otim'!N$3,0))</f>
        <v>6.7941842626878515</v>
      </c>
      <c r="O396" s="19">
        <f ca="1">IF($A396-O$3&lt;2,0,OFFSET('FPSO1 Base'!O393,-'FPSO1 Otim'!O$3,0))</f>
        <v>146.15302234177929</v>
      </c>
      <c r="P396" s="19">
        <f ca="1">IF($A396-P$3&lt;2,0,OFFSET('FPSO1 Base'!P393,-'FPSO1 Otim'!P$3,0))</f>
        <v>38.734180811849861</v>
      </c>
      <c r="Q396" s="19">
        <f ca="1">IF($A396-Q$3&lt;2,0,OFFSET('FPSO1 Base'!Q393,-'FPSO1 Otim'!Q$3,0))</f>
        <v>332.37450000000001</v>
      </c>
      <c r="R396" s="19">
        <f ca="1">IF($A396-R$3&lt;2,0,OFFSET('FPSO1 Base'!R393,-'FPSO1 Otim'!R$3,0))</f>
        <v>12.058583383499862</v>
      </c>
      <c r="S396" s="19">
        <f ca="1">IF($A396-S$3&lt;2,0,OFFSET('FPSO1 Base'!S393,-'FPSO1 Otim'!S$3,0))</f>
        <v>257.14949999999999</v>
      </c>
      <c r="T396" s="19">
        <f ca="1">IF($A396-T$3&lt;2,0,OFFSET('FPSO1 Base'!T393,-'FPSO1 Otim'!T$3,0))</f>
        <v>349.791</v>
      </c>
      <c r="U396" s="19">
        <f ca="1">IF($A396-U$3&lt;2,0,OFFSET('FPSO1 Base'!U393,-'FPSO1 Otim'!U$3,0))</f>
        <v>469.90049999999997</v>
      </c>
      <c r="V396" s="19">
        <f ca="1">IF($A396-V$3&lt;2,0,OFFSET('FPSO1 Base'!V393,-'FPSO1 Otim'!V$3,0))</f>
        <v>415.64549999999997</v>
      </c>
      <c r="W396" s="19">
        <f ca="1">IF($A396-W$3&lt;2,0,OFFSET('FPSO1 Base'!W393,-'FPSO1 Otim'!W$3,0))</f>
        <v>189.4845</v>
      </c>
      <c r="X396" s="19">
        <f ca="1">IF($A396-X$3&lt;2,0,OFFSET('FPSO1 Base'!X393,-'FPSO1 Otim'!X$3,0))</f>
        <v>508.39949999999999</v>
      </c>
      <c r="Y396" s="19">
        <f ca="1">IF($A396-Y$3&lt;2,0,OFFSET('FPSO1 Base'!Y393,-'FPSO1 Otim'!Y$3,0))</f>
        <v>366.48149999999998</v>
      </c>
      <c r="Z396" s="19">
        <f ca="1">IF($A396-Z$3&lt;2,0,OFFSET('FPSO1 Base'!Z393,-'FPSO1 Otim'!Z$3,0))</f>
        <v>202.488</v>
      </c>
      <c r="AA396" s="20">
        <v>15000</v>
      </c>
      <c r="AB396" s="19">
        <f t="shared" ca="1" si="22"/>
        <v>6160.9479707998171</v>
      </c>
      <c r="AC396" s="20">
        <f t="shared" ca="1" si="23"/>
        <v>8839.052029200182</v>
      </c>
      <c r="AD396" s="19">
        <f t="shared" ca="1" si="24"/>
        <v>242.12468925525036</v>
      </c>
    </row>
    <row r="397" spans="1:30" x14ac:dyDescent="0.25">
      <c r="A397" s="19">
        <v>393</v>
      </c>
      <c r="B397" s="31">
        <v>57558</v>
      </c>
      <c r="C397" s="19">
        <f ca="1">IF($A397-C$3&lt;2,0,OFFSET('FPSO1 Base'!C394,-'FPSO1 Otim'!C$3,0))</f>
        <v>413.74799999999999</v>
      </c>
      <c r="D397" s="19">
        <f ca="1">IF($A397-D$3&lt;2,0,OFFSET('FPSO1 Base'!D394,-'FPSO1 Otim'!D$3,0))</f>
        <v>66.118499999999997</v>
      </c>
      <c r="E397" s="19">
        <f ca="1">IF($A397-E$3&lt;2,0,OFFSET('FPSO1 Base'!E394,-'FPSO1 Otim'!E$3,0))</f>
        <v>191.0505</v>
      </c>
      <c r="F397" s="19">
        <f ca="1">IF($A397-F$3&lt;2,0,OFFSET('FPSO1 Base'!F394,-'FPSO1 Otim'!F$3,0))</f>
        <v>272.4495</v>
      </c>
      <c r="G397" s="19">
        <f ca="1">IF($A397-G$3&lt;2,0,OFFSET('FPSO1 Base'!G394,-'FPSO1 Otim'!G$3,0))</f>
        <v>101.47649999999999</v>
      </c>
      <c r="H397" s="19">
        <f ca="1">IF($A397-H$3&lt;2,0,OFFSET('FPSO1 Base'!H394,-'FPSO1 Otim'!H$3,0))</f>
        <v>533.22749999999996</v>
      </c>
      <c r="I397" s="19">
        <f ca="1">IF($A397-I$3&lt;2,0,OFFSET('FPSO1 Base'!I394,-'FPSO1 Otim'!I$3,0))</f>
        <v>374.87850000000003</v>
      </c>
      <c r="J397" s="19">
        <f ca="1">IF($A397-J$3&lt;2,0,OFFSET('FPSO1 Base'!J394,-'FPSO1 Otim'!J$3,0))</f>
        <v>193.35449999999997</v>
      </c>
      <c r="K397" s="19">
        <f ca="1">IF($A397-K$3&lt;2,0,OFFSET('FPSO1 Base'!K394,-'FPSO1 Otim'!K$3,0))</f>
        <v>165.1095</v>
      </c>
      <c r="L397" s="19">
        <f ca="1">IF($A397-L$3&lt;2,0,OFFSET('FPSO1 Base'!L394,-'FPSO1 Otim'!L$3,0))</f>
        <v>225.21750000000003</v>
      </c>
      <c r="M397" s="19">
        <f ca="1">IF($A397-M$3&lt;2,0,OFFSET('FPSO1 Base'!M394,-'FPSO1 Otim'!M$3,0))</f>
        <v>324.29999999999995</v>
      </c>
      <c r="N397" s="19">
        <f ca="1">IF($A397-N$3&lt;2,0,OFFSET('FPSO1 Base'!N394,-'FPSO1 Otim'!N$3,0))</f>
        <v>6.7262424200609727</v>
      </c>
      <c r="O397" s="19">
        <f ca="1">IF($A397-O$3&lt;2,0,OFFSET('FPSO1 Base'!O394,-'FPSO1 Otim'!O$3,0))</f>
        <v>144.69149211836151</v>
      </c>
      <c r="P397" s="19">
        <f ca="1">IF($A397-P$3&lt;2,0,OFFSET('FPSO1 Base'!P394,-'FPSO1 Otim'!P$3,0))</f>
        <v>38.346839003731361</v>
      </c>
      <c r="Q397" s="19">
        <f ca="1">IF($A397-Q$3&lt;2,0,OFFSET('FPSO1 Base'!Q394,-'FPSO1 Otim'!Q$3,0))</f>
        <v>331.887</v>
      </c>
      <c r="R397" s="19">
        <f ca="1">IF($A397-R$3&lt;2,0,OFFSET('FPSO1 Base'!R394,-'FPSO1 Otim'!R$3,0))</f>
        <v>11.937997549664862</v>
      </c>
      <c r="S397" s="19">
        <f ca="1">IF($A397-S$3&lt;2,0,OFFSET('FPSO1 Base'!S394,-'FPSO1 Otim'!S$3,0))</f>
        <v>257.274</v>
      </c>
      <c r="T397" s="19">
        <f ca="1">IF($A397-T$3&lt;2,0,OFFSET('FPSO1 Base'!T394,-'FPSO1 Otim'!T$3,0))</f>
        <v>348.40049999999997</v>
      </c>
      <c r="U397" s="19">
        <f ca="1">IF($A397-U$3&lt;2,0,OFFSET('FPSO1 Base'!U394,-'FPSO1 Otim'!U$3,0))</f>
        <v>469.23449999999997</v>
      </c>
      <c r="V397" s="19">
        <f ca="1">IF($A397-V$3&lt;2,0,OFFSET('FPSO1 Base'!V394,-'FPSO1 Otim'!V$3,0))</f>
        <v>412.39949999999999</v>
      </c>
      <c r="W397" s="19">
        <f ca="1">IF($A397-W$3&lt;2,0,OFFSET('FPSO1 Base'!W394,-'FPSO1 Otim'!W$3,0))</f>
        <v>188.89950000000002</v>
      </c>
      <c r="X397" s="19">
        <f ca="1">IF($A397-X$3&lt;2,0,OFFSET('FPSO1 Base'!X394,-'FPSO1 Otim'!X$3,0))</f>
        <v>506.61300000000006</v>
      </c>
      <c r="Y397" s="19">
        <f ca="1">IF($A397-Y$3&lt;2,0,OFFSET('FPSO1 Base'!Y394,-'FPSO1 Otim'!Y$3,0))</f>
        <v>366.036</v>
      </c>
      <c r="Z397" s="19">
        <f ca="1">IF($A397-Z$3&lt;2,0,OFFSET('FPSO1 Base'!Z394,-'FPSO1 Otim'!Z$3,0))</f>
        <v>201.1695</v>
      </c>
      <c r="AA397" s="20">
        <v>15000</v>
      </c>
      <c r="AB397" s="19">
        <f t="shared" ca="1" si="22"/>
        <v>6144.5465710918197</v>
      </c>
      <c r="AC397" s="20">
        <f t="shared" ca="1" si="23"/>
        <v>8855.4534289081803</v>
      </c>
      <c r="AD397" s="19">
        <f t="shared" ca="1" si="24"/>
        <v>239.48441231751909</v>
      </c>
    </row>
    <row r="398" spans="1:30" x14ac:dyDescent="0.25">
      <c r="A398" s="19">
        <v>394</v>
      </c>
      <c r="B398" s="31">
        <v>57589</v>
      </c>
      <c r="C398" s="19">
        <f ca="1">IF($A398-C$3&lt;2,0,OFFSET('FPSO1 Base'!C395,-'FPSO1 Otim'!C$3,0))</f>
        <v>412.69499999999999</v>
      </c>
      <c r="D398" s="19">
        <f ca="1">IF($A398-D$3&lt;2,0,OFFSET('FPSO1 Base'!D395,-'FPSO1 Otim'!D$3,0))</f>
        <v>65.858999999999995</v>
      </c>
      <c r="E398" s="19">
        <f ca="1">IF($A398-E$3&lt;2,0,OFFSET('FPSO1 Base'!E395,-'FPSO1 Otim'!E$3,0))</f>
        <v>190.137</v>
      </c>
      <c r="F398" s="19">
        <f ca="1">IF($A398-F$3&lt;2,0,OFFSET('FPSO1 Base'!F395,-'FPSO1 Otim'!F$3,0))</f>
        <v>271.64550000000003</v>
      </c>
      <c r="G398" s="19">
        <f ca="1">IF($A398-G$3&lt;2,0,OFFSET('FPSO1 Base'!G395,-'FPSO1 Otim'!G$3,0))</f>
        <v>101.304</v>
      </c>
      <c r="H398" s="19">
        <f ca="1">IF($A398-H$3&lt;2,0,OFFSET('FPSO1 Base'!H395,-'FPSO1 Otim'!H$3,0))</f>
        <v>533.15550000000007</v>
      </c>
      <c r="I398" s="19">
        <f ca="1">IF($A398-I$3&lt;2,0,OFFSET('FPSO1 Base'!I395,-'FPSO1 Otim'!I$3,0))</f>
        <v>375</v>
      </c>
      <c r="J398" s="19">
        <f ca="1">IF($A398-J$3&lt;2,0,OFFSET('FPSO1 Base'!J395,-'FPSO1 Otim'!J$3,0))</f>
        <v>193.09950000000001</v>
      </c>
      <c r="K398" s="19">
        <f ca="1">IF($A398-K$3&lt;2,0,OFFSET('FPSO1 Base'!K395,-'FPSO1 Otim'!K$3,0))</f>
        <v>164.59950000000001</v>
      </c>
      <c r="L398" s="19">
        <f ca="1">IF($A398-L$3&lt;2,0,OFFSET('FPSO1 Base'!L395,-'FPSO1 Otim'!L$3,0))</f>
        <v>225</v>
      </c>
      <c r="M398" s="19">
        <f ca="1">IF($A398-M$3&lt;2,0,OFFSET('FPSO1 Base'!M395,-'FPSO1 Otim'!M$3,0))</f>
        <v>324.024</v>
      </c>
      <c r="N398" s="19">
        <f ca="1">IF($A398-N$3&lt;2,0,OFFSET('FPSO1 Base'!N395,-'FPSO1 Otim'!N$3,0))</f>
        <v>6.6589799958603626</v>
      </c>
      <c r="O398" s="19">
        <f ca="1">IF($A398-O$3&lt;2,0,OFFSET('FPSO1 Base'!O395,-'FPSO1 Otim'!O$3,0))</f>
        <v>143.2445771971779</v>
      </c>
      <c r="P398" s="19">
        <f ca="1">IF($A398-P$3&lt;2,0,OFFSET('FPSO1 Base'!P395,-'FPSO1 Otim'!P$3,0))</f>
        <v>37.963370613694046</v>
      </c>
      <c r="Q398" s="19">
        <f ca="1">IF($A398-Q$3&lt;2,0,OFFSET('FPSO1 Base'!Q395,-'FPSO1 Otim'!Q$3,0))</f>
        <v>331.40250000000003</v>
      </c>
      <c r="R398" s="19">
        <f ca="1">IF($A398-R$3&lt;2,0,OFFSET('FPSO1 Base'!R395,-'FPSO1 Otim'!R$3,0))</f>
        <v>11.818617574168213</v>
      </c>
      <c r="S398" s="19">
        <f ca="1">IF($A398-S$3&lt;2,0,OFFSET('FPSO1 Base'!S395,-'FPSO1 Otim'!S$3,0))</f>
        <v>257.34749999999997</v>
      </c>
      <c r="T398" s="19">
        <f ca="1">IF($A398-T$3&lt;2,0,OFFSET('FPSO1 Base'!T395,-'FPSO1 Otim'!T$3,0))</f>
        <v>347.10449999999997</v>
      </c>
      <c r="U398" s="19">
        <f ca="1">IF($A398-U$3&lt;2,0,OFFSET('FPSO1 Base'!U395,-'FPSO1 Otim'!U$3,0))</f>
        <v>468.62849999999997</v>
      </c>
      <c r="V398" s="19">
        <f ca="1">IF($A398-V$3&lt;2,0,OFFSET('FPSO1 Base'!V395,-'FPSO1 Otim'!V$3,0))</f>
        <v>409.25850000000003</v>
      </c>
      <c r="W398" s="19">
        <f ca="1">IF($A398-W$3&lt;2,0,OFFSET('FPSO1 Base'!W395,-'FPSO1 Otim'!W$3,0))</f>
        <v>188.4435</v>
      </c>
      <c r="X398" s="19">
        <f ca="1">IF($A398-X$3&lt;2,0,OFFSET('FPSO1 Base'!X395,-'FPSO1 Otim'!X$3,0))</f>
        <v>504.91949999999997</v>
      </c>
      <c r="Y398" s="19">
        <f ca="1">IF($A398-Y$3&lt;2,0,OFFSET('FPSO1 Base'!Y395,-'FPSO1 Otim'!Y$3,0))</f>
        <v>365.48699999999997</v>
      </c>
      <c r="Z398" s="19">
        <f ca="1">IF($A398-Z$3&lt;2,0,OFFSET('FPSO1 Base'!Z395,-'FPSO1 Otim'!Z$3,0))</f>
        <v>199.76250000000002</v>
      </c>
      <c r="AA398" s="20">
        <v>15000</v>
      </c>
      <c r="AB398" s="19">
        <f t="shared" ca="1" si="22"/>
        <v>6128.5585453808999</v>
      </c>
      <c r="AC398" s="20">
        <f t="shared" ca="1" si="23"/>
        <v>8871.4414546191001</v>
      </c>
      <c r="AD398" s="19">
        <f t="shared" ca="1" si="24"/>
        <v>236.88721702689156</v>
      </c>
    </row>
    <row r="399" spans="1:30" x14ac:dyDescent="0.25">
      <c r="A399" s="19">
        <v>395</v>
      </c>
      <c r="B399" s="31">
        <v>57619</v>
      </c>
      <c r="C399" s="19">
        <f ca="1">IF($A399-C$3&lt;2,0,OFFSET('FPSO1 Base'!C396,-'FPSO1 Otim'!C$3,0))</f>
        <v>411.57449999999994</v>
      </c>
      <c r="D399" s="19">
        <f ca="1">IF($A399-D$3&lt;2,0,OFFSET('FPSO1 Base'!D396,-'FPSO1 Otim'!D$3,0))</f>
        <v>65.590499999999992</v>
      </c>
      <c r="E399" s="19">
        <f ca="1">IF($A399-E$3&lt;2,0,OFFSET('FPSO1 Base'!E396,-'FPSO1 Otim'!E$3,0))</f>
        <v>189.2175</v>
      </c>
      <c r="F399" s="19">
        <f ca="1">IF($A399-F$3&lt;2,0,OFFSET('FPSO1 Base'!F396,-'FPSO1 Otim'!F$3,0))</f>
        <v>270.822</v>
      </c>
      <c r="G399" s="19">
        <f ca="1">IF($A399-G$3&lt;2,0,OFFSET('FPSO1 Base'!G396,-'FPSO1 Otim'!G$3,0))</f>
        <v>100.99799999999999</v>
      </c>
      <c r="H399" s="19">
        <f ca="1">IF($A399-H$3&lt;2,0,OFFSET('FPSO1 Base'!H396,-'FPSO1 Otim'!H$3,0))</f>
        <v>533.13149999999996</v>
      </c>
      <c r="I399" s="19">
        <f ca="1">IF($A399-I$3&lt;2,0,OFFSET('FPSO1 Base'!I396,-'FPSO1 Otim'!I$3,0))</f>
        <v>374.952</v>
      </c>
      <c r="J399" s="19">
        <f ca="1">IF($A399-J$3&lt;2,0,OFFSET('FPSO1 Base'!J396,-'FPSO1 Otim'!J$3,0))</f>
        <v>192.822</v>
      </c>
      <c r="K399" s="19">
        <f ca="1">IF($A399-K$3&lt;2,0,OFFSET('FPSO1 Base'!K396,-'FPSO1 Otim'!K$3,0))</f>
        <v>164.1165</v>
      </c>
      <c r="L399" s="19">
        <f ca="1">IF($A399-L$3&lt;2,0,OFFSET('FPSO1 Base'!L396,-'FPSO1 Otim'!L$3,0))</f>
        <v>224.78249999999997</v>
      </c>
      <c r="M399" s="19">
        <f ca="1">IF($A399-M$3&lt;2,0,OFFSET('FPSO1 Base'!M396,-'FPSO1 Otim'!M$3,0))</f>
        <v>323.75850000000003</v>
      </c>
      <c r="N399" s="19">
        <f ca="1">IF($A399-N$3&lt;2,0,OFFSET('FPSO1 Base'!N396,-'FPSO1 Otim'!N$3,0))</f>
        <v>6.5923901959017588</v>
      </c>
      <c r="O399" s="19">
        <f ca="1">IF($A399-O$3&lt;2,0,OFFSET('FPSO1 Base'!O396,-'FPSO1 Otim'!O$3,0))</f>
        <v>141.81213142520613</v>
      </c>
      <c r="P399" s="19">
        <f ca="1">IF($A399-P$3&lt;2,0,OFFSET('FPSO1 Base'!P396,-'FPSO1 Otim'!P$3,0))</f>
        <v>37.583736907557103</v>
      </c>
      <c r="Q399" s="19">
        <f ca="1">IF($A399-Q$3&lt;2,0,OFFSET('FPSO1 Base'!Q396,-'FPSO1 Otim'!Q$3,0))</f>
        <v>330.90449999999998</v>
      </c>
      <c r="R399" s="19">
        <f ca="1">IF($A399-R$3&lt;2,0,OFFSET('FPSO1 Base'!R396,-'FPSO1 Otim'!R$3,0))</f>
        <v>11.700431398426531</v>
      </c>
      <c r="S399" s="19">
        <f ca="1">IF($A399-S$3&lt;2,0,OFFSET('FPSO1 Base'!S396,-'FPSO1 Otim'!S$3,0))</f>
        <v>257.46449999999999</v>
      </c>
      <c r="T399" s="19">
        <f ca="1">IF($A399-T$3&lt;2,0,OFFSET('FPSO1 Base'!T396,-'FPSO1 Otim'!T$3,0))</f>
        <v>345.91949999999997</v>
      </c>
      <c r="U399" s="19">
        <f ca="1">IF($A399-U$3&lt;2,0,OFFSET('FPSO1 Base'!U396,-'FPSO1 Otim'!U$3,0))</f>
        <v>467.8125</v>
      </c>
      <c r="V399" s="19">
        <f ca="1">IF($A399-V$3&lt;2,0,OFFSET('FPSO1 Base'!V396,-'FPSO1 Otim'!V$3,0))</f>
        <v>406.35450000000003</v>
      </c>
      <c r="W399" s="19">
        <f ca="1">IF($A399-W$3&lt;2,0,OFFSET('FPSO1 Base'!W396,-'FPSO1 Otim'!W$3,0))</f>
        <v>187.875</v>
      </c>
      <c r="X399" s="19">
        <f ca="1">IF($A399-X$3&lt;2,0,OFFSET('FPSO1 Base'!X396,-'FPSO1 Otim'!X$3,0))</f>
        <v>503.05050000000006</v>
      </c>
      <c r="Y399" s="19">
        <f ca="1">IF($A399-Y$3&lt;2,0,OFFSET('FPSO1 Base'!Y396,-'FPSO1 Otim'!Y$3,0))</f>
        <v>364.97249999999997</v>
      </c>
      <c r="Z399" s="19">
        <f ca="1">IF($A399-Z$3&lt;2,0,OFFSET('FPSO1 Base'!Z396,-'FPSO1 Otim'!Z$3,0))</f>
        <v>198.447</v>
      </c>
      <c r="AA399" s="20">
        <v>15000</v>
      </c>
      <c r="AB399" s="19">
        <f t="shared" ca="1" si="22"/>
        <v>6112.2546899270919</v>
      </c>
      <c r="AC399" s="20">
        <f t="shared" ca="1" si="23"/>
        <v>8887.7453100729072</v>
      </c>
      <c r="AD399" s="19">
        <f t="shared" ca="1" si="24"/>
        <v>234.30448659780484</v>
      </c>
    </row>
    <row r="400" spans="1:30" x14ac:dyDescent="0.25">
      <c r="A400" s="19">
        <v>396</v>
      </c>
      <c r="B400" s="31">
        <v>57650</v>
      </c>
      <c r="C400" s="19">
        <f ca="1">IF($A400-C$3&lt;2,0,OFFSET('FPSO1 Base'!C397,-'FPSO1 Otim'!C$3,0))</f>
        <v>410.54699999999997</v>
      </c>
      <c r="D400" s="19">
        <f ca="1">IF($A400-D$3&lt;2,0,OFFSET('FPSO1 Base'!D397,-'FPSO1 Otim'!D$3,0))</f>
        <v>65.316000000000003</v>
      </c>
      <c r="E400" s="19">
        <f ca="1">IF($A400-E$3&lt;2,0,OFFSET('FPSO1 Base'!E397,-'FPSO1 Otim'!E$3,0))</f>
        <v>188.19899999999998</v>
      </c>
      <c r="F400" s="19">
        <f ca="1">IF($A400-F$3&lt;2,0,OFFSET('FPSO1 Base'!F397,-'FPSO1 Otim'!F$3,0))</f>
        <v>269.97450000000003</v>
      </c>
      <c r="G400" s="19">
        <f ca="1">IF($A400-G$3&lt;2,0,OFFSET('FPSO1 Base'!G397,-'FPSO1 Otim'!G$3,0))</f>
        <v>100.87200000000001</v>
      </c>
      <c r="H400" s="19">
        <f ca="1">IF($A400-H$3&lt;2,0,OFFSET('FPSO1 Base'!H397,-'FPSO1 Otim'!H$3,0))</f>
        <v>533.05200000000002</v>
      </c>
      <c r="I400" s="19">
        <f ca="1">IF($A400-I$3&lt;2,0,OFFSET('FPSO1 Base'!I397,-'FPSO1 Otim'!I$3,0))</f>
        <v>374.928</v>
      </c>
      <c r="J400" s="19">
        <f ca="1">IF($A400-J$3&lt;2,0,OFFSET('FPSO1 Base'!J397,-'FPSO1 Otim'!J$3,0))</f>
        <v>192.52499999999998</v>
      </c>
      <c r="K400" s="19">
        <f ca="1">IF($A400-K$3&lt;2,0,OFFSET('FPSO1 Base'!K397,-'FPSO1 Otim'!K$3,0))</f>
        <v>163.6335</v>
      </c>
      <c r="L400" s="19">
        <f ca="1">IF($A400-L$3&lt;2,0,OFFSET('FPSO1 Base'!L397,-'FPSO1 Otim'!L$3,0))</f>
        <v>224.565</v>
      </c>
      <c r="M400" s="19">
        <f ca="1">IF($A400-M$3&lt;2,0,OFFSET('FPSO1 Base'!M397,-'FPSO1 Otim'!M$3,0))</f>
        <v>323.4495</v>
      </c>
      <c r="N400" s="19">
        <f ca="1">IF($A400-N$3&lt;2,0,OFFSET('FPSO1 Base'!N397,-'FPSO1 Otim'!N$3,0))</f>
        <v>6.5264662939427414</v>
      </c>
      <c r="O400" s="19">
        <f ca="1">IF($A400-O$3&lt;2,0,OFFSET('FPSO1 Base'!O397,-'FPSO1 Otim'!O$3,0))</f>
        <v>140.39401011095407</v>
      </c>
      <c r="P400" s="19">
        <f ca="1">IF($A400-P$3&lt;2,0,OFFSET('FPSO1 Base'!P397,-'FPSO1 Otim'!P$3,0))</f>
        <v>37.207899538481534</v>
      </c>
      <c r="Q400" s="19">
        <f ca="1">IF($A400-Q$3&lt;2,0,OFFSET('FPSO1 Base'!Q397,-'FPSO1 Otim'!Q$3,0))</f>
        <v>330.726</v>
      </c>
      <c r="R400" s="19">
        <f ca="1">IF($A400-R$3&lt;2,0,OFFSET('FPSO1 Base'!R397,-'FPSO1 Otim'!R$3,0))</f>
        <v>11.583427084442265</v>
      </c>
      <c r="S400" s="19">
        <f ca="1">IF($A400-S$3&lt;2,0,OFFSET('FPSO1 Base'!S397,-'FPSO1 Otim'!S$3,0))</f>
        <v>257.565</v>
      </c>
      <c r="T400" s="19">
        <f ca="1">IF($A400-T$3&lt;2,0,OFFSET('FPSO1 Base'!T397,-'FPSO1 Otim'!T$3,0))</f>
        <v>344.51850000000002</v>
      </c>
      <c r="U400" s="19">
        <f ca="1">IF($A400-U$3&lt;2,0,OFFSET('FPSO1 Base'!U397,-'FPSO1 Otim'!U$3,0))</f>
        <v>467.12849999999997</v>
      </c>
      <c r="V400" s="19">
        <f ca="1">IF($A400-V$3&lt;2,0,OFFSET('FPSO1 Base'!V397,-'FPSO1 Otim'!V$3,0))</f>
        <v>403.15049999999997</v>
      </c>
      <c r="W400" s="19">
        <f ca="1">IF($A400-W$3&lt;2,0,OFFSET('FPSO1 Base'!W397,-'FPSO1 Otim'!W$3,0))</f>
        <v>187.4025</v>
      </c>
      <c r="X400" s="19">
        <f ca="1">IF($A400-X$3&lt;2,0,OFFSET('FPSO1 Base'!X397,-'FPSO1 Otim'!X$3,0))</f>
        <v>501.48449999999997</v>
      </c>
      <c r="Y400" s="19">
        <f ca="1">IF($A400-Y$3&lt;2,0,OFFSET('FPSO1 Base'!Y397,-'FPSO1 Otim'!Y$3,0))</f>
        <v>364.39949999999999</v>
      </c>
      <c r="Z400" s="19">
        <f ca="1">IF($A400-Z$3&lt;2,0,OFFSET('FPSO1 Base'!Z397,-'FPSO1 Otim'!Z$3,0))</f>
        <v>197.1525</v>
      </c>
      <c r="AA400" s="20">
        <v>15000</v>
      </c>
      <c r="AB400" s="19">
        <f t="shared" ca="1" si="22"/>
        <v>6096.3008030278197</v>
      </c>
      <c r="AC400" s="20">
        <f t="shared" ca="1" si="23"/>
        <v>8903.6991969721803</v>
      </c>
      <c r="AD400" s="19">
        <f t="shared" ca="1" si="24"/>
        <v>231.76157088082758</v>
      </c>
    </row>
    <row r="401" spans="1:30" x14ac:dyDescent="0.25">
      <c r="A401" s="19">
        <v>397</v>
      </c>
      <c r="B401" s="31">
        <v>57680</v>
      </c>
      <c r="C401" s="19">
        <f ca="1">IF($A401-C$3&lt;2,0,OFFSET('FPSO1 Base'!C398,-'FPSO1 Otim'!C$3,0))</f>
        <v>409.49399999999997</v>
      </c>
      <c r="D401" s="19">
        <f ca="1">IF($A401-D$3&lt;2,0,OFFSET('FPSO1 Base'!D398,-'FPSO1 Otim'!D$3,0))</f>
        <v>65.038499999999999</v>
      </c>
      <c r="E401" s="19">
        <f ca="1">IF($A401-E$3&lt;2,0,OFFSET('FPSO1 Base'!E398,-'FPSO1 Otim'!E$3,0))</f>
        <v>187.5975</v>
      </c>
      <c r="F401" s="19">
        <f ca="1">IF($A401-F$3&lt;2,0,OFFSET('FPSO1 Base'!F398,-'FPSO1 Otim'!F$3,0))</f>
        <v>269.202</v>
      </c>
      <c r="G401" s="19">
        <f ca="1">IF($A401-G$3&lt;2,0,OFFSET('FPSO1 Base'!G398,-'FPSO1 Otim'!G$3,0))</f>
        <v>100.61399999999999</v>
      </c>
      <c r="H401" s="19">
        <f ca="1">IF($A401-H$3&lt;2,0,OFFSET('FPSO1 Base'!H398,-'FPSO1 Otim'!H$3,0))</f>
        <v>532.9905</v>
      </c>
      <c r="I401" s="19">
        <f ca="1">IF($A401-I$3&lt;2,0,OFFSET('FPSO1 Base'!I398,-'FPSO1 Otim'!I$3,0))</f>
        <v>374.87549999999999</v>
      </c>
      <c r="J401" s="19">
        <f ca="1">IF($A401-J$3&lt;2,0,OFFSET('FPSO1 Base'!J398,-'FPSO1 Otim'!J$3,0))</f>
        <v>192.2415</v>
      </c>
      <c r="K401" s="19">
        <f ca="1">IF($A401-K$3&lt;2,0,OFFSET('FPSO1 Base'!K398,-'FPSO1 Otim'!K$3,0))</f>
        <v>163.08749999999998</v>
      </c>
      <c r="L401" s="19">
        <f ca="1">IF($A401-L$3&lt;2,0,OFFSET('FPSO1 Base'!L398,-'FPSO1 Otim'!L$3,0))</f>
        <v>224.33100000000002</v>
      </c>
      <c r="M401" s="19">
        <f ca="1">IF($A401-M$3&lt;2,0,OFFSET('FPSO1 Base'!M398,-'FPSO1 Otim'!M$3,0))</f>
        <v>323.15250000000003</v>
      </c>
      <c r="N401" s="19">
        <f ca="1">IF($A401-N$3&lt;2,0,OFFSET('FPSO1 Base'!N398,-'FPSO1 Otim'!N$3,0))</f>
        <v>6.4612016310033136</v>
      </c>
      <c r="O401" s="19">
        <f ca="1">IF($A401-O$3&lt;2,0,OFFSET('FPSO1 Base'!O398,-'FPSO1 Otim'!O$3,0))</f>
        <v>138.99007000984452</v>
      </c>
      <c r="P401" s="19">
        <f ca="1">IF($A401-P$3&lt;2,0,OFFSET('FPSO1 Base'!P398,-'FPSO1 Otim'!P$3,0))</f>
        <v>36.835820543096716</v>
      </c>
      <c r="Q401" s="19">
        <f ca="1">IF($A401-Q$3&lt;2,0,OFFSET('FPSO1 Base'!Q398,-'FPSO1 Otim'!Q$3,0))</f>
        <v>330.07500000000005</v>
      </c>
      <c r="R401" s="19">
        <f ca="1">IF($A401-R$3&lt;2,0,OFFSET('FPSO1 Base'!R398,-'FPSO1 Otim'!R$3,0))</f>
        <v>11.467592813597843</v>
      </c>
      <c r="S401" s="19">
        <f ca="1">IF($A401-S$3&lt;2,0,OFFSET('FPSO1 Base'!S398,-'FPSO1 Otim'!S$3,0))</f>
        <v>257.625</v>
      </c>
      <c r="T401" s="19">
        <f ca="1">IF($A401-T$3&lt;2,0,OFFSET('FPSO1 Base'!T398,-'FPSO1 Otim'!T$3,0))</f>
        <v>343.428</v>
      </c>
      <c r="U401" s="19">
        <f ca="1">IF($A401-U$3&lt;2,0,OFFSET('FPSO1 Base'!U398,-'FPSO1 Otim'!U$3,0))</f>
        <v>466.39949999999999</v>
      </c>
      <c r="V401" s="19">
        <f ca="1">IF($A401-V$3&lt;2,0,OFFSET('FPSO1 Base'!V398,-'FPSO1 Otim'!V$3,0))</f>
        <v>400.35450000000003</v>
      </c>
      <c r="W401" s="19">
        <f ca="1">IF($A401-W$3&lt;2,0,OFFSET('FPSO1 Base'!W398,-'FPSO1 Otim'!W$3,0))</f>
        <v>186.9195</v>
      </c>
      <c r="X401" s="19">
        <f ca="1">IF($A401-X$3&lt;2,0,OFFSET('FPSO1 Base'!X398,-'FPSO1 Otim'!X$3,0))</f>
        <v>499.69949999999994</v>
      </c>
      <c r="Y401" s="19">
        <f ca="1">IF($A401-Y$3&lt;2,0,OFFSET('FPSO1 Base'!Y398,-'FPSO1 Otim'!Y$3,0))</f>
        <v>363.85950000000003</v>
      </c>
      <c r="Z401" s="19">
        <f ca="1">IF($A401-Z$3&lt;2,0,OFFSET('FPSO1 Base'!Z398,-'FPSO1 Otim'!Z$3,0))</f>
        <v>195.78750000000002</v>
      </c>
      <c r="AA401" s="20">
        <v>15000</v>
      </c>
      <c r="AB401" s="19">
        <f t="shared" ca="1" si="22"/>
        <v>6080.5271849975434</v>
      </c>
      <c r="AC401" s="20">
        <f t="shared" ca="1" si="23"/>
        <v>8919.4728150024566</v>
      </c>
      <c r="AD401" s="19">
        <f t="shared" ca="1" si="24"/>
        <v>229.25148011590232</v>
      </c>
    </row>
    <row r="402" spans="1:30" x14ac:dyDescent="0.25">
      <c r="A402" s="19">
        <v>398</v>
      </c>
      <c r="B402" s="31">
        <v>57711</v>
      </c>
      <c r="C402" s="19">
        <f ca="1">IF($A402-C$3&lt;2,0,OFFSET('FPSO1 Base'!C399,-'FPSO1 Otim'!C$3,0))</f>
        <v>408.40800000000002</v>
      </c>
      <c r="D402" s="19">
        <f ca="1">IF($A402-D$3&lt;2,0,OFFSET('FPSO1 Base'!D399,-'FPSO1 Otim'!D$3,0))</f>
        <v>64.388114999999999</v>
      </c>
      <c r="E402" s="19">
        <f ca="1">IF($A402-E$3&lt;2,0,OFFSET('FPSO1 Base'!E399,-'FPSO1 Otim'!E$3,0))</f>
        <v>186.47549999999998</v>
      </c>
      <c r="F402" s="19">
        <f ca="1">IF($A402-F$3&lt;2,0,OFFSET('FPSO1 Base'!F399,-'FPSO1 Otim'!F$3,0))</f>
        <v>268.39949999999999</v>
      </c>
      <c r="G402" s="19">
        <f ca="1">IF($A402-G$3&lt;2,0,OFFSET('FPSO1 Base'!G399,-'FPSO1 Otim'!G$3,0))</f>
        <v>100.5</v>
      </c>
      <c r="H402" s="19">
        <f ca="1">IF($A402-H$3&lt;2,0,OFFSET('FPSO1 Base'!H399,-'FPSO1 Otim'!H$3,0))</f>
        <v>532.95899999999995</v>
      </c>
      <c r="I402" s="19">
        <f ca="1">IF($A402-I$3&lt;2,0,OFFSET('FPSO1 Base'!I399,-'FPSO1 Otim'!I$3,0))</f>
        <v>374.78249999999997</v>
      </c>
      <c r="J402" s="19">
        <f ca="1">IF($A402-J$3&lt;2,0,OFFSET('FPSO1 Base'!J399,-'FPSO1 Otim'!J$3,0))</f>
        <v>191.976</v>
      </c>
      <c r="K402" s="19">
        <f ca="1">IF($A402-K$3&lt;2,0,OFFSET('FPSO1 Base'!K399,-'FPSO1 Otim'!K$3,0))</f>
        <v>162.6285</v>
      </c>
      <c r="L402" s="19">
        <f ca="1">IF($A402-L$3&lt;2,0,OFFSET('FPSO1 Base'!L399,-'FPSO1 Otim'!L$3,0))</f>
        <v>224.10449999999997</v>
      </c>
      <c r="M402" s="19">
        <f ca="1">IF($A402-M$3&lt;2,0,OFFSET('FPSO1 Base'!M399,-'FPSO1 Otim'!M$3,0))</f>
        <v>322.82550000000003</v>
      </c>
      <c r="N402" s="19">
        <f ca="1">IF($A402-N$3&lt;2,0,OFFSET('FPSO1 Base'!N399,-'FPSO1 Otim'!N$3,0))</f>
        <v>6.3965896146932808</v>
      </c>
      <c r="O402" s="19">
        <f ca="1">IF($A402-O$3&lt;2,0,OFFSET('FPSO1 Base'!O399,-'FPSO1 Otim'!O$3,0))</f>
        <v>137.60016930974606</v>
      </c>
      <c r="P402" s="19">
        <f ca="1">IF($A402-P$3&lt;2,0,OFFSET('FPSO1 Base'!P399,-'FPSO1 Otim'!P$3,0))</f>
        <v>36.467462337665751</v>
      </c>
      <c r="Q402" s="19">
        <f ca="1">IF($A402-Q$3&lt;2,0,OFFSET('FPSO1 Base'!Q399,-'FPSO1 Otim'!Q$3,0))</f>
        <v>329.685</v>
      </c>
      <c r="R402" s="19">
        <f ca="1">IF($A402-R$3&lt;2,0,OFFSET('FPSO1 Base'!R399,-'FPSO1 Otim'!R$3,0))</f>
        <v>11.352916885461864</v>
      </c>
      <c r="S402" s="19">
        <f ca="1">IF($A402-S$3&lt;2,0,OFFSET('FPSO1 Base'!S399,-'FPSO1 Otim'!S$3,0))</f>
        <v>257.73450000000003</v>
      </c>
      <c r="T402" s="19">
        <f ca="1">IF($A402-T$3&lt;2,0,OFFSET('FPSO1 Base'!T399,-'FPSO1 Otim'!T$3,0))</f>
        <v>342.10050000000001</v>
      </c>
      <c r="U402" s="19">
        <f ca="1">IF($A402-U$3&lt;2,0,OFFSET('FPSO1 Base'!U399,-'FPSO1 Otim'!U$3,0))</f>
        <v>465.43500000000006</v>
      </c>
      <c r="V402" s="19">
        <f ca="1">IF($A402-V$3&lt;2,0,OFFSET('FPSO1 Base'!V399,-'FPSO1 Otim'!V$3,0))</f>
        <v>397.20000000000005</v>
      </c>
      <c r="W402" s="19">
        <f ca="1">IF($A402-W$3&lt;2,0,OFFSET('FPSO1 Base'!W399,-'FPSO1 Otim'!W$3,0))</f>
        <v>186.40049999999999</v>
      </c>
      <c r="X402" s="19">
        <f ca="1">IF($A402-X$3&lt;2,0,OFFSET('FPSO1 Base'!X399,-'FPSO1 Otim'!X$3,0))</f>
        <v>498.19350000000003</v>
      </c>
      <c r="Y402" s="19">
        <f ca="1">IF($A402-Y$3&lt;2,0,OFFSET('FPSO1 Base'!Y399,-'FPSO1 Otim'!Y$3,0))</f>
        <v>363.291</v>
      </c>
      <c r="Z402" s="19">
        <f ca="1">IF($A402-Z$3&lt;2,0,OFFSET('FPSO1 Base'!Z399,-'FPSO1 Otim'!Z$3,0))</f>
        <v>194.565</v>
      </c>
      <c r="AA402" s="20">
        <v>15000</v>
      </c>
      <c r="AB402" s="19">
        <f t="shared" ca="1" si="22"/>
        <v>6063.8692531475663</v>
      </c>
      <c r="AC402" s="20">
        <f t="shared" ca="1" si="23"/>
        <v>8936.1307468524337</v>
      </c>
      <c r="AD402" s="19">
        <f t="shared" ca="1" si="24"/>
        <v>226.73398347149578</v>
      </c>
    </row>
    <row r="403" spans="1:30" x14ac:dyDescent="0.25">
      <c r="A403" s="19">
        <v>399</v>
      </c>
      <c r="B403" s="31">
        <v>57742</v>
      </c>
      <c r="C403" s="19">
        <f ca="1">IF($A403-C$3&lt;2,0,OFFSET('FPSO1 Base'!C400,-'FPSO1 Otim'!C$3,0))</f>
        <v>407.42850000000004</v>
      </c>
      <c r="D403" s="19">
        <f ca="1">IF($A403-D$3&lt;2,0,OFFSET('FPSO1 Base'!D400,-'FPSO1 Otim'!D$3,0))</f>
        <v>63.744233850000001</v>
      </c>
      <c r="E403" s="19">
        <f ca="1">IF($A403-E$3&lt;2,0,OFFSET('FPSO1 Base'!E400,-'FPSO1 Otim'!E$3,0))</f>
        <v>185.613</v>
      </c>
      <c r="F403" s="19">
        <f ca="1">IF($A403-F$3&lt;2,0,OFFSET('FPSO1 Base'!F400,-'FPSO1 Otim'!F$3,0))</f>
        <v>267.60449999999997</v>
      </c>
      <c r="G403" s="19">
        <f ca="1">IF($A403-G$3&lt;2,0,OFFSET('FPSO1 Base'!G400,-'FPSO1 Otim'!G$3,0))</f>
        <v>100.35300000000001</v>
      </c>
      <c r="H403" s="19">
        <f ca="1">IF($A403-H$3&lt;2,0,OFFSET('FPSO1 Base'!H400,-'FPSO1 Otim'!H$3,0))</f>
        <v>532.91999999999996</v>
      </c>
      <c r="I403" s="19">
        <f ca="1">IF($A403-I$3&lt;2,0,OFFSET('FPSO1 Base'!I400,-'FPSO1 Otim'!I$3,0))</f>
        <v>374.65049999999997</v>
      </c>
      <c r="J403" s="19">
        <f ca="1">IF($A403-J$3&lt;2,0,OFFSET('FPSO1 Base'!J400,-'FPSO1 Otim'!J$3,0))</f>
        <v>191.67449999999999</v>
      </c>
      <c r="K403" s="19">
        <f ca="1">IF($A403-K$3&lt;2,0,OFFSET('FPSO1 Base'!K400,-'FPSO1 Otim'!K$3,0))</f>
        <v>162.10049999999998</v>
      </c>
      <c r="L403" s="19">
        <f ca="1">IF($A403-L$3&lt;2,0,OFFSET('FPSO1 Base'!L400,-'FPSO1 Otim'!L$3,0))</f>
        <v>223.90049999999999</v>
      </c>
      <c r="M403" s="19">
        <f ca="1">IF($A403-M$3&lt;2,0,OFFSET('FPSO1 Base'!M400,-'FPSO1 Otim'!M$3,0))</f>
        <v>322.5</v>
      </c>
      <c r="N403" s="19">
        <f ca="1">IF($A403-N$3&lt;2,0,OFFSET('FPSO1 Base'!N400,-'FPSO1 Otim'!N$3,0))</f>
        <v>6.3326237185463476</v>
      </c>
      <c r="O403" s="19">
        <f ca="1">IF($A403-O$3&lt;2,0,OFFSET('FPSO1 Base'!O400,-'FPSO1 Otim'!O$3,0))</f>
        <v>136.2241676166486</v>
      </c>
      <c r="P403" s="19">
        <f ca="1">IF($A403-P$3&lt;2,0,OFFSET('FPSO1 Base'!P400,-'FPSO1 Otim'!P$3,0))</f>
        <v>36.102787714289093</v>
      </c>
      <c r="Q403" s="19">
        <f ca="1">IF($A403-Q$3&lt;2,0,OFFSET('FPSO1 Base'!Q400,-'FPSO1 Otim'!Q$3,0))</f>
        <v>329.27549999999997</v>
      </c>
      <c r="R403" s="19">
        <f ca="1">IF($A403-R$3&lt;2,0,OFFSET('FPSO1 Base'!R400,-'FPSO1 Otim'!R$3,0))</f>
        <v>11.239387716607245</v>
      </c>
      <c r="S403" s="19">
        <f ca="1">IF($A403-S$3&lt;2,0,OFFSET('FPSO1 Base'!S400,-'FPSO1 Otim'!S$3,0))</f>
        <v>257.8245</v>
      </c>
      <c r="T403" s="19">
        <f ca="1">IF($A403-T$3&lt;2,0,OFFSET('FPSO1 Base'!T400,-'FPSO1 Otim'!T$3,0))</f>
        <v>340.935</v>
      </c>
      <c r="U403" s="19">
        <f ca="1">IF($A403-U$3&lt;2,0,OFFSET('FPSO1 Base'!U400,-'FPSO1 Otim'!U$3,0))</f>
        <v>464.07449999999994</v>
      </c>
      <c r="V403" s="19">
        <f ca="1">IF($A403-V$3&lt;2,0,OFFSET('FPSO1 Base'!V400,-'FPSO1 Otim'!V$3,0))</f>
        <v>394.30649999999997</v>
      </c>
      <c r="W403" s="19">
        <f ca="1">IF($A403-W$3&lt;2,0,OFFSET('FPSO1 Base'!W400,-'FPSO1 Otim'!W$3,0))</f>
        <v>185.976</v>
      </c>
      <c r="X403" s="19">
        <f ca="1">IF($A403-X$3&lt;2,0,OFFSET('FPSO1 Base'!X400,-'FPSO1 Otim'!X$3,0))</f>
        <v>496.839</v>
      </c>
      <c r="Y403" s="19">
        <f ca="1">IF($A403-Y$3&lt;2,0,OFFSET('FPSO1 Base'!Y400,-'FPSO1 Otim'!Y$3,0))</f>
        <v>362.68799999999999</v>
      </c>
      <c r="Z403" s="19">
        <f ca="1">IF($A403-Z$3&lt;2,0,OFFSET('FPSO1 Base'!Z400,-'FPSO1 Otim'!Z$3,0))</f>
        <v>193.22550000000001</v>
      </c>
      <c r="AA403" s="20">
        <v>15000</v>
      </c>
      <c r="AB403" s="19">
        <f t="shared" ca="1" si="22"/>
        <v>6047.5327006160915</v>
      </c>
      <c r="AC403" s="20">
        <f t="shared" ca="1" si="23"/>
        <v>8952.4672993839085</v>
      </c>
      <c r="AD403" s="19">
        <f t="shared" ca="1" si="24"/>
        <v>224.25435753191402</v>
      </c>
    </row>
    <row r="404" spans="1:30" x14ac:dyDescent="0.25">
      <c r="A404" s="19">
        <v>400</v>
      </c>
      <c r="B404" s="31">
        <v>57770</v>
      </c>
      <c r="C404" s="19">
        <f ca="1">IF($A404-C$3&lt;2,0,OFFSET('FPSO1 Base'!C401,-'FPSO1 Otim'!C$3,0))</f>
        <v>406.32900000000006</v>
      </c>
      <c r="D404" s="19">
        <f ca="1">IF($A404-D$3&lt;2,0,OFFSET('FPSO1 Base'!D401,-'FPSO1 Otim'!D$3,0))</f>
        <v>63.106791511499999</v>
      </c>
      <c r="E404" s="19">
        <f ca="1">IF($A404-E$3&lt;2,0,OFFSET('FPSO1 Base'!E401,-'FPSO1 Otim'!E$3,0))</f>
        <v>184.72500000000002</v>
      </c>
      <c r="F404" s="19">
        <f ca="1">IF($A404-F$3&lt;2,0,OFFSET('FPSO1 Base'!F401,-'FPSO1 Otim'!F$3,0))</f>
        <v>266.83050000000003</v>
      </c>
      <c r="G404" s="19">
        <f ca="1">IF($A404-G$3&lt;2,0,OFFSET('FPSO1 Base'!G401,-'FPSO1 Otim'!G$3,0))</f>
        <v>100.24349999999998</v>
      </c>
      <c r="H404" s="19">
        <f ca="1">IF($A404-H$3&lt;2,0,OFFSET('FPSO1 Base'!H401,-'FPSO1 Otim'!H$3,0))</f>
        <v>532.86149999999998</v>
      </c>
      <c r="I404" s="19">
        <f ca="1">IF($A404-I$3&lt;2,0,OFFSET('FPSO1 Base'!I401,-'FPSO1 Otim'!I$3,0))</f>
        <v>374.49149999999997</v>
      </c>
      <c r="J404" s="19">
        <f ca="1">IF($A404-J$3&lt;2,0,OFFSET('FPSO1 Base'!J401,-'FPSO1 Otim'!J$3,0))</f>
        <v>191.4195</v>
      </c>
      <c r="K404" s="19">
        <f ca="1">IF($A404-K$3&lt;2,0,OFFSET('FPSO1 Base'!K401,-'FPSO1 Otim'!K$3,0))</f>
        <v>161.541</v>
      </c>
      <c r="L404" s="19">
        <f ca="1">IF($A404-L$3&lt;2,0,OFFSET('FPSO1 Base'!L401,-'FPSO1 Otim'!L$3,0))</f>
        <v>223.69349999999997</v>
      </c>
      <c r="M404" s="19">
        <f ca="1">IF($A404-M$3&lt;2,0,OFFSET('FPSO1 Base'!M401,-'FPSO1 Otim'!M$3,0))</f>
        <v>322.25850000000003</v>
      </c>
      <c r="N404" s="19">
        <f ca="1">IF($A404-N$3&lt;2,0,OFFSET('FPSO1 Base'!N401,-'FPSO1 Otim'!N$3,0))</f>
        <v>6.2692974813608844</v>
      </c>
      <c r="O404" s="19">
        <f ca="1">IF($A404-O$3&lt;2,0,OFFSET('FPSO1 Base'!O401,-'FPSO1 Otim'!O$3,0))</f>
        <v>134.86192594048211</v>
      </c>
      <c r="P404" s="19">
        <f ca="1">IF($A404-P$3&lt;2,0,OFFSET('FPSO1 Base'!P401,-'FPSO1 Otim'!P$3,0))</f>
        <v>35.741759837146205</v>
      </c>
      <c r="Q404" s="19">
        <f ca="1">IF($A404-Q$3&lt;2,0,OFFSET('FPSO1 Base'!Q401,-'FPSO1 Otim'!Q$3,0))</f>
        <v>328.911</v>
      </c>
      <c r="R404" s="19">
        <f ca="1">IF($A404-R$3&lt;2,0,OFFSET('FPSO1 Base'!R401,-'FPSO1 Otim'!R$3,0))</f>
        <v>11.126993839441173</v>
      </c>
      <c r="S404" s="19">
        <f ca="1">IF($A404-S$3&lt;2,0,OFFSET('FPSO1 Base'!S401,-'FPSO1 Otim'!S$3,0))</f>
        <v>257.85449999999997</v>
      </c>
      <c r="T404" s="19">
        <f ca="1">IF($A404-T$3&lt;2,0,OFFSET('FPSO1 Base'!T401,-'FPSO1 Otim'!T$3,0))</f>
        <v>339.70050000000003</v>
      </c>
      <c r="U404" s="19">
        <f ca="1">IF($A404-U$3&lt;2,0,OFFSET('FPSO1 Base'!U401,-'FPSO1 Otim'!U$3,0))</f>
        <v>462.798</v>
      </c>
      <c r="V404" s="19">
        <f ca="1">IF($A404-V$3&lt;2,0,OFFSET('FPSO1 Base'!V401,-'FPSO1 Otim'!V$3,0))</f>
        <v>391.452</v>
      </c>
      <c r="W404" s="19">
        <f ca="1">IF($A404-W$3&lt;2,0,OFFSET('FPSO1 Base'!W401,-'FPSO1 Otim'!W$3,0))</f>
        <v>185.47500000000002</v>
      </c>
      <c r="X404" s="19">
        <f ca="1">IF($A404-X$3&lt;2,0,OFFSET('FPSO1 Base'!X401,-'FPSO1 Otim'!X$3,0))</f>
        <v>495.10650000000004</v>
      </c>
      <c r="Y404" s="19">
        <f ca="1">IF($A404-Y$3&lt;2,0,OFFSET('FPSO1 Base'!Y401,-'FPSO1 Otim'!Y$3,0))</f>
        <v>362.14049999999997</v>
      </c>
      <c r="Z404" s="19">
        <f ca="1">IF($A404-Z$3&lt;2,0,OFFSET('FPSO1 Base'!Z401,-'FPSO1 Otim'!Z$3,0))</f>
        <v>191.976</v>
      </c>
      <c r="AA404" s="20">
        <v>15000</v>
      </c>
      <c r="AB404" s="19">
        <f t="shared" ca="1" si="22"/>
        <v>6030.9142686099303</v>
      </c>
      <c r="AC404" s="20">
        <f t="shared" ca="1" si="23"/>
        <v>8969.0857313900706</v>
      </c>
      <c r="AD404" s="19">
        <f t="shared" ca="1" si="24"/>
        <v>221.78986465135793</v>
      </c>
    </row>
    <row r="405" spans="1:30" x14ac:dyDescent="0.25">
      <c r="A405" s="19">
        <v>401</v>
      </c>
      <c r="B405" s="31">
        <v>57801</v>
      </c>
      <c r="C405" s="19">
        <f ca="1">IF($A405-C$3&lt;2,0,OFFSET('FPSO1 Base'!C402,-'FPSO1 Otim'!C$3,0))</f>
        <v>405.37049999999999</v>
      </c>
      <c r="D405" s="19">
        <f ca="1">IF($A405-D$3&lt;2,0,OFFSET('FPSO1 Base'!D402,-'FPSO1 Otim'!D$3,0))</f>
        <v>62.475723596384995</v>
      </c>
      <c r="E405" s="19">
        <f ca="1">IF($A405-E$3&lt;2,0,OFFSET('FPSO1 Base'!E402,-'FPSO1 Otim'!E$3,0))</f>
        <v>183.8955</v>
      </c>
      <c r="F405" s="19">
        <f ca="1">IF($A405-F$3&lt;2,0,OFFSET('FPSO1 Base'!F402,-'FPSO1 Otim'!F$3,0))</f>
        <v>266.09550000000002</v>
      </c>
      <c r="G405" s="19">
        <f ca="1">IF($A405-G$3&lt;2,0,OFFSET('FPSO1 Base'!G402,-'FPSO1 Otim'!G$3,0))</f>
        <v>100.035</v>
      </c>
      <c r="H405" s="19">
        <f ca="1">IF($A405-H$3&lt;2,0,OFFSET('FPSO1 Base'!H402,-'FPSO1 Otim'!H$3,0))</f>
        <v>532.82549999999992</v>
      </c>
      <c r="I405" s="19">
        <f ca="1">IF($A405-I$3&lt;2,0,OFFSET('FPSO1 Base'!I402,-'FPSO1 Otim'!I$3,0))</f>
        <v>374.298</v>
      </c>
      <c r="J405" s="19">
        <f ca="1">IF($A405-J$3&lt;2,0,OFFSET('FPSO1 Base'!J402,-'FPSO1 Otim'!J$3,0))</f>
        <v>191.12549999999999</v>
      </c>
      <c r="K405" s="19">
        <f ca="1">IF($A405-K$3&lt;2,0,OFFSET('FPSO1 Base'!K402,-'FPSO1 Otim'!K$3,0))</f>
        <v>161.166</v>
      </c>
      <c r="L405" s="19">
        <f ca="1">IF($A405-L$3&lt;2,0,OFFSET('FPSO1 Base'!L402,-'FPSO1 Otim'!L$3,0))</f>
        <v>223.45050000000003</v>
      </c>
      <c r="M405" s="19">
        <f ca="1">IF($A405-M$3&lt;2,0,OFFSET('FPSO1 Base'!M402,-'FPSO1 Otim'!M$3,0))</f>
        <v>321.99149999999997</v>
      </c>
      <c r="N405" s="19">
        <f ca="1">IF($A405-N$3&lt;2,0,OFFSET('FPSO1 Base'!N402,-'FPSO1 Otim'!N$3,0))</f>
        <v>6.2066045065472757</v>
      </c>
      <c r="O405" s="19">
        <f ca="1">IF($A405-O$3&lt;2,0,OFFSET('FPSO1 Base'!O402,-'FPSO1 Otim'!O$3,0))</f>
        <v>133.5133066810773</v>
      </c>
      <c r="P405" s="19">
        <f ca="1">IF($A405-P$3&lt;2,0,OFFSET('FPSO1 Base'!P402,-'FPSO1 Otim'!P$3,0))</f>
        <v>35.384342238774742</v>
      </c>
      <c r="Q405" s="19">
        <f ca="1">IF($A405-Q$3&lt;2,0,OFFSET('FPSO1 Base'!Q402,-'FPSO1 Otim'!Q$3,0))</f>
        <v>328.572</v>
      </c>
      <c r="R405" s="19">
        <f ca="1">IF($A405-R$3&lt;2,0,OFFSET('FPSO1 Base'!R402,-'FPSO1 Otim'!R$3,0))</f>
        <v>11.015723901046762</v>
      </c>
      <c r="S405" s="19">
        <f ca="1">IF($A405-S$3&lt;2,0,OFFSET('FPSO1 Base'!S402,-'FPSO1 Otim'!S$3,0))</f>
        <v>257.90250000000003</v>
      </c>
      <c r="T405" s="19">
        <f ca="1">IF($A405-T$3&lt;2,0,OFFSET('FPSO1 Base'!T402,-'FPSO1 Otim'!T$3,0))</f>
        <v>338.49149999999997</v>
      </c>
      <c r="U405" s="19">
        <f ca="1">IF($A405-U$3&lt;2,0,OFFSET('FPSO1 Base'!U402,-'FPSO1 Otim'!U$3,0))</f>
        <v>461.56499999999994</v>
      </c>
      <c r="V405" s="19">
        <f ca="1">IF($A405-V$3&lt;2,0,OFFSET('FPSO1 Base'!V402,-'FPSO1 Otim'!V$3,0))</f>
        <v>388.13850000000002</v>
      </c>
      <c r="W405" s="19">
        <f ca="1">IF($A405-W$3&lt;2,0,OFFSET('FPSO1 Base'!W402,-'FPSO1 Otim'!W$3,0))</f>
        <v>185.0325</v>
      </c>
      <c r="X405" s="19">
        <f ca="1">IF($A405-X$3&lt;2,0,OFFSET('FPSO1 Base'!X402,-'FPSO1 Otim'!X$3,0))</f>
        <v>493.74149999999997</v>
      </c>
      <c r="Y405" s="19">
        <f ca="1">IF($A405-Y$3&lt;2,0,OFFSET('FPSO1 Base'!Y402,-'FPSO1 Otim'!Y$3,0))</f>
        <v>361.53750000000002</v>
      </c>
      <c r="Z405" s="19">
        <f ca="1">IF($A405-Z$3&lt;2,0,OFFSET('FPSO1 Base'!Z402,-'FPSO1 Otim'!Z$3,0))</f>
        <v>190.7775</v>
      </c>
      <c r="AA405" s="20">
        <v>15000</v>
      </c>
      <c r="AB405" s="19">
        <f t="shared" ca="1" si="22"/>
        <v>6014.6077009238325</v>
      </c>
      <c r="AC405" s="20">
        <f t="shared" ca="1" si="23"/>
        <v>8985.3922990761675</v>
      </c>
      <c r="AD405" s="19">
        <f t="shared" ca="1" si="24"/>
        <v>219.36216449622904</v>
      </c>
    </row>
    <row r="406" spans="1:30" x14ac:dyDescent="0.25">
      <c r="A406" s="19">
        <v>402</v>
      </c>
      <c r="B406" s="31">
        <v>57831</v>
      </c>
      <c r="C406" s="19">
        <f ca="1">IF($A406-C$3&lt;2,0,OFFSET('FPSO1 Base'!C403,-'FPSO1 Otim'!C$3,0))</f>
        <v>404.25</v>
      </c>
      <c r="D406" s="19">
        <f ca="1">IF($A406-D$3&lt;2,0,OFFSET('FPSO1 Base'!D403,-'FPSO1 Otim'!D$3,0))</f>
        <v>61.850966360421147</v>
      </c>
      <c r="E406" s="19">
        <f ca="1">IF($A406-E$3&lt;2,0,OFFSET('FPSO1 Base'!E403,-'FPSO1 Otim'!E$3,0))</f>
        <v>183.024</v>
      </c>
      <c r="F406" s="19">
        <f ca="1">IF($A406-F$3&lt;2,0,OFFSET('FPSO1 Base'!F403,-'FPSO1 Otim'!F$3,0))</f>
        <v>265.524</v>
      </c>
      <c r="G406" s="19">
        <f ca="1">IF($A406-G$3&lt;2,0,OFFSET('FPSO1 Base'!G403,-'FPSO1 Otim'!G$3,0))</f>
        <v>99.81</v>
      </c>
      <c r="H406" s="19">
        <f ca="1">IF($A406-H$3&lt;2,0,OFFSET('FPSO1 Base'!H403,-'FPSO1 Otim'!H$3,0))</f>
        <v>532.75350000000003</v>
      </c>
      <c r="I406" s="19">
        <f ca="1">IF($A406-I$3&lt;2,0,OFFSET('FPSO1 Base'!I403,-'FPSO1 Otim'!I$3,0))</f>
        <v>374.03550000000001</v>
      </c>
      <c r="J406" s="19">
        <f ca="1">IF($A406-J$3&lt;2,0,OFFSET('FPSO1 Base'!J403,-'FPSO1 Otim'!J$3,0))</f>
        <v>190.815</v>
      </c>
      <c r="K406" s="19">
        <f ca="1">IF($A406-K$3&lt;2,0,OFFSET('FPSO1 Base'!K403,-'FPSO1 Otim'!K$3,0))</f>
        <v>160.6875</v>
      </c>
      <c r="L406" s="19">
        <f ca="1">IF($A406-L$3&lt;2,0,OFFSET('FPSO1 Base'!L403,-'FPSO1 Otim'!L$3,0))</f>
        <v>223.23450000000003</v>
      </c>
      <c r="M406" s="19">
        <f ca="1">IF($A406-M$3&lt;2,0,OFFSET('FPSO1 Base'!M403,-'FPSO1 Otim'!M$3,0))</f>
        <v>321.774</v>
      </c>
      <c r="N406" s="19">
        <f ca="1">IF($A406-N$3&lt;2,0,OFFSET('FPSO1 Base'!N403,-'FPSO1 Otim'!N$3,0))</f>
        <v>6.1445384614818028</v>
      </c>
      <c r="O406" s="19">
        <f ca="1">IF($A406-O$3&lt;2,0,OFFSET('FPSO1 Base'!O403,-'FPSO1 Otim'!O$3,0))</f>
        <v>132.17817361426651</v>
      </c>
      <c r="P406" s="19">
        <f ca="1">IF($A406-P$3&lt;2,0,OFFSET('FPSO1 Base'!P403,-'FPSO1 Otim'!P$3,0))</f>
        <v>35.030498816386995</v>
      </c>
      <c r="Q406" s="19">
        <f ca="1">IF($A406-Q$3&lt;2,0,OFFSET('FPSO1 Base'!Q403,-'FPSO1 Otim'!Q$3,0))</f>
        <v>328.20000000000005</v>
      </c>
      <c r="R406" s="19">
        <f ca="1">IF($A406-R$3&lt;2,0,OFFSET('FPSO1 Base'!R403,-'FPSO1 Otim'!R$3,0))</f>
        <v>10.905566662036295</v>
      </c>
      <c r="S406" s="19">
        <f ca="1">IF($A406-S$3&lt;2,0,OFFSET('FPSO1 Base'!S403,-'FPSO1 Otim'!S$3,0))</f>
        <v>258</v>
      </c>
      <c r="T406" s="19">
        <f ca="1">IF($A406-T$3&lt;2,0,OFFSET('FPSO1 Base'!T403,-'FPSO1 Otim'!T$3,0))</f>
        <v>337.30650000000003</v>
      </c>
      <c r="U406" s="19">
        <f ca="1">IF($A406-U$3&lt;2,0,OFFSET('FPSO1 Base'!U403,-'FPSO1 Otim'!U$3,0))</f>
        <v>460.42499999999995</v>
      </c>
      <c r="V406" s="19">
        <f ca="1">IF($A406-V$3&lt;2,0,OFFSET('FPSO1 Base'!V403,-'FPSO1 Otim'!V$3,0))</f>
        <v>386.178</v>
      </c>
      <c r="W406" s="19">
        <f ca="1">IF($A406-W$3&lt;2,0,OFFSET('FPSO1 Base'!W403,-'FPSO1 Otim'!W$3,0))</f>
        <v>184.548</v>
      </c>
      <c r="X406" s="19">
        <f ca="1">IF($A406-X$3&lt;2,0,OFFSET('FPSO1 Base'!X403,-'FPSO1 Otim'!X$3,0))</f>
        <v>492.04950000000002</v>
      </c>
      <c r="Y406" s="19">
        <f ca="1">IF($A406-Y$3&lt;2,0,OFFSET('FPSO1 Base'!Y403,-'FPSO1 Otim'!Y$3,0))</f>
        <v>360.93150000000003</v>
      </c>
      <c r="Z406" s="19">
        <f ca="1">IF($A406-Z$3&lt;2,0,OFFSET('FPSO1 Base'!Z403,-'FPSO1 Otim'!Z$3,0))</f>
        <v>189.40199999999999</v>
      </c>
      <c r="AA406" s="20">
        <v>15000</v>
      </c>
      <c r="AB406" s="19">
        <f t="shared" ca="1" si="22"/>
        <v>5999.0582439145919</v>
      </c>
      <c r="AC406" s="20">
        <f t="shared" ca="1" si="23"/>
        <v>9000.941756085409</v>
      </c>
      <c r="AD406" s="19">
        <f t="shared" ca="1" si="24"/>
        <v>216.98682787586441</v>
      </c>
    </row>
    <row r="407" spans="1:30" x14ac:dyDescent="0.25">
      <c r="A407" s="19">
        <v>403</v>
      </c>
      <c r="B407" s="31">
        <v>57862</v>
      </c>
      <c r="C407" s="19">
        <f ca="1">IF($A407-C$3&lt;2,0,OFFSET('FPSO1 Base'!C404,-'FPSO1 Otim'!C$3,0))</f>
        <v>403.27200000000005</v>
      </c>
      <c r="D407" s="19">
        <f ca="1">IF($A407-D$3&lt;2,0,OFFSET('FPSO1 Base'!D404,-'FPSO1 Otim'!D$3,0))</f>
        <v>61.232456696816932</v>
      </c>
      <c r="E407" s="19">
        <f ca="1">IF($A407-E$3&lt;2,0,OFFSET('FPSO1 Base'!E404,-'FPSO1 Otim'!E$3,0))</f>
        <v>182.14950000000002</v>
      </c>
      <c r="F407" s="19">
        <f ca="1">IF($A407-F$3&lt;2,0,OFFSET('FPSO1 Base'!F404,-'FPSO1 Otim'!F$3,0))</f>
        <v>264.49950000000001</v>
      </c>
      <c r="G407" s="19">
        <f ca="1">IF($A407-G$3&lt;2,0,OFFSET('FPSO1 Base'!G404,-'FPSO1 Otim'!G$3,0))</f>
        <v>99.511499999999984</v>
      </c>
      <c r="H407" s="19">
        <f ca="1">IF($A407-H$3&lt;2,0,OFFSET('FPSO1 Base'!H404,-'FPSO1 Otim'!H$3,0))</f>
        <v>532.74</v>
      </c>
      <c r="I407" s="19">
        <f ca="1">IF($A407-I$3&lt;2,0,OFFSET('FPSO1 Base'!I404,-'FPSO1 Otim'!I$3,0))</f>
        <v>373.863</v>
      </c>
      <c r="J407" s="19">
        <f ca="1">IF($A407-J$3&lt;2,0,OFFSET('FPSO1 Base'!J404,-'FPSO1 Otim'!J$3,0))</f>
        <v>190.572</v>
      </c>
      <c r="K407" s="19">
        <f ca="1">IF($A407-K$3&lt;2,0,OFFSET('FPSO1 Base'!K404,-'FPSO1 Otim'!K$3,0))</f>
        <v>160.3665</v>
      </c>
      <c r="L407" s="19">
        <f ca="1">IF($A407-L$3&lt;2,0,OFFSET('FPSO1 Base'!L404,-'FPSO1 Otim'!L$3,0))</f>
        <v>223.01549999999997</v>
      </c>
      <c r="M407" s="19">
        <f ca="1">IF($A407-M$3&lt;2,0,OFFSET('FPSO1 Base'!M404,-'FPSO1 Otim'!M$3,0))</f>
        <v>321.49950000000001</v>
      </c>
      <c r="N407" s="19">
        <f ca="1">IF($A407-N$3&lt;2,0,OFFSET('FPSO1 Base'!N404,-'FPSO1 Otim'!N$3,0))</f>
        <v>6.0830930768669846</v>
      </c>
      <c r="O407" s="19">
        <f ca="1">IF($A407-O$3&lt;2,0,OFFSET('FPSO1 Base'!O404,-'FPSO1 Otim'!O$3,0))</f>
        <v>130.85639187812384</v>
      </c>
      <c r="P407" s="19">
        <f ca="1">IF($A407-P$3&lt;2,0,OFFSET('FPSO1 Base'!P404,-'FPSO1 Otim'!P$3,0))</f>
        <v>34.680193828223125</v>
      </c>
      <c r="Q407" s="19">
        <f ca="1">IF($A407-Q$3&lt;2,0,OFFSET('FPSO1 Base'!Q404,-'FPSO1 Otim'!Q$3,0))</f>
        <v>327.94349999999997</v>
      </c>
      <c r="R407" s="19">
        <f ca="1">IF($A407-R$3&lt;2,0,OFFSET('FPSO1 Base'!R404,-'FPSO1 Otim'!R$3,0))</f>
        <v>10.796510995415931</v>
      </c>
      <c r="S407" s="19">
        <f ca="1">IF($A407-S$3&lt;2,0,OFFSET('FPSO1 Base'!S404,-'FPSO1 Otim'!S$3,0))</f>
        <v>258.024</v>
      </c>
      <c r="T407" s="19">
        <f ca="1">IF($A407-T$3&lt;2,0,OFFSET('FPSO1 Base'!T404,-'FPSO1 Otim'!T$3,0))</f>
        <v>336.07500000000005</v>
      </c>
      <c r="U407" s="19">
        <f ca="1">IF($A407-U$3&lt;2,0,OFFSET('FPSO1 Base'!U404,-'FPSO1 Otim'!U$3,0))</f>
        <v>459.36300000000006</v>
      </c>
      <c r="V407" s="19">
        <f ca="1">IF($A407-V$3&lt;2,0,OFFSET('FPSO1 Base'!V404,-'FPSO1 Otim'!V$3,0))</f>
        <v>382.84950000000003</v>
      </c>
      <c r="W407" s="19">
        <f ca="1">IF($A407-W$3&lt;2,0,OFFSET('FPSO1 Base'!W404,-'FPSO1 Otim'!W$3,0))</f>
        <v>183.95699999999999</v>
      </c>
      <c r="X407" s="19">
        <f ca="1">IF($A407-X$3&lt;2,0,OFFSET('FPSO1 Base'!X404,-'FPSO1 Otim'!X$3,0))</f>
        <v>490.69350000000003</v>
      </c>
      <c r="Y407" s="19">
        <f ca="1">IF($A407-Y$3&lt;2,0,OFFSET('FPSO1 Base'!Y404,-'FPSO1 Otim'!Y$3,0))</f>
        <v>360.315</v>
      </c>
      <c r="Z407" s="19">
        <f ca="1">IF($A407-Z$3&lt;2,0,OFFSET('FPSO1 Base'!Z404,-'FPSO1 Otim'!Z$3,0))</f>
        <v>188.322</v>
      </c>
      <c r="AA407" s="20">
        <v>15000</v>
      </c>
      <c r="AB407" s="19">
        <f t="shared" ca="1" si="22"/>
        <v>5982.6801464754481</v>
      </c>
      <c r="AC407" s="20">
        <f t="shared" ca="1" si="23"/>
        <v>9017.3198535245519</v>
      </c>
      <c r="AD407" s="19">
        <f t="shared" ca="1" si="24"/>
        <v>214.60604594224773</v>
      </c>
    </row>
    <row r="408" spans="1:30" x14ac:dyDescent="0.25">
      <c r="A408" s="19">
        <v>404</v>
      </c>
      <c r="B408" s="31">
        <v>57892</v>
      </c>
      <c r="C408" s="19">
        <f ca="1">IF($A408-C$3&lt;2,0,OFFSET('FPSO1 Base'!C405,-'FPSO1 Otim'!C$3,0))</f>
        <v>402.17099999999994</v>
      </c>
      <c r="D408" s="19">
        <f ca="1">IF($A408-D$3&lt;2,0,OFFSET('FPSO1 Base'!D405,-'FPSO1 Otim'!D$3,0))</f>
        <v>60.620132129848763</v>
      </c>
      <c r="E408" s="19">
        <f ca="1">IF($A408-E$3&lt;2,0,OFFSET('FPSO1 Base'!E405,-'FPSO1 Otim'!E$3,0))</f>
        <v>181.3545</v>
      </c>
      <c r="F408" s="19">
        <f ca="1">IF($A408-F$3&lt;2,0,OFFSET('FPSO1 Base'!F405,-'FPSO1 Otim'!F$3,0))</f>
        <v>263.685</v>
      </c>
      <c r="G408" s="19">
        <f ca="1">IF($A408-G$3&lt;2,0,OFFSET('FPSO1 Base'!G405,-'FPSO1 Otim'!G$3,0))</f>
        <v>99.254999999999995</v>
      </c>
      <c r="H408" s="19">
        <f ca="1">IF($A408-H$3&lt;2,0,OFFSET('FPSO1 Base'!H405,-'FPSO1 Otim'!H$3,0))</f>
        <v>532.68299999999999</v>
      </c>
      <c r="I408" s="19">
        <f ca="1">IF($A408-I$3&lt;2,0,OFFSET('FPSO1 Base'!I405,-'FPSO1 Otim'!I$3,0))</f>
        <v>373.60050000000001</v>
      </c>
      <c r="J408" s="19">
        <f ca="1">IF($A408-J$3&lt;2,0,OFFSET('FPSO1 Base'!J405,-'FPSO1 Otim'!J$3,0))</f>
        <v>190.2585</v>
      </c>
      <c r="K408" s="19">
        <f ca="1">IF($A408-K$3&lt;2,0,OFFSET('FPSO1 Base'!K405,-'FPSO1 Otim'!K$3,0))</f>
        <v>159.9495</v>
      </c>
      <c r="L408" s="19">
        <f ca="1">IF($A408-L$3&lt;2,0,OFFSET('FPSO1 Base'!L405,-'FPSO1 Otim'!L$3,0))</f>
        <v>222.82500000000002</v>
      </c>
      <c r="M408" s="19">
        <f ca="1">IF($A408-M$3&lt;2,0,OFFSET('FPSO1 Base'!M405,-'FPSO1 Otim'!M$3,0))</f>
        <v>321.24149999999997</v>
      </c>
      <c r="N408" s="19">
        <f ca="1">IF($A408-N$3&lt;2,0,OFFSET('FPSO1 Base'!N405,-'FPSO1 Otim'!N$3,0))</f>
        <v>6.0222621460983143</v>
      </c>
      <c r="O408" s="19">
        <f ca="1">IF($A408-O$3&lt;2,0,OFFSET('FPSO1 Base'!O405,-'FPSO1 Otim'!O$3,0))</f>
        <v>129.54782795934261</v>
      </c>
      <c r="P408" s="19">
        <f ca="1">IF($A408-P$3&lt;2,0,OFFSET('FPSO1 Base'!P405,-'FPSO1 Otim'!P$3,0))</f>
        <v>34.333391889940891</v>
      </c>
      <c r="Q408" s="19">
        <f ca="1">IF($A408-Q$3&lt;2,0,OFFSET('FPSO1 Base'!Q405,-'FPSO1 Otim'!Q$3,0))</f>
        <v>327.62549999999999</v>
      </c>
      <c r="R408" s="19">
        <f ca="1">IF($A408-R$3&lt;2,0,OFFSET('FPSO1 Base'!R405,-'FPSO1 Otim'!R$3,0))</f>
        <v>10.688545885461771</v>
      </c>
      <c r="S408" s="19">
        <f ca="1">IF($A408-S$3&lt;2,0,OFFSET('FPSO1 Base'!S405,-'FPSO1 Otim'!S$3,0))</f>
        <v>258.04949999999997</v>
      </c>
      <c r="T408" s="19">
        <f ca="1">IF($A408-T$3&lt;2,0,OFFSET('FPSO1 Base'!T405,-'FPSO1 Otim'!T$3,0))</f>
        <v>334.98450000000003</v>
      </c>
      <c r="U408" s="19">
        <f ca="1">IF($A408-U$3&lt;2,0,OFFSET('FPSO1 Base'!U405,-'FPSO1 Otim'!U$3,0))</f>
        <v>458.22450000000003</v>
      </c>
      <c r="V408" s="19">
        <f ca="1">IF($A408-V$3&lt;2,0,OFFSET('FPSO1 Base'!V405,-'FPSO1 Otim'!V$3,0))</f>
        <v>380.178</v>
      </c>
      <c r="W408" s="19">
        <f ca="1">IF($A408-W$3&lt;2,0,OFFSET('FPSO1 Base'!W405,-'FPSO1 Otim'!W$3,0))</f>
        <v>183.6045</v>
      </c>
      <c r="X408" s="19">
        <f ca="1">IF($A408-X$3&lt;2,0,OFFSET('FPSO1 Base'!X405,-'FPSO1 Otim'!X$3,0))</f>
        <v>489.19949999999994</v>
      </c>
      <c r="Y408" s="19">
        <f ca="1">IF($A408-Y$3&lt;2,0,OFFSET('FPSO1 Base'!Y405,-'FPSO1 Otim'!Y$3,0))</f>
        <v>359.65049999999997</v>
      </c>
      <c r="Z408" s="19">
        <f ca="1">IF($A408-Z$3&lt;2,0,OFFSET('FPSO1 Base'!Z405,-'FPSO1 Otim'!Z$3,0))</f>
        <v>187.08749999999998</v>
      </c>
      <c r="AA408" s="20">
        <v>15000</v>
      </c>
      <c r="AB408" s="19">
        <f t="shared" ca="1" si="22"/>
        <v>5966.8396600106917</v>
      </c>
      <c r="AC408" s="20">
        <f t="shared" ca="1" si="23"/>
        <v>9033.1603399893083</v>
      </c>
      <c r="AD408" s="19">
        <f t="shared" ca="1" si="24"/>
        <v>212.26892066807395</v>
      </c>
    </row>
    <row r="409" spans="1:30" x14ac:dyDescent="0.25">
      <c r="A409" s="19">
        <v>405</v>
      </c>
      <c r="B409" s="31">
        <v>57923</v>
      </c>
      <c r="C409" s="19">
        <f ca="1">IF($A409-C$3&lt;2,0,OFFSET('FPSO1 Base'!C406,-'FPSO1 Otim'!C$3,0))</f>
        <v>401.13149999999996</v>
      </c>
      <c r="D409" s="19">
        <f ca="1">IF($A409-D$3&lt;2,0,OFFSET('FPSO1 Base'!D406,-'FPSO1 Otim'!D$3,0))</f>
        <v>60.013930808550278</v>
      </c>
      <c r="E409" s="19">
        <f ca="1">IF($A409-E$3&lt;2,0,OFFSET('FPSO1 Base'!E406,-'FPSO1 Otim'!E$3,0))</f>
        <v>180.47549999999998</v>
      </c>
      <c r="F409" s="19">
        <f ca="1">IF($A409-F$3&lt;2,0,OFFSET('FPSO1 Base'!F406,-'FPSO1 Otim'!F$3,0))</f>
        <v>262.77449999999999</v>
      </c>
      <c r="G409" s="19">
        <f ca="1">IF($A409-G$3&lt;2,0,OFFSET('FPSO1 Base'!G406,-'FPSO1 Otim'!G$3,0))</f>
        <v>98.962499999999991</v>
      </c>
      <c r="H409" s="19">
        <f ca="1">IF($A409-H$3&lt;2,0,OFFSET('FPSO1 Base'!H406,-'FPSO1 Otim'!H$3,0))</f>
        <v>532.64099999999996</v>
      </c>
      <c r="I409" s="19">
        <f ca="1">IF($A409-I$3&lt;2,0,OFFSET('FPSO1 Base'!I406,-'FPSO1 Otim'!I$3,0))</f>
        <v>373.37850000000003</v>
      </c>
      <c r="J409" s="19">
        <f ca="1">IF($A409-J$3&lt;2,0,OFFSET('FPSO1 Base'!J406,-'FPSO1 Otim'!J$3,0))</f>
        <v>189.9675</v>
      </c>
      <c r="K409" s="19">
        <f ca="1">IF($A409-K$3&lt;2,0,OFFSET('FPSO1 Base'!K406,-'FPSO1 Otim'!K$3,0))</f>
        <v>159.5445</v>
      </c>
      <c r="L409" s="19">
        <f ca="1">IF($A409-L$3&lt;2,0,OFFSET('FPSO1 Base'!L406,-'FPSO1 Otim'!L$3,0))</f>
        <v>222.5805</v>
      </c>
      <c r="M409" s="19">
        <f ca="1">IF($A409-M$3&lt;2,0,OFFSET('FPSO1 Base'!M406,-'FPSO1 Otim'!M$3,0))</f>
        <v>320.95050000000003</v>
      </c>
      <c r="N409" s="19">
        <f ca="1">IF($A409-N$3&lt;2,0,OFFSET('FPSO1 Base'!N406,-'FPSO1 Otim'!N$3,0))</f>
        <v>5.9620395246373308</v>
      </c>
      <c r="O409" s="19">
        <f ca="1">IF($A409-O$3&lt;2,0,OFFSET('FPSO1 Base'!O406,-'FPSO1 Otim'!O$3,0))</f>
        <v>128.25234967974919</v>
      </c>
      <c r="P409" s="19">
        <f ca="1">IF($A409-P$3&lt;2,0,OFFSET('FPSO1 Base'!P406,-'FPSO1 Otim'!P$3,0))</f>
        <v>33.99005797104148</v>
      </c>
      <c r="Q409" s="19">
        <f ca="1">IF($A409-Q$3&lt;2,0,OFFSET('FPSO1 Base'!Q406,-'FPSO1 Otim'!Q$3,0))</f>
        <v>327.339</v>
      </c>
      <c r="R409" s="19">
        <f ca="1">IF($A409-R$3&lt;2,0,OFFSET('FPSO1 Base'!R406,-'FPSO1 Otim'!R$3,0))</f>
        <v>10.581660426607153</v>
      </c>
      <c r="S409" s="19">
        <f ca="1">IF($A409-S$3&lt;2,0,OFFSET('FPSO1 Base'!S406,-'FPSO1 Otim'!S$3,0))</f>
        <v>258.09749999999997</v>
      </c>
      <c r="T409" s="19">
        <f ca="1">IF($A409-T$3&lt;2,0,OFFSET('FPSO1 Base'!T406,-'FPSO1 Otim'!T$3,0))</f>
        <v>333.75</v>
      </c>
      <c r="U409" s="19">
        <f ca="1">IF($A409-U$3&lt;2,0,OFFSET('FPSO1 Base'!U406,-'FPSO1 Otim'!U$3,0))</f>
        <v>457.161</v>
      </c>
      <c r="V409" s="19">
        <f ca="1">IF($A409-V$3&lt;2,0,OFFSET('FPSO1 Base'!V406,-'FPSO1 Otim'!V$3,0))</f>
        <v>377.4495</v>
      </c>
      <c r="W409" s="19">
        <f ca="1">IF($A409-W$3&lt;2,0,OFFSET('FPSO1 Base'!W406,-'FPSO1 Otim'!W$3,0))</f>
        <v>182.95050000000001</v>
      </c>
      <c r="X409" s="19">
        <f ca="1">IF($A409-X$3&lt;2,0,OFFSET('FPSO1 Base'!X406,-'FPSO1 Otim'!X$3,0))</f>
        <v>487.79100000000005</v>
      </c>
      <c r="Y409" s="19">
        <f ca="1">IF($A409-Y$3&lt;2,0,OFFSET('FPSO1 Base'!Y406,-'FPSO1 Otim'!Y$3,0))</f>
        <v>359.10449999999997</v>
      </c>
      <c r="Z409" s="19">
        <f ca="1">IF($A409-Z$3&lt;2,0,OFFSET('FPSO1 Base'!Z406,-'FPSO1 Otim'!Z$3,0))</f>
        <v>185.94</v>
      </c>
      <c r="AA409" s="20">
        <v>15000</v>
      </c>
      <c r="AB409" s="19">
        <f t="shared" ca="1" si="22"/>
        <v>5950.789538410585</v>
      </c>
      <c r="AC409" s="20">
        <f t="shared" ca="1" si="23"/>
        <v>9049.210461589415</v>
      </c>
      <c r="AD409" s="19">
        <f t="shared" ca="1" si="24"/>
        <v>209.94837159533384</v>
      </c>
    </row>
    <row r="410" spans="1:30" x14ac:dyDescent="0.25">
      <c r="A410" s="19">
        <v>406</v>
      </c>
      <c r="B410" s="31">
        <v>57954</v>
      </c>
      <c r="C410" s="19">
        <f ca="1">IF($A410-C$3&lt;2,0,OFFSET('FPSO1 Base'!C407,-'FPSO1 Otim'!C$3,0))</f>
        <v>400.14600000000002</v>
      </c>
      <c r="D410" s="19">
        <f ca="1">IF($A410-D$3&lt;2,0,OFFSET('FPSO1 Base'!D407,-'FPSO1 Otim'!D$3,0))</f>
        <v>59.413791500464775</v>
      </c>
      <c r="E410" s="19">
        <f ca="1">IF($A410-E$3&lt;2,0,OFFSET('FPSO1 Base'!E407,-'FPSO1 Otim'!E$3,0))</f>
        <v>179.685</v>
      </c>
      <c r="F410" s="19">
        <f ca="1">IF($A410-F$3&lt;2,0,OFFSET('FPSO1 Base'!F407,-'FPSO1 Otim'!F$3,0))</f>
        <v>261.91949999999997</v>
      </c>
      <c r="G410" s="19">
        <f ca="1">IF($A410-G$3&lt;2,0,OFFSET('FPSO1 Base'!G407,-'FPSO1 Otim'!G$3,0))</f>
        <v>98.794499999999999</v>
      </c>
      <c r="H410" s="19">
        <f ca="1">IF($A410-H$3&lt;2,0,OFFSET('FPSO1 Base'!H407,-'FPSO1 Otim'!H$3,0))</f>
        <v>532.63650000000007</v>
      </c>
      <c r="I410" s="19">
        <f ca="1">IF($A410-I$3&lt;2,0,OFFSET('FPSO1 Base'!I407,-'FPSO1 Otim'!I$3,0))</f>
        <v>373.22550000000001</v>
      </c>
      <c r="J410" s="19">
        <f ca="1">IF($A410-J$3&lt;2,0,OFFSET('FPSO1 Base'!J407,-'FPSO1 Otim'!J$3,0))</f>
        <v>189.70050000000001</v>
      </c>
      <c r="K410" s="19">
        <f ca="1">IF($A410-K$3&lt;2,0,OFFSET('FPSO1 Base'!K407,-'FPSO1 Otim'!K$3,0))</f>
        <v>159.11250000000001</v>
      </c>
      <c r="L410" s="19">
        <f ca="1">IF($A410-L$3&lt;2,0,OFFSET('FPSO1 Base'!L407,-'FPSO1 Otim'!L$3,0))</f>
        <v>222.40049999999999</v>
      </c>
      <c r="M410" s="19">
        <f ca="1">IF($A410-M$3&lt;2,0,OFFSET('FPSO1 Base'!M407,-'FPSO1 Otim'!M$3,0))</f>
        <v>320.661</v>
      </c>
      <c r="N410" s="19">
        <f ca="1">IF($A410-N$3&lt;2,0,OFFSET('FPSO1 Base'!N407,-'FPSO1 Otim'!N$3,0))</f>
        <v>5.9024191293909576</v>
      </c>
      <c r="O410" s="19">
        <f ca="1">IF($A410-O$3&lt;2,0,OFFSET('FPSO1 Base'!O407,-'FPSO1 Otim'!O$3,0))</f>
        <v>126.96982618295169</v>
      </c>
      <c r="P410" s="19">
        <f ca="1">IF($A410-P$3&lt;2,0,OFFSET('FPSO1 Base'!P407,-'FPSO1 Otim'!P$3,0))</f>
        <v>33.650157391331064</v>
      </c>
      <c r="Q410" s="19">
        <f ca="1">IF($A410-Q$3&lt;2,0,OFFSET('FPSO1 Base'!Q407,-'FPSO1 Otim'!Q$3,0))</f>
        <v>327.12149999999997</v>
      </c>
      <c r="R410" s="19">
        <f ca="1">IF($A410-R$3&lt;2,0,OFFSET('FPSO1 Base'!R407,-'FPSO1 Otim'!R$3,0))</f>
        <v>10.475843822341082</v>
      </c>
      <c r="S410" s="19">
        <f ca="1">IF($A410-S$3&lt;2,0,OFFSET('FPSO1 Base'!S407,-'FPSO1 Otim'!S$3,0))</f>
        <v>258.12149999999997</v>
      </c>
      <c r="T410" s="19">
        <f ca="1">IF($A410-T$3&lt;2,0,OFFSET('FPSO1 Base'!T407,-'FPSO1 Otim'!T$3,0))</f>
        <v>332.613</v>
      </c>
      <c r="U410" s="19">
        <f ca="1">IF($A410-U$3&lt;2,0,OFFSET('FPSO1 Base'!U407,-'FPSO1 Otim'!U$3,0))</f>
        <v>460.30649999999997</v>
      </c>
      <c r="V410" s="19">
        <f ca="1">IF($A410-V$3&lt;2,0,OFFSET('FPSO1 Base'!V407,-'FPSO1 Otim'!V$3,0))</f>
        <v>374.75850000000003</v>
      </c>
      <c r="W410" s="19">
        <f ca="1">IF($A410-W$3&lt;2,0,OFFSET('FPSO1 Base'!W407,-'FPSO1 Otim'!W$3,0))</f>
        <v>182.4915</v>
      </c>
      <c r="X410" s="19">
        <f ca="1">IF($A410-X$3&lt;2,0,OFFSET('FPSO1 Base'!X407,-'FPSO1 Otim'!X$3,0))</f>
        <v>486.48449999999997</v>
      </c>
      <c r="Y410" s="19">
        <f ca="1">IF($A410-Y$3&lt;2,0,OFFSET('FPSO1 Base'!Y407,-'FPSO1 Otim'!Y$3,0))</f>
        <v>358.53750000000002</v>
      </c>
      <c r="Z410" s="19">
        <f ca="1">IF($A410-Z$3&lt;2,0,OFFSET('FPSO1 Base'!Z407,-'FPSO1 Otim'!Z$3,0))</f>
        <v>184.73699999999999</v>
      </c>
      <c r="AA410" s="20">
        <v>15000</v>
      </c>
      <c r="AB410" s="19">
        <f t="shared" ca="1" si="22"/>
        <v>5939.8650380264799</v>
      </c>
      <c r="AC410" s="20">
        <f t="shared" ca="1" si="23"/>
        <v>9060.1349619735192</v>
      </c>
      <c r="AD410" s="19">
        <f t="shared" ca="1" si="24"/>
        <v>207.83102174879014</v>
      </c>
    </row>
    <row r="411" spans="1:30" x14ac:dyDescent="0.25">
      <c r="A411" s="19">
        <v>407</v>
      </c>
      <c r="B411" s="31">
        <v>57984</v>
      </c>
      <c r="C411" s="19">
        <f ca="1">IF($A411-C$3&lt;2,0,OFFSET('FPSO1 Base'!C408,-'FPSO1 Otim'!C$3,0))</f>
        <v>399.14700000000005</v>
      </c>
      <c r="D411" s="19">
        <f ca="1">IF($A411-D$3&lt;2,0,OFFSET('FPSO1 Base'!D408,-'FPSO1 Otim'!D$3,0))</f>
        <v>58.819653585460124</v>
      </c>
      <c r="E411" s="19">
        <f ca="1">IF($A411-E$3&lt;2,0,OFFSET('FPSO1 Base'!E408,-'FPSO1 Otim'!E$3,0))</f>
        <v>178.476</v>
      </c>
      <c r="F411" s="19">
        <f ca="1">IF($A411-F$3&lt;2,0,OFFSET('FPSO1 Base'!F408,-'FPSO1 Otim'!F$3,0))</f>
        <v>261.048</v>
      </c>
      <c r="G411" s="19">
        <f ca="1">IF($A411-G$3&lt;2,0,OFFSET('FPSO1 Base'!G408,-'FPSO1 Otim'!G$3,0))</f>
        <v>98.410499999999999</v>
      </c>
      <c r="H411" s="19">
        <f ca="1">IF($A411-H$3&lt;2,0,OFFSET('FPSO1 Base'!H408,-'FPSO1 Otim'!H$3,0))</f>
        <v>532.56449999999995</v>
      </c>
      <c r="I411" s="19">
        <f ca="1">IF($A411-I$3&lt;2,0,OFFSET('FPSO1 Base'!I408,-'FPSO1 Otim'!I$3,0))</f>
        <v>372.87149999999997</v>
      </c>
      <c r="J411" s="19">
        <f ca="1">IF($A411-J$3&lt;2,0,OFFSET('FPSO1 Base'!J408,-'FPSO1 Otim'!J$3,0))</f>
        <v>189.411</v>
      </c>
      <c r="K411" s="19">
        <f ca="1">IF($A411-K$3&lt;2,0,OFFSET('FPSO1 Base'!K408,-'FPSO1 Otim'!K$3,0))</f>
        <v>158.685</v>
      </c>
      <c r="L411" s="19">
        <f ca="1">IF($A411-L$3&lt;2,0,OFFSET('FPSO1 Base'!L408,-'FPSO1 Otim'!L$3,0))</f>
        <v>222.14550000000003</v>
      </c>
      <c r="M411" s="19">
        <f ca="1">IF($A411-M$3&lt;2,0,OFFSET('FPSO1 Base'!M408,-'FPSO1 Otim'!M$3,0))</f>
        <v>320.34749999999997</v>
      </c>
      <c r="N411" s="19">
        <f ca="1">IF($A411-N$3&lt;2,0,OFFSET('FPSO1 Base'!N408,-'FPSO1 Otim'!N$3,0))</f>
        <v>5.843394938097048</v>
      </c>
      <c r="O411" s="19">
        <f ca="1">IF($A411-O$3&lt;2,0,OFFSET('FPSO1 Base'!O408,-'FPSO1 Otim'!O$3,0))</f>
        <v>125.70012792112217</v>
      </c>
      <c r="P411" s="19">
        <f ca="1">IF($A411-P$3&lt;2,0,OFFSET('FPSO1 Base'!P408,-'FPSO1 Otim'!P$3,0))</f>
        <v>33.313655817417754</v>
      </c>
      <c r="Q411" s="19">
        <f ca="1">IF($A411-Q$3&lt;2,0,OFFSET('FPSO1 Base'!Q408,-'FPSO1 Otim'!Q$3,0))</f>
        <v>326.8125</v>
      </c>
      <c r="R411" s="19">
        <f ca="1">IF($A411-R$3&lt;2,0,OFFSET('FPSO1 Base'!R408,-'FPSO1 Otim'!R$3,0))</f>
        <v>10.37108538411767</v>
      </c>
      <c r="S411" s="19">
        <f ca="1">IF($A411-S$3&lt;2,0,OFFSET('FPSO1 Base'!S408,-'FPSO1 Otim'!S$3,0))</f>
        <v>258.13350000000003</v>
      </c>
      <c r="T411" s="19">
        <f ca="1">IF($A411-T$3&lt;2,0,OFFSET('FPSO1 Base'!T408,-'FPSO1 Otim'!T$3,0))</f>
        <v>331.548</v>
      </c>
      <c r="U411" s="19">
        <f ca="1">IF($A411-U$3&lt;2,0,OFFSET('FPSO1 Base'!U408,-'FPSO1 Otim'!U$3,0))</f>
        <v>460.01849999999996</v>
      </c>
      <c r="V411" s="19">
        <f ca="1">IF($A411-V$3&lt;2,0,OFFSET('FPSO1 Base'!V408,-'FPSO1 Otim'!V$3,0))</f>
        <v>372.14550000000003</v>
      </c>
      <c r="W411" s="19">
        <f ca="1">IF($A411-W$3&lt;2,0,OFFSET('FPSO1 Base'!W408,-'FPSO1 Otim'!W$3,0))</f>
        <v>181.95</v>
      </c>
      <c r="X411" s="19">
        <f ca="1">IF($A411-X$3&lt;2,0,OFFSET('FPSO1 Base'!X408,-'FPSO1 Otim'!X$3,0))</f>
        <v>485.20049999999998</v>
      </c>
      <c r="Y411" s="19">
        <f ca="1">IF($A411-Y$3&lt;2,0,OFFSET('FPSO1 Base'!Y408,-'FPSO1 Otim'!Y$3,0))</f>
        <v>358.053</v>
      </c>
      <c r="Z411" s="19">
        <f ca="1">IF($A411-Z$3&lt;2,0,OFFSET('FPSO1 Base'!Z408,-'FPSO1 Otim'!Z$3,0))</f>
        <v>183.5925</v>
      </c>
      <c r="AA411" s="20">
        <v>15000</v>
      </c>
      <c r="AB411" s="19">
        <f t="shared" ca="1" si="22"/>
        <v>5924.6084176462136</v>
      </c>
      <c r="AC411" s="20">
        <f t="shared" ca="1" si="23"/>
        <v>9075.3915823537864</v>
      </c>
      <c r="AD411" s="19">
        <f t="shared" ca="1" si="24"/>
        <v>205.58400503227273</v>
      </c>
    </row>
    <row r="412" spans="1:30" x14ac:dyDescent="0.25">
      <c r="A412" s="19">
        <v>408</v>
      </c>
      <c r="B412" s="31">
        <v>58015</v>
      </c>
      <c r="C412" s="19">
        <f ca="1">IF($A412-C$3&lt;2,0,OFFSET('FPSO1 Base'!C409,-'FPSO1 Otim'!C$3,0))</f>
        <v>398.19299999999998</v>
      </c>
      <c r="D412" s="19">
        <f ca="1">IF($A412-D$3&lt;2,0,OFFSET('FPSO1 Base'!D409,-'FPSO1 Otim'!D$3,0))</f>
        <v>58.231457049605524</v>
      </c>
      <c r="E412" s="19">
        <f ca="1">IF($A412-E$3&lt;2,0,OFFSET('FPSO1 Base'!E409,-'FPSO1 Otim'!E$3,0))</f>
        <v>176.91899999999998</v>
      </c>
      <c r="F412" s="19">
        <f ca="1">IF($A412-F$3&lt;2,0,OFFSET('FPSO1 Base'!F409,-'FPSO1 Otim'!F$3,0))</f>
        <v>260.17499999999995</v>
      </c>
      <c r="G412" s="19">
        <f ca="1">IF($A412-G$3&lt;2,0,OFFSET('FPSO1 Base'!G409,-'FPSO1 Otim'!G$3,0))</f>
        <v>98.406000000000006</v>
      </c>
      <c r="H412" s="19">
        <f ca="1">IF($A412-H$3&lt;2,0,OFFSET('FPSO1 Base'!H409,-'FPSO1 Otim'!H$3,0))</f>
        <v>532.52250000000004</v>
      </c>
      <c r="I412" s="19">
        <f ca="1">IF($A412-I$3&lt;2,0,OFFSET('FPSO1 Base'!I409,-'FPSO1 Otim'!I$3,0))</f>
        <v>372.55650000000003</v>
      </c>
      <c r="J412" s="19">
        <f ca="1">IF($A412-J$3&lt;2,0,OFFSET('FPSO1 Base'!J409,-'FPSO1 Otim'!J$3,0))</f>
        <v>189.10049999999998</v>
      </c>
      <c r="K412" s="19">
        <f ca="1">IF($A412-K$3&lt;2,0,OFFSET('FPSO1 Base'!K409,-'FPSO1 Otim'!K$3,0))</f>
        <v>158.202</v>
      </c>
      <c r="L412" s="19">
        <f ca="1">IF($A412-L$3&lt;2,0,OFFSET('FPSO1 Base'!L409,-'FPSO1 Otim'!L$3,0))</f>
        <v>221.928</v>
      </c>
      <c r="M412" s="19">
        <f ca="1">IF($A412-M$3&lt;2,0,OFFSET('FPSO1 Base'!M409,-'FPSO1 Otim'!M$3,0))</f>
        <v>320.02499999999998</v>
      </c>
      <c r="N412" s="19">
        <f ca="1">IF($A412-N$3&lt;2,0,OFFSET('FPSO1 Base'!N409,-'FPSO1 Otim'!N$3,0))</f>
        <v>5.7849609887160778</v>
      </c>
      <c r="O412" s="19">
        <f ca="1">IF($A412-O$3&lt;2,0,OFFSET('FPSO1 Base'!O409,-'FPSO1 Otim'!O$3,0))</f>
        <v>124.44312664191095</v>
      </c>
      <c r="P412" s="19">
        <f ca="1">IF($A412-P$3&lt;2,0,OFFSET('FPSO1 Base'!P409,-'FPSO1 Otim'!P$3,0))</f>
        <v>32.980519259243579</v>
      </c>
      <c r="Q412" s="19">
        <f ca="1">IF($A412-Q$3&lt;2,0,OFFSET('FPSO1 Base'!Q409,-'FPSO1 Otim'!Q$3,0))</f>
        <v>326.613</v>
      </c>
      <c r="R412" s="19">
        <f ca="1">IF($A412-R$3&lt;2,0,OFFSET('FPSO1 Base'!R409,-'FPSO1 Otim'!R$3,0))</f>
        <v>10.267374530276493</v>
      </c>
      <c r="S412" s="19">
        <f ca="1">IF($A412-S$3&lt;2,0,OFFSET('FPSO1 Base'!S409,-'FPSO1 Otim'!S$3,0))</f>
        <v>258.19349999999997</v>
      </c>
      <c r="T412" s="19">
        <f ca="1">IF($A412-T$3&lt;2,0,OFFSET('FPSO1 Base'!T409,-'FPSO1 Otim'!T$3,0))</f>
        <v>330.32100000000003</v>
      </c>
      <c r="U412" s="19">
        <f ca="1">IF($A412-U$3&lt;2,0,OFFSET('FPSO1 Base'!U409,-'FPSO1 Otim'!U$3,0))</f>
        <v>459.48449999999997</v>
      </c>
      <c r="V412" s="19">
        <f ca="1">IF($A412-V$3&lt;2,0,OFFSET('FPSO1 Base'!V409,-'FPSO1 Otim'!V$3,0))</f>
        <v>369.34950000000003</v>
      </c>
      <c r="W412" s="19">
        <f ca="1">IF($A412-W$3&lt;2,0,OFFSET('FPSO1 Base'!W409,-'FPSO1 Otim'!W$3,0))</f>
        <v>181.476</v>
      </c>
      <c r="X412" s="19">
        <f ca="1">IF($A412-X$3&lt;2,0,OFFSET('FPSO1 Base'!X409,-'FPSO1 Otim'!X$3,0))</f>
        <v>483.96749999999997</v>
      </c>
      <c r="Y412" s="19">
        <f ca="1">IF($A412-Y$3&lt;2,0,OFFSET('FPSO1 Base'!Y409,-'FPSO1 Otim'!Y$3,0))</f>
        <v>0</v>
      </c>
      <c r="Z412" s="19">
        <f ca="1">IF($A412-Z$3&lt;2,0,OFFSET('FPSO1 Base'!Z409,-'FPSO1 Otim'!Z$3,0))</f>
        <v>182.4555</v>
      </c>
      <c r="AA412" s="20">
        <v>15000</v>
      </c>
      <c r="AB412" s="19">
        <f t="shared" ca="1" si="22"/>
        <v>5551.5954384697516</v>
      </c>
      <c r="AC412" s="20">
        <f t="shared" ca="1" si="23"/>
        <v>9448.4045615302493</v>
      </c>
      <c r="AD412" s="19">
        <f t="shared" ca="1" si="24"/>
        <v>191.04837897853488</v>
      </c>
    </row>
    <row r="413" spans="1:30" x14ac:dyDescent="0.25">
      <c r="A413" s="19">
        <v>409</v>
      </c>
      <c r="B413" s="31">
        <v>58045</v>
      </c>
      <c r="C413" s="19">
        <f ca="1">IF($A413-C$3&lt;2,0,OFFSET('FPSO1 Base'!C410,-'FPSO1 Otim'!C$3,0))</f>
        <v>397.161</v>
      </c>
      <c r="D413" s="19">
        <f ca="1">IF($A413-D$3&lt;2,0,OFFSET('FPSO1 Base'!D410,-'FPSO1 Otim'!D$3,0))</f>
        <v>57.649142479109472</v>
      </c>
      <c r="E413" s="19">
        <f ca="1">IF($A413-E$3&lt;2,0,OFFSET('FPSO1 Base'!E410,-'FPSO1 Otim'!E$3,0))</f>
        <v>175.7655</v>
      </c>
      <c r="F413" s="19">
        <f ca="1">IF($A413-F$3&lt;2,0,OFFSET('FPSO1 Base'!F410,-'FPSO1 Otim'!F$3,0))</f>
        <v>259.40250000000003</v>
      </c>
      <c r="G413" s="19">
        <f ca="1">IF($A413-G$3&lt;2,0,OFFSET('FPSO1 Base'!G410,-'FPSO1 Otim'!G$3,0))</f>
        <v>98.233500000000006</v>
      </c>
      <c r="H413" s="19">
        <f ca="1">IF($A413-H$3&lt;2,0,OFFSET('FPSO1 Base'!H410,-'FPSO1 Otim'!H$3,0))</f>
        <v>532.51800000000003</v>
      </c>
      <c r="I413" s="19">
        <f ca="1">IF($A413-I$3&lt;2,0,OFFSET('FPSO1 Base'!I410,-'FPSO1 Otim'!I$3,0))</f>
        <v>372.25049999999999</v>
      </c>
      <c r="J413" s="19">
        <f ca="1">IF($A413-J$3&lt;2,0,OFFSET('FPSO1 Base'!J410,-'FPSO1 Otim'!J$3,0))</f>
        <v>188.7825</v>
      </c>
      <c r="K413" s="19">
        <f ca="1">IF($A413-K$3&lt;2,0,OFFSET('FPSO1 Base'!K410,-'FPSO1 Otim'!K$3,0))</f>
        <v>157.512</v>
      </c>
      <c r="L413" s="19">
        <f ca="1">IF($A413-L$3&lt;2,0,OFFSET('FPSO1 Base'!L410,-'FPSO1 Otim'!L$3,0))</f>
        <v>221.715</v>
      </c>
      <c r="M413" s="19">
        <f ca="1">IF($A413-M$3&lt;2,0,OFFSET('FPSO1 Base'!M410,-'FPSO1 Otim'!M$3,0))</f>
        <v>319.71750000000003</v>
      </c>
      <c r="N413" s="19">
        <f ca="1">IF($A413-N$3&lt;2,0,OFFSET('FPSO1 Base'!N410,-'FPSO1 Otim'!N$3,0))</f>
        <v>5.7271113788289165</v>
      </c>
      <c r="O413" s="19">
        <f ca="1">IF($A413-O$3&lt;2,0,OFFSET('FPSO1 Base'!O410,-'FPSO1 Otim'!O$3,0))</f>
        <v>123.19869537549184</v>
      </c>
      <c r="P413" s="19">
        <f ca="1">IF($A413-P$3&lt;2,0,OFFSET('FPSO1 Base'!P410,-'FPSO1 Otim'!P$3,0))</f>
        <v>32.65071406665114</v>
      </c>
      <c r="Q413" s="19">
        <f ca="1">IF($A413-Q$3&lt;2,0,OFFSET('FPSO1 Base'!Q410,-'FPSO1 Otim'!Q$3,0))</f>
        <v>326.39999999999998</v>
      </c>
      <c r="R413" s="19">
        <f ca="1">IF($A413-R$3&lt;2,0,OFFSET('FPSO1 Base'!R410,-'FPSO1 Otim'!R$3,0))</f>
        <v>10.164700784973729</v>
      </c>
      <c r="S413" s="19">
        <f ca="1">IF($A413-S$3&lt;2,0,OFFSET('FPSO1 Base'!S410,-'FPSO1 Otim'!S$3,0))</f>
        <v>258.1755</v>
      </c>
      <c r="T413" s="19">
        <f ca="1">IF($A413-T$3&lt;2,0,OFFSET('FPSO1 Base'!T410,-'FPSO1 Otim'!T$3,0))</f>
        <v>329.298</v>
      </c>
      <c r="U413" s="19">
        <f ca="1">IF($A413-U$3&lt;2,0,OFFSET('FPSO1 Base'!U410,-'FPSO1 Otim'!U$3,0))</f>
        <v>458.84999999999997</v>
      </c>
      <c r="V413" s="19">
        <f ca="1">IF($A413-V$3&lt;2,0,OFFSET('FPSO1 Base'!V410,-'FPSO1 Otim'!V$3,0))</f>
        <v>366.774</v>
      </c>
      <c r="W413" s="19">
        <f ca="1">IF($A413-W$3&lt;2,0,OFFSET('FPSO1 Base'!W410,-'FPSO1 Otim'!W$3,0))</f>
        <v>181.0155</v>
      </c>
      <c r="X413" s="19">
        <f ca="1">IF($A413-X$3&lt;2,0,OFFSET('FPSO1 Base'!X410,-'FPSO1 Otim'!X$3,0))</f>
        <v>482.70000000000005</v>
      </c>
      <c r="Y413" s="19">
        <f ca="1">IF($A413-Y$3&lt;2,0,OFFSET('FPSO1 Base'!Y410,-'FPSO1 Otim'!Y$3,0))</f>
        <v>0</v>
      </c>
      <c r="Z413" s="19">
        <f ca="1">IF($A413-Z$3&lt;2,0,OFFSET('FPSO1 Base'!Z410,-'FPSO1 Otim'!Z$3,0))</f>
        <v>181.27499999999998</v>
      </c>
      <c r="AA413" s="20">
        <v>15000</v>
      </c>
      <c r="AB413" s="19">
        <f t="shared" ca="1" si="22"/>
        <v>5536.9363640850561</v>
      </c>
      <c r="AC413" s="20">
        <f t="shared" ca="1" si="23"/>
        <v>9463.063635914943</v>
      </c>
      <c r="AD413" s="19">
        <f t="shared" ca="1" si="24"/>
        <v>188.96916967204294</v>
      </c>
    </row>
    <row r="414" spans="1:30" x14ac:dyDescent="0.25">
      <c r="A414" s="19">
        <v>410</v>
      </c>
      <c r="B414" s="31">
        <v>58076</v>
      </c>
      <c r="C414" s="19">
        <f ca="1">IF($A414-C$3&lt;2,0,OFFSET('FPSO1 Base'!C411,-'FPSO1 Otim'!C$3,0))</f>
        <v>396.12150000000003</v>
      </c>
      <c r="D414" s="19">
        <f ca="1">IF($A414-D$3&lt;2,0,OFFSET('FPSO1 Base'!D411,-'FPSO1 Otim'!D$3,0))</f>
        <v>57.072651054318378</v>
      </c>
      <c r="E414" s="19">
        <f ca="1">IF($A414-E$3&lt;2,0,OFFSET('FPSO1 Base'!E411,-'FPSO1 Otim'!E$3,0))</f>
        <v>174.45</v>
      </c>
      <c r="F414" s="19">
        <f ca="1">IF($A414-F$3&lt;2,0,OFFSET('FPSO1 Base'!F411,-'FPSO1 Otim'!F$3,0))</f>
        <v>258.47550000000001</v>
      </c>
      <c r="G414" s="19">
        <f ca="1">IF($A414-G$3&lt;2,0,OFFSET('FPSO1 Base'!G411,-'FPSO1 Otim'!G$3,0))</f>
        <v>98.113500000000016</v>
      </c>
      <c r="H414" s="19">
        <f ca="1">IF($A414-H$3&lt;2,0,OFFSET('FPSO1 Base'!H411,-'FPSO1 Otim'!H$3,0))</f>
        <v>532.47</v>
      </c>
      <c r="I414" s="19">
        <f ca="1">IF($A414-I$3&lt;2,0,OFFSET('FPSO1 Base'!I411,-'FPSO1 Otim'!I$3,0))</f>
        <v>371.928</v>
      </c>
      <c r="J414" s="19">
        <f ca="1">IF($A414-J$3&lt;2,0,OFFSET('FPSO1 Base'!J411,-'FPSO1 Otim'!J$3,0))</f>
        <v>188.4915</v>
      </c>
      <c r="K414" s="19">
        <f ca="1">IF($A414-K$3&lt;2,0,OFFSET('FPSO1 Base'!K411,-'FPSO1 Otim'!K$3,0))</f>
        <v>156.8475</v>
      </c>
      <c r="L414" s="19">
        <f ca="1">IF($A414-L$3&lt;2,0,OFFSET('FPSO1 Base'!L411,-'FPSO1 Otim'!L$3,0))</f>
        <v>221.565</v>
      </c>
      <c r="M414" s="19">
        <f ca="1">IF($A414-M$3&lt;2,0,OFFSET('FPSO1 Base'!M411,-'FPSO1 Otim'!M$3,0))</f>
        <v>319.42499999999995</v>
      </c>
      <c r="N414" s="19">
        <f ca="1">IF($A414-N$3&lt;2,0,OFFSET('FPSO1 Base'!N411,-'FPSO1 Otim'!N$3,0))</f>
        <v>5.6698402650406274</v>
      </c>
      <c r="O414" s="19">
        <f ca="1">IF($A414-O$3&lt;2,0,OFFSET('FPSO1 Base'!O411,-'FPSO1 Otim'!O$3,0))</f>
        <v>121.96670842173693</v>
      </c>
      <c r="P414" s="19">
        <f ca="1">IF($A414-P$3&lt;2,0,OFFSET('FPSO1 Base'!P411,-'FPSO1 Otim'!P$3,0))</f>
        <v>32.324206925984626</v>
      </c>
      <c r="Q414" s="19">
        <f ca="1">IF($A414-Q$3&lt;2,0,OFFSET('FPSO1 Base'!Q411,-'FPSO1 Otim'!Q$3,0))</f>
        <v>326.202</v>
      </c>
      <c r="R414" s="19">
        <f ca="1">IF($A414-R$3&lt;2,0,OFFSET('FPSO1 Base'!R411,-'FPSO1 Otim'!R$3,0))</f>
        <v>10.063053777123992</v>
      </c>
      <c r="S414" s="19">
        <f ca="1">IF($A414-S$3&lt;2,0,OFFSET('FPSO1 Base'!S411,-'FPSO1 Otim'!S$3,0))</f>
        <v>258.19349999999997</v>
      </c>
      <c r="T414" s="19">
        <f ca="1">IF($A414-T$3&lt;2,0,OFFSET('FPSO1 Base'!T411,-'FPSO1 Otim'!T$3,0))</f>
        <v>328.15049999999997</v>
      </c>
      <c r="U414" s="19">
        <f ca="1">IF($A414-U$3&lt;2,0,OFFSET('FPSO1 Base'!U411,-'FPSO1 Otim'!U$3,0))</f>
        <v>458.274</v>
      </c>
      <c r="V414" s="19">
        <f ca="1">IF($A414-V$3&lt;2,0,OFFSET('FPSO1 Base'!V411,-'FPSO1 Otim'!V$3,0))</f>
        <v>363.9495</v>
      </c>
      <c r="W414" s="19">
        <f ca="1">IF($A414-W$3&lt;2,0,OFFSET('FPSO1 Base'!W411,-'FPSO1 Otim'!W$3,0))</f>
        <v>180.52499999999998</v>
      </c>
      <c r="X414" s="19">
        <f ca="1">IF($A414-X$3&lt;2,0,OFFSET('FPSO1 Base'!X411,-'FPSO1 Otim'!X$3,0))</f>
        <v>481.452</v>
      </c>
      <c r="Y414" s="19">
        <f ca="1">IF($A414-Y$3&lt;2,0,OFFSET('FPSO1 Base'!Y411,-'FPSO1 Otim'!Y$3,0))</f>
        <v>0</v>
      </c>
      <c r="Z414" s="19">
        <f ca="1">IF($A414-Z$3&lt;2,0,OFFSET('FPSO1 Base'!Z411,-'FPSO1 Otim'!Z$3,0))</f>
        <v>180.2055</v>
      </c>
      <c r="AA414" s="20">
        <v>15000</v>
      </c>
      <c r="AB414" s="19">
        <f t="shared" ca="1" si="22"/>
        <v>5521.9359604442034</v>
      </c>
      <c r="AC414" s="20">
        <f t="shared" ca="1" si="23"/>
        <v>9478.0640395557966</v>
      </c>
      <c r="AD414" s="19">
        <f t="shared" ca="1" si="24"/>
        <v>186.89972570554087</v>
      </c>
    </row>
    <row r="415" spans="1:30" x14ac:dyDescent="0.25">
      <c r="A415" s="19">
        <v>411</v>
      </c>
      <c r="B415" s="31">
        <v>58107</v>
      </c>
      <c r="C415" s="19">
        <f ca="1">IF($A415-C$3&lt;2,0,OFFSET('FPSO1 Base'!C412,-'FPSO1 Otim'!C$3,0))</f>
        <v>395.24549999999999</v>
      </c>
      <c r="D415" s="19">
        <f ca="1">IF($A415-D$3&lt;2,0,OFFSET('FPSO1 Base'!D412,-'FPSO1 Otim'!D$3,0))</f>
        <v>56.501924543775196</v>
      </c>
      <c r="E415" s="19">
        <f ca="1">IF($A415-E$3&lt;2,0,OFFSET('FPSO1 Base'!E412,-'FPSO1 Otim'!E$3,0))</f>
        <v>173.3955</v>
      </c>
      <c r="F415" s="19">
        <f ca="1">IF($A415-F$3&lt;2,0,OFFSET('FPSO1 Base'!F412,-'FPSO1 Otim'!F$3,0))</f>
        <v>257.73450000000003</v>
      </c>
      <c r="G415" s="19">
        <f ca="1">IF($A415-G$3&lt;2,0,OFFSET('FPSO1 Base'!G412,-'FPSO1 Otim'!G$3,0))</f>
        <v>97.902000000000001</v>
      </c>
      <c r="H415" s="19">
        <f ca="1">IF($A415-H$3&lt;2,0,OFFSET('FPSO1 Base'!H412,-'FPSO1 Otim'!H$3,0))</f>
        <v>532.44749999999999</v>
      </c>
      <c r="I415" s="19">
        <f ca="1">IF($A415-I$3&lt;2,0,OFFSET('FPSO1 Base'!I412,-'FPSO1 Otim'!I$3,0))</f>
        <v>371.65049999999997</v>
      </c>
      <c r="J415" s="19">
        <f ca="1">IF($A415-J$3&lt;2,0,OFFSET('FPSO1 Base'!J412,-'FPSO1 Otim'!J$3,0))</f>
        <v>188.14950000000002</v>
      </c>
      <c r="K415" s="19">
        <f ca="1">IF($A415-K$3&lt;2,0,OFFSET('FPSO1 Base'!K412,-'FPSO1 Otim'!K$3,0))</f>
        <v>156.12450000000001</v>
      </c>
      <c r="L415" s="19">
        <f ca="1">IF($A415-L$3&lt;2,0,OFFSET('FPSO1 Base'!L412,-'FPSO1 Otim'!L$3,0))</f>
        <v>221.29949999999997</v>
      </c>
      <c r="M415" s="19">
        <f ca="1">IF($A415-M$3&lt;2,0,OFFSET('FPSO1 Base'!M412,-'FPSO1 Otim'!M$3,0))</f>
        <v>319.161</v>
      </c>
      <c r="N415" s="19">
        <f ca="1">IF($A415-N$3&lt;2,0,OFFSET('FPSO1 Base'!N412,-'FPSO1 Otim'!N$3,0))</f>
        <v>5.6131418623902212</v>
      </c>
      <c r="O415" s="19">
        <f ca="1">IF($A415-O$3&lt;2,0,OFFSET('FPSO1 Base'!O412,-'FPSO1 Otim'!O$3,0))</f>
        <v>120.74704133751955</v>
      </c>
      <c r="P415" s="19">
        <f ca="1">IF($A415-P$3&lt;2,0,OFFSET('FPSO1 Base'!P412,-'FPSO1 Otim'!P$3,0))</f>
        <v>32.000964856724778</v>
      </c>
      <c r="Q415" s="19">
        <f ca="1">IF($A415-Q$3&lt;2,0,OFFSET('FPSO1 Base'!Q412,-'FPSO1 Otim'!Q$3,0))</f>
        <v>326.0505</v>
      </c>
      <c r="R415" s="19">
        <f ca="1">IF($A415-R$3&lt;2,0,OFFSET('FPSO1 Base'!R412,-'FPSO1 Otim'!R$3,0))</f>
        <v>9.9624232393527521</v>
      </c>
      <c r="S415" s="19">
        <f ca="1">IF($A415-S$3&lt;2,0,OFFSET('FPSO1 Base'!S412,-'FPSO1 Otim'!S$3,0))</f>
        <v>258.1755</v>
      </c>
      <c r="T415" s="19">
        <f ca="1">IF($A415-T$3&lt;2,0,OFFSET('FPSO1 Base'!T412,-'FPSO1 Otim'!T$3,0))</f>
        <v>327.09749999999997</v>
      </c>
      <c r="U415" s="19">
        <f ca="1">IF($A415-U$3&lt;2,0,OFFSET('FPSO1 Base'!U412,-'FPSO1 Otim'!U$3,0))</f>
        <v>457.65000000000003</v>
      </c>
      <c r="V415" s="19">
        <f ca="1">IF($A415-V$3&lt;2,0,OFFSET('FPSO1 Base'!V412,-'FPSO1 Otim'!V$3,0))</f>
        <v>360.339</v>
      </c>
      <c r="W415" s="19">
        <f ca="1">IF($A415-W$3&lt;2,0,OFFSET('FPSO1 Base'!W412,-'FPSO1 Otim'!W$3,0))</f>
        <v>180.048</v>
      </c>
      <c r="X415" s="19">
        <f ca="1">IF($A415-X$3&lt;2,0,OFFSET('FPSO1 Base'!X412,-'FPSO1 Otim'!X$3,0))</f>
        <v>480.339</v>
      </c>
      <c r="Y415" s="19">
        <f ca="1">IF($A415-Y$3&lt;2,0,OFFSET('FPSO1 Base'!Y412,-'FPSO1 Otim'!Y$3,0))</f>
        <v>0</v>
      </c>
      <c r="Z415" s="19">
        <f ca="1">IF($A415-Z$3&lt;2,0,OFFSET('FPSO1 Base'!Z412,-'FPSO1 Otim'!Z$3,0))</f>
        <v>179.0505</v>
      </c>
      <c r="AA415" s="20">
        <v>15000</v>
      </c>
      <c r="AB415" s="19">
        <f t="shared" ca="1" si="22"/>
        <v>5506.6854958397616</v>
      </c>
      <c r="AC415" s="20">
        <f t="shared" ca="1" si="23"/>
        <v>9493.3145041602384</v>
      </c>
      <c r="AD415" s="19">
        <f t="shared" ca="1" si="24"/>
        <v>184.84318676704169</v>
      </c>
    </row>
    <row r="416" spans="1:30" x14ac:dyDescent="0.25">
      <c r="A416" s="19">
        <v>412</v>
      </c>
      <c r="B416" s="31">
        <v>58135</v>
      </c>
      <c r="C416" s="19">
        <f ca="1">IF($A416-C$3&lt;2,0,OFFSET('FPSO1 Base'!C413,-'FPSO1 Otim'!C$3,0))</f>
        <v>394.27949999999998</v>
      </c>
      <c r="D416" s="19">
        <f ca="1">IF($A416-D$3&lt;2,0,OFFSET('FPSO1 Base'!D413,-'FPSO1 Otim'!D$3,0))</f>
        <v>55.936905298337443</v>
      </c>
      <c r="E416" s="19">
        <f ca="1">IF($A416-E$3&lt;2,0,OFFSET('FPSO1 Base'!E413,-'FPSO1 Otim'!E$3,0))</f>
        <v>172.35000000000002</v>
      </c>
      <c r="F416" s="19">
        <f ca="1">IF($A416-F$3&lt;2,0,OFFSET('FPSO1 Base'!F413,-'FPSO1 Otim'!F$3,0))</f>
        <v>256.959</v>
      </c>
      <c r="G416" s="19">
        <f ca="1">IF($A416-G$3&lt;2,0,OFFSET('FPSO1 Base'!G413,-'FPSO1 Otim'!G$3,0))</f>
        <v>97.631999999999991</v>
      </c>
      <c r="H416" s="19">
        <f ca="1">IF($A416-H$3&lt;2,0,OFFSET('FPSO1 Base'!H413,-'FPSO1 Otim'!H$3,0))</f>
        <v>532.39800000000002</v>
      </c>
      <c r="I416" s="19">
        <f ca="1">IF($A416-I$3&lt;2,0,OFFSET('FPSO1 Base'!I413,-'FPSO1 Otim'!I$3,0))</f>
        <v>371.274</v>
      </c>
      <c r="J416" s="19">
        <f ca="1">IF($A416-J$3&lt;2,0,OFFSET('FPSO1 Base'!J413,-'FPSO1 Otim'!J$3,0))</f>
        <v>187.887</v>
      </c>
      <c r="K416" s="19">
        <f ca="1">IF($A416-K$3&lt;2,0,OFFSET('FPSO1 Base'!K413,-'FPSO1 Otim'!K$3,0))</f>
        <v>155.4075</v>
      </c>
      <c r="L416" s="19">
        <f ca="1">IF($A416-L$3&lt;2,0,OFFSET('FPSO1 Base'!L413,-'FPSO1 Otim'!L$3,0))</f>
        <v>221.0805</v>
      </c>
      <c r="M416" s="19">
        <f ca="1">IF($A416-M$3&lt;2,0,OFFSET('FPSO1 Base'!M413,-'FPSO1 Otim'!M$3,0))</f>
        <v>318.19349999999997</v>
      </c>
      <c r="N416" s="19">
        <f ca="1">IF($A416-N$3&lt;2,0,OFFSET('FPSO1 Base'!N413,-'FPSO1 Otim'!N$3,0))</f>
        <v>5.5570104437663188</v>
      </c>
      <c r="O416" s="19">
        <f ca="1">IF($A416-O$3&lt;2,0,OFFSET('FPSO1 Base'!O413,-'FPSO1 Otim'!O$3,0))</f>
        <v>119.53957092414436</v>
      </c>
      <c r="P416" s="19">
        <f ca="1">IF($A416-P$3&lt;2,0,OFFSET('FPSO1 Base'!P413,-'FPSO1 Otim'!P$3,0))</f>
        <v>31.680955208157531</v>
      </c>
      <c r="Q416" s="19">
        <f ca="1">IF($A416-Q$3&lt;2,0,OFFSET('FPSO1 Base'!Q413,-'FPSO1 Otim'!Q$3,0))</f>
        <v>325.887</v>
      </c>
      <c r="R416" s="19">
        <f ca="1">IF($A416-R$3&lt;2,0,OFFSET('FPSO1 Base'!R413,-'FPSO1 Otim'!R$3,0))</f>
        <v>9.8627990069592251</v>
      </c>
      <c r="S416" s="19">
        <f ca="1">IF($A416-S$3&lt;2,0,OFFSET('FPSO1 Base'!S413,-'FPSO1 Otim'!S$3,0))</f>
        <v>258.19349999999997</v>
      </c>
      <c r="T416" s="19">
        <f ca="1">IF($A416-T$3&lt;2,0,OFFSET('FPSO1 Base'!T413,-'FPSO1 Otim'!T$3,0))</f>
        <v>325.99950000000001</v>
      </c>
      <c r="U416" s="19">
        <f ca="1">IF($A416-U$3&lt;2,0,OFFSET('FPSO1 Base'!U413,-'FPSO1 Otim'!U$3,0))</f>
        <v>456.96749999999997</v>
      </c>
      <c r="V416" s="19">
        <f ca="1">IF($A416-V$3&lt;2,0,OFFSET('FPSO1 Base'!V413,-'FPSO1 Otim'!V$3,0))</f>
        <v>357.91949999999997</v>
      </c>
      <c r="W416" s="19">
        <f ca="1">IF($A416-W$3&lt;2,0,OFFSET('FPSO1 Base'!W413,-'FPSO1 Otim'!W$3,0))</f>
        <v>179.52450000000002</v>
      </c>
      <c r="X416" s="19">
        <f ca="1">IF($A416-X$3&lt;2,0,OFFSET('FPSO1 Base'!X413,-'FPSO1 Otim'!X$3,0))</f>
        <v>478.98150000000004</v>
      </c>
      <c r="Y416" s="19">
        <f ca="1">IF($A416-Y$3&lt;2,0,OFFSET('FPSO1 Base'!Y413,-'FPSO1 Otim'!Y$3,0))</f>
        <v>0</v>
      </c>
      <c r="Z416" s="19">
        <f ca="1">IF($A416-Z$3&lt;2,0,OFFSET('FPSO1 Base'!Z413,-'FPSO1 Otim'!Z$3,0))</f>
        <v>177.9555</v>
      </c>
      <c r="AA416" s="20">
        <v>15000</v>
      </c>
      <c r="AB416" s="19">
        <f t="shared" ca="1" si="22"/>
        <v>5491.4667408813648</v>
      </c>
      <c r="AC416" s="20">
        <f t="shared" ca="1" si="23"/>
        <v>9508.5332591186343</v>
      </c>
      <c r="AD416" s="19">
        <f t="shared" ca="1" si="24"/>
        <v>182.80893030752773</v>
      </c>
    </row>
    <row r="417" spans="1:30" x14ac:dyDescent="0.25">
      <c r="A417" s="19">
        <v>413</v>
      </c>
      <c r="B417" s="31">
        <v>58166</v>
      </c>
      <c r="C417" s="19">
        <f ca="1">IF($A417-C$3&lt;2,0,OFFSET('FPSO1 Base'!C414,-'FPSO1 Otim'!C$3,0))</f>
        <v>393.26099999999997</v>
      </c>
      <c r="D417" s="19">
        <f ca="1">IF($A417-D$3&lt;2,0,OFFSET('FPSO1 Base'!D414,-'FPSO1 Otim'!D$3,0))</f>
        <v>55.377536245354065</v>
      </c>
      <c r="E417" s="19">
        <f ca="1">IF($A417-E$3&lt;2,0,OFFSET('FPSO1 Base'!E414,-'FPSO1 Otim'!E$3,0))</f>
        <v>171.363</v>
      </c>
      <c r="F417" s="19">
        <f ca="1">IF($A417-F$3&lt;2,0,OFFSET('FPSO1 Base'!F414,-'FPSO1 Otim'!F$3,0))</f>
        <v>256.04399999999998</v>
      </c>
      <c r="G417" s="19">
        <f ca="1">IF($A417-G$3&lt;2,0,OFFSET('FPSO1 Base'!G414,-'FPSO1 Otim'!G$3,0))</f>
        <v>97.636499999999984</v>
      </c>
      <c r="H417" s="19">
        <f ca="1">IF($A417-H$3&lt;2,0,OFFSET('FPSO1 Base'!H414,-'FPSO1 Otim'!H$3,0))</f>
        <v>532.37549999999999</v>
      </c>
      <c r="I417" s="19">
        <f ca="1">IF($A417-I$3&lt;2,0,OFFSET('FPSO1 Base'!I414,-'FPSO1 Otim'!I$3,0))</f>
        <v>370.935</v>
      </c>
      <c r="J417" s="19">
        <f ca="1">IF($A417-J$3&lt;2,0,OFFSET('FPSO1 Base'!J414,-'FPSO1 Otim'!J$3,0))</f>
        <v>187.54949999999999</v>
      </c>
      <c r="K417" s="19">
        <f ca="1">IF($A417-K$3&lt;2,0,OFFSET('FPSO1 Base'!K414,-'FPSO1 Otim'!K$3,0))</f>
        <v>153.85342499999999</v>
      </c>
      <c r="L417" s="19">
        <f ca="1">IF($A417-L$3&lt;2,0,OFFSET('FPSO1 Base'!L414,-'FPSO1 Otim'!L$3,0))</f>
        <v>220.79999999999998</v>
      </c>
      <c r="M417" s="19">
        <f ca="1">IF($A417-M$3&lt;2,0,OFFSET('FPSO1 Base'!M414,-'FPSO1 Otim'!M$3,0))</f>
        <v>318.58949999999999</v>
      </c>
      <c r="N417" s="19">
        <f ca="1">IF($A417-N$3&lt;2,0,OFFSET('FPSO1 Base'!N414,-'FPSO1 Otim'!N$3,0))</f>
        <v>5.5014403393286555</v>
      </c>
      <c r="O417" s="19">
        <f ca="1">IF($A417-O$3&lt;2,0,OFFSET('FPSO1 Base'!O414,-'FPSO1 Otim'!O$3,0))</f>
        <v>118.34417521490292</v>
      </c>
      <c r="P417" s="19">
        <f ca="1">IF($A417-P$3&lt;2,0,OFFSET('FPSO1 Base'!P414,-'FPSO1 Otim'!P$3,0))</f>
        <v>31.364145656075955</v>
      </c>
      <c r="Q417" s="19">
        <f ca="1">IF($A417-Q$3&lt;2,0,OFFSET('FPSO1 Base'!Q414,-'FPSO1 Otim'!Q$3,0))</f>
        <v>325.74149999999997</v>
      </c>
      <c r="R417" s="19">
        <f ca="1">IF($A417-R$3&lt;2,0,OFFSET('FPSO1 Base'!R414,-'FPSO1 Otim'!R$3,0))</f>
        <v>9.7641710168896321</v>
      </c>
      <c r="S417" s="19">
        <f ca="1">IF($A417-S$3&lt;2,0,OFFSET('FPSO1 Base'!S414,-'FPSO1 Otim'!S$3,0))</f>
        <v>258.19349999999997</v>
      </c>
      <c r="T417" s="19">
        <f ca="1">IF($A417-T$3&lt;2,0,OFFSET('FPSO1 Base'!T414,-'FPSO1 Otim'!T$3,0))</f>
        <v>324.94349999999997</v>
      </c>
      <c r="U417" s="19">
        <f ca="1">IF($A417-U$3&lt;2,0,OFFSET('FPSO1 Base'!U414,-'FPSO1 Otim'!U$3,0))</f>
        <v>456.43500000000006</v>
      </c>
      <c r="V417" s="19">
        <f ca="1">IF($A417-V$3&lt;2,0,OFFSET('FPSO1 Base'!V414,-'FPSO1 Otim'!V$3,0))</f>
        <v>355.82100000000003</v>
      </c>
      <c r="W417" s="19">
        <f ca="1">IF($A417-W$3&lt;2,0,OFFSET('FPSO1 Base'!W414,-'FPSO1 Otim'!W$3,0))</f>
        <v>178.887</v>
      </c>
      <c r="X417" s="19">
        <f ca="1">IF($A417-X$3&lt;2,0,OFFSET('FPSO1 Base'!X414,-'FPSO1 Otim'!X$3,0))</f>
        <v>477.91949999999997</v>
      </c>
      <c r="Y417" s="19">
        <f ca="1">IF($A417-Y$3&lt;2,0,OFFSET('FPSO1 Base'!Y414,-'FPSO1 Otim'!Y$3,0))</f>
        <v>0</v>
      </c>
      <c r="Z417" s="19">
        <f ca="1">IF($A417-Z$3&lt;2,0,OFFSET('FPSO1 Base'!Z414,-'FPSO1 Otim'!Z$3,0))</f>
        <v>176.928</v>
      </c>
      <c r="AA417" s="20">
        <v>15000</v>
      </c>
      <c r="AB417" s="19">
        <f t="shared" ca="1" si="22"/>
        <v>5477.6278934725506</v>
      </c>
      <c r="AC417" s="20">
        <f t="shared" ca="1" si="23"/>
        <v>9522.3721065274494</v>
      </c>
      <c r="AD417" s="19">
        <f t="shared" ca="1" si="24"/>
        <v>180.84122986225489</v>
      </c>
    </row>
    <row r="418" spans="1:30" x14ac:dyDescent="0.25">
      <c r="A418" s="19">
        <v>414</v>
      </c>
      <c r="B418" s="31">
        <v>58196</v>
      </c>
      <c r="C418" s="19">
        <f ca="1">IF($A418-C$3&lt;2,0,OFFSET('FPSO1 Base'!C415,-'FPSO1 Otim'!C$3,0))</f>
        <v>392.3895</v>
      </c>
      <c r="D418" s="19">
        <f ca="1">IF($A418-D$3&lt;2,0,OFFSET('FPSO1 Base'!D415,-'FPSO1 Otim'!D$3,0))</f>
        <v>54.823760882900523</v>
      </c>
      <c r="E418" s="19">
        <f ca="1">IF($A418-E$3&lt;2,0,OFFSET('FPSO1 Base'!E415,-'FPSO1 Otim'!E$3,0))</f>
        <v>170.4195</v>
      </c>
      <c r="F418" s="19">
        <f ca="1">IF($A418-F$3&lt;2,0,OFFSET('FPSO1 Base'!F415,-'FPSO1 Otim'!F$3,0))</f>
        <v>255.291</v>
      </c>
      <c r="G418" s="19">
        <f ca="1">IF($A418-G$3&lt;2,0,OFFSET('FPSO1 Base'!G415,-'FPSO1 Otim'!G$3,0))</f>
        <v>97.465500000000006</v>
      </c>
      <c r="H418" s="19">
        <f ca="1">IF($A418-H$3&lt;2,0,OFFSET('FPSO1 Base'!H415,-'FPSO1 Otim'!H$3,0))</f>
        <v>532.35299999999995</v>
      </c>
      <c r="I418" s="19">
        <f ca="1">IF($A418-I$3&lt;2,0,OFFSET('FPSO1 Base'!I415,-'FPSO1 Otim'!I$3,0))</f>
        <v>370.6035</v>
      </c>
      <c r="J418" s="19">
        <f ca="1">IF($A418-J$3&lt;2,0,OFFSET('FPSO1 Base'!J415,-'FPSO1 Otim'!J$3,0))</f>
        <v>187.2345</v>
      </c>
      <c r="K418" s="19">
        <f ca="1">IF($A418-K$3&lt;2,0,OFFSET('FPSO1 Base'!K415,-'FPSO1 Otim'!K$3,0))</f>
        <v>152.31489074999999</v>
      </c>
      <c r="L418" s="19">
        <f ca="1">IF($A418-L$3&lt;2,0,OFFSET('FPSO1 Base'!L415,-'FPSO1 Otim'!L$3,0))</f>
        <v>220.5975</v>
      </c>
      <c r="M418" s="19">
        <f ca="1">IF($A418-M$3&lt;2,0,OFFSET('FPSO1 Base'!M415,-'FPSO1 Otim'!M$3,0))</f>
        <v>319.30650000000003</v>
      </c>
      <c r="N418" s="19">
        <f ca="1">IF($A418-N$3&lt;2,0,OFFSET('FPSO1 Base'!N415,-'FPSO1 Otim'!N$3,0))</f>
        <v>5.4464259359353688</v>
      </c>
      <c r="O418" s="19">
        <f ca="1">IF($A418-O$3&lt;2,0,OFFSET('FPSO1 Base'!O415,-'FPSO1 Otim'!O$3,0))</f>
        <v>117.16073346275388</v>
      </c>
      <c r="P418" s="19">
        <f ca="1">IF($A418-P$3&lt;2,0,OFFSET('FPSO1 Base'!P415,-'FPSO1 Otim'!P$3,0))</f>
        <v>31.050504199515196</v>
      </c>
      <c r="Q418" s="19">
        <f ca="1">IF($A418-Q$3&lt;2,0,OFFSET('FPSO1 Base'!Q415,-'FPSO1 Otim'!Q$3,0))</f>
        <v>325.64999999999998</v>
      </c>
      <c r="R418" s="19">
        <f ca="1">IF($A418-R$3&lt;2,0,OFFSET('FPSO1 Base'!R415,-'FPSO1 Otim'!R$3,0))</f>
        <v>9.6665293067207365</v>
      </c>
      <c r="S418" s="19">
        <f ca="1">IF($A418-S$3&lt;2,0,OFFSET('FPSO1 Base'!S415,-'FPSO1 Otim'!S$3,0))</f>
        <v>258.1755</v>
      </c>
      <c r="T418" s="19">
        <f ca="1">IF($A418-T$3&lt;2,0,OFFSET('FPSO1 Base'!T415,-'FPSO1 Otim'!T$3,0))</f>
        <v>323.90250000000003</v>
      </c>
      <c r="U418" s="19">
        <f ca="1">IF($A418-U$3&lt;2,0,OFFSET('FPSO1 Base'!U415,-'FPSO1 Otim'!U$3,0))</f>
        <v>455.70000000000005</v>
      </c>
      <c r="V418" s="19">
        <f ca="1">IF($A418-V$3&lt;2,0,OFFSET('FPSO1 Base'!V415,-'FPSO1 Otim'!V$3,0))</f>
        <v>354.339</v>
      </c>
      <c r="W418" s="19">
        <f ca="1">IF($A418-W$3&lt;2,0,OFFSET('FPSO1 Base'!W415,-'FPSO1 Otim'!W$3,0))</f>
        <v>178.209</v>
      </c>
      <c r="X418" s="19">
        <f ca="1">IF($A418-X$3&lt;2,0,OFFSET('FPSO1 Base'!X415,-'FPSO1 Otim'!X$3,0))</f>
        <v>476.65049999999997</v>
      </c>
      <c r="Y418" s="19">
        <f ca="1">IF($A418-Y$3&lt;2,0,OFFSET('FPSO1 Base'!Y415,-'FPSO1 Otim'!Y$3,0))</f>
        <v>0</v>
      </c>
      <c r="Z418" s="19">
        <f ca="1">IF($A418-Z$3&lt;2,0,OFFSET('FPSO1 Base'!Z415,-'FPSO1 Otim'!Z$3,0))</f>
        <v>175.72800000000001</v>
      </c>
      <c r="AA418" s="20">
        <v>15000</v>
      </c>
      <c r="AB418" s="19">
        <f t="shared" ca="1" si="22"/>
        <v>5464.4778445378251</v>
      </c>
      <c r="AC418" s="20">
        <f t="shared" ca="1" si="23"/>
        <v>9535.5221554621749</v>
      </c>
      <c r="AD418" s="19">
        <f t="shared" ca="1" si="24"/>
        <v>178.91611970636677</v>
      </c>
    </row>
    <row r="419" spans="1:30" x14ac:dyDescent="0.25">
      <c r="A419" s="19">
        <v>415</v>
      </c>
      <c r="B419" s="31">
        <v>58227</v>
      </c>
      <c r="C419" s="19">
        <f ca="1">IF($A419-C$3&lt;2,0,OFFSET('FPSO1 Base'!C416,-'FPSO1 Otim'!C$3,0))</f>
        <v>391.26</v>
      </c>
      <c r="D419" s="19">
        <f ca="1">IF($A419-D$3&lt;2,0,OFFSET('FPSO1 Base'!D416,-'FPSO1 Otim'!D$3,0))</f>
        <v>54.275523274071517</v>
      </c>
      <c r="E419" s="19">
        <f ca="1">IF($A419-E$3&lt;2,0,OFFSET('FPSO1 Base'!E416,-'FPSO1 Otim'!E$3,0))</f>
        <v>169.42500000000001</v>
      </c>
      <c r="F419" s="19">
        <f ca="1">IF($A419-F$3&lt;2,0,OFFSET('FPSO1 Base'!F416,-'FPSO1 Otim'!F$3,0))</f>
        <v>254.4255</v>
      </c>
      <c r="G419" s="19">
        <f ca="1">IF($A419-G$3&lt;2,0,OFFSET('FPSO1 Base'!G416,-'FPSO1 Otim'!G$3,0))</f>
        <v>97.301999999999992</v>
      </c>
      <c r="H419" s="19">
        <f ca="1">IF($A419-H$3&lt;2,0,OFFSET('FPSO1 Base'!H416,-'FPSO1 Otim'!H$3,0))</f>
        <v>532.32449999999994</v>
      </c>
      <c r="I419" s="19">
        <f ca="1">IF($A419-I$3&lt;2,0,OFFSET('FPSO1 Base'!I416,-'FPSO1 Otim'!I$3,0))</f>
        <v>370.28249999999997</v>
      </c>
      <c r="J419" s="19">
        <f ca="1">IF($A419-J$3&lt;2,0,OFFSET('FPSO1 Base'!J416,-'FPSO1 Otim'!J$3,0))</f>
        <v>186.9435</v>
      </c>
      <c r="K419" s="19">
        <f ca="1">IF($A419-K$3&lt;2,0,OFFSET('FPSO1 Base'!K416,-'FPSO1 Otim'!K$3,0))</f>
        <v>150.79174184249999</v>
      </c>
      <c r="L419" s="19">
        <f ca="1">IF($A419-L$3&lt;2,0,OFFSET('FPSO1 Base'!L416,-'FPSO1 Otim'!L$3,0))</f>
        <v>220.3305</v>
      </c>
      <c r="M419" s="19">
        <f ca="1">IF($A419-M$3&lt;2,0,OFFSET('FPSO1 Base'!M416,-'FPSO1 Otim'!M$3,0))</f>
        <v>320.20050000000003</v>
      </c>
      <c r="N419" s="19">
        <f ca="1">IF($A419-N$3&lt;2,0,OFFSET('FPSO1 Base'!N416,-'FPSO1 Otim'!N$3,0))</f>
        <v>5.391961676576015</v>
      </c>
      <c r="O419" s="19">
        <f ca="1">IF($A419-O$3&lt;2,0,OFFSET('FPSO1 Base'!O416,-'FPSO1 Otim'!O$3,0))</f>
        <v>115.98912612812634</v>
      </c>
      <c r="P419" s="19">
        <f ca="1">IF($A419-P$3&lt;2,0,OFFSET('FPSO1 Base'!P416,-'FPSO1 Otim'!P$3,0))</f>
        <v>30.739999157520042</v>
      </c>
      <c r="Q419" s="19">
        <f ca="1">IF($A419-Q$3&lt;2,0,OFFSET('FPSO1 Base'!Q416,-'FPSO1 Otim'!Q$3,0))</f>
        <v>325.524</v>
      </c>
      <c r="R419" s="19">
        <f ca="1">IF($A419-R$3&lt;2,0,OFFSET('FPSO1 Base'!R416,-'FPSO1 Otim'!R$3,0))</f>
        <v>9.5698640136535289</v>
      </c>
      <c r="S419" s="19">
        <f ca="1">IF($A419-S$3&lt;2,0,OFFSET('FPSO1 Base'!S416,-'FPSO1 Otim'!S$3,0))</f>
        <v>258.16949999999997</v>
      </c>
      <c r="T419" s="19">
        <f ca="1">IF($A419-T$3&lt;2,0,OFFSET('FPSO1 Base'!T416,-'FPSO1 Otim'!T$3,0))</f>
        <v>322.79999999999995</v>
      </c>
      <c r="U419" s="19">
        <f ca="1">IF($A419-U$3&lt;2,0,OFFSET('FPSO1 Base'!U416,-'FPSO1 Otim'!U$3,0))</f>
        <v>455.03250000000003</v>
      </c>
      <c r="V419" s="19">
        <f ca="1">IF($A419-V$3&lt;2,0,OFFSET('FPSO1 Base'!V416,-'FPSO1 Otim'!V$3,0))</f>
        <v>352.65</v>
      </c>
      <c r="W419" s="19">
        <f ca="1">IF($A419-W$3&lt;2,0,OFFSET('FPSO1 Base'!W416,-'FPSO1 Otim'!W$3,0))</f>
        <v>177.48149999999998</v>
      </c>
      <c r="X419" s="19">
        <f ca="1">IF($A419-X$3&lt;2,0,OFFSET('FPSO1 Base'!X416,-'FPSO1 Otim'!X$3,0))</f>
        <v>475.5</v>
      </c>
      <c r="Y419" s="19">
        <f ca="1">IF($A419-Y$3&lt;2,0,OFFSET('FPSO1 Base'!Y416,-'FPSO1 Otim'!Y$3,0))</f>
        <v>0</v>
      </c>
      <c r="Z419" s="19">
        <f ca="1">IF($A419-Z$3&lt;2,0,OFFSET('FPSO1 Base'!Z416,-'FPSO1 Otim'!Z$3,0))</f>
        <v>174.786</v>
      </c>
      <c r="AA419" s="20">
        <v>15000</v>
      </c>
      <c r="AB419" s="19">
        <f t="shared" ca="1" si="22"/>
        <v>5451.1957160924467</v>
      </c>
      <c r="AC419" s="20">
        <f t="shared" ca="1" si="23"/>
        <v>9548.8042839075533</v>
      </c>
      <c r="AD419" s="19">
        <f t="shared" ca="1" si="24"/>
        <v>177.00618908993027</v>
      </c>
    </row>
    <row r="420" spans="1:30" x14ac:dyDescent="0.25">
      <c r="A420" s="19">
        <v>416</v>
      </c>
      <c r="B420" s="31">
        <v>58257</v>
      </c>
      <c r="C420" s="19">
        <f ca="1">IF($A420-C$3&lt;2,0,OFFSET('FPSO1 Base'!C417,-'FPSO1 Otim'!C$3,0))</f>
        <v>390.16800000000001</v>
      </c>
      <c r="D420" s="19">
        <f ca="1">IF($A420-D$3&lt;2,0,OFFSET('FPSO1 Base'!D417,-'FPSO1 Otim'!D$3,0))</f>
        <v>53.7327680413308</v>
      </c>
      <c r="E420" s="19">
        <f ca="1">IF($A420-E$3&lt;2,0,OFFSET('FPSO1 Base'!E417,-'FPSO1 Otim'!E$3,0))</f>
        <v>168.6045</v>
      </c>
      <c r="F420" s="19">
        <f ca="1">IF($A420-F$3&lt;2,0,OFFSET('FPSO1 Base'!F417,-'FPSO1 Otim'!F$3,0))</f>
        <v>253.5975</v>
      </c>
      <c r="G420" s="19">
        <f ca="1">IF($A420-G$3&lt;2,0,OFFSET('FPSO1 Base'!G417,-'FPSO1 Otim'!G$3,0))</f>
        <v>96.328979999999987</v>
      </c>
      <c r="H420" s="19">
        <f ca="1">IF($A420-H$3&lt;2,0,OFFSET('FPSO1 Base'!H417,-'FPSO1 Otim'!H$3,0))</f>
        <v>532.30500000000006</v>
      </c>
      <c r="I420" s="19">
        <f ca="1">IF($A420-I$3&lt;2,0,OFFSET('FPSO1 Base'!I417,-'FPSO1 Otim'!I$3,0))</f>
        <v>369.87450000000001</v>
      </c>
      <c r="J420" s="19">
        <f ca="1">IF($A420-J$3&lt;2,0,OFFSET('FPSO1 Base'!J417,-'FPSO1 Otim'!J$3,0))</f>
        <v>186.59550000000002</v>
      </c>
      <c r="K420" s="19">
        <f ca="1">IF($A420-K$3&lt;2,0,OFFSET('FPSO1 Base'!K417,-'FPSO1 Otim'!K$3,0))</f>
        <v>149.28382442407499</v>
      </c>
      <c r="L420" s="19">
        <f ca="1">IF($A420-L$3&lt;2,0,OFFSET('FPSO1 Base'!L417,-'FPSO1 Otim'!L$3,0))</f>
        <v>220.15049999999999</v>
      </c>
      <c r="M420" s="19">
        <f ca="1">IF($A420-M$3&lt;2,0,OFFSET('FPSO1 Base'!M417,-'FPSO1 Otim'!M$3,0))</f>
        <v>320.87850000000003</v>
      </c>
      <c r="N420" s="19">
        <f ca="1">IF($A420-N$3&lt;2,0,OFFSET('FPSO1 Base'!N417,-'FPSO1 Otim'!N$3,0))</f>
        <v>5.3380420598102551</v>
      </c>
      <c r="O420" s="19">
        <f ca="1">IF($A420-O$3&lt;2,0,OFFSET('FPSO1 Base'!O417,-'FPSO1 Otim'!O$3,0))</f>
        <v>114.82923486684508</v>
      </c>
      <c r="P420" s="19">
        <f ca="1">IF($A420-P$3&lt;2,0,OFFSET('FPSO1 Base'!P417,-'FPSO1 Otim'!P$3,0))</f>
        <v>30.432599165944843</v>
      </c>
      <c r="Q420" s="19">
        <f ca="1">IF($A420-Q$3&lt;2,0,OFFSET('FPSO1 Base'!Q417,-'FPSO1 Otim'!Q$3,0))</f>
        <v>325.42499999999995</v>
      </c>
      <c r="R420" s="19">
        <f ca="1">IF($A420-R$3&lt;2,0,OFFSET('FPSO1 Base'!R417,-'FPSO1 Otim'!R$3,0))</f>
        <v>9.4741653735169944</v>
      </c>
      <c r="S420" s="19">
        <f ca="1">IF($A420-S$3&lt;2,0,OFFSET('FPSO1 Base'!S417,-'FPSO1 Otim'!S$3,0))</f>
        <v>258.12450000000001</v>
      </c>
      <c r="T420" s="19">
        <f ca="1">IF($A420-T$3&lt;2,0,OFFSET('FPSO1 Base'!T417,-'FPSO1 Otim'!T$3,0))</f>
        <v>321.822</v>
      </c>
      <c r="U420" s="19">
        <f ca="1">IF($A420-U$3&lt;2,0,OFFSET('FPSO1 Base'!U417,-'FPSO1 Otim'!U$3,0))</f>
        <v>454.39949999999999</v>
      </c>
      <c r="V420" s="19">
        <f ca="1">IF($A420-V$3&lt;2,0,OFFSET('FPSO1 Base'!V417,-'FPSO1 Otim'!V$3,0))</f>
        <v>351.24149999999997</v>
      </c>
      <c r="W420" s="19">
        <f ca="1">IF($A420-W$3&lt;2,0,OFFSET('FPSO1 Base'!W417,-'FPSO1 Otim'!W$3,0))</f>
        <v>176.952</v>
      </c>
      <c r="X420" s="19">
        <f ca="1">IF($A420-X$3&lt;2,0,OFFSET('FPSO1 Base'!X417,-'FPSO1 Otim'!X$3,0))</f>
        <v>474.19949999999994</v>
      </c>
      <c r="Y420" s="19">
        <f ca="1">IF($A420-Y$3&lt;2,0,OFFSET('FPSO1 Base'!Y417,-'FPSO1 Otim'!Y$3,0))</f>
        <v>0</v>
      </c>
      <c r="Z420" s="19">
        <f ca="1">IF($A420-Z$3&lt;2,0,OFFSET('FPSO1 Base'!Z417,-'FPSO1 Otim'!Z$3,0))</f>
        <v>173.7</v>
      </c>
      <c r="AA420" s="20">
        <v>15000</v>
      </c>
      <c r="AB420" s="19">
        <f t="shared" ca="1" si="22"/>
        <v>5437.4576139315222</v>
      </c>
      <c r="AC420" s="20">
        <f t="shared" ca="1" si="23"/>
        <v>9562.5423860684787</v>
      </c>
      <c r="AD420" s="19">
        <f t="shared" ca="1" si="24"/>
        <v>175.10092376909631</v>
      </c>
    </row>
    <row r="421" spans="1:30" x14ac:dyDescent="0.25">
      <c r="A421" s="19">
        <v>417</v>
      </c>
      <c r="B421" s="31">
        <v>58288</v>
      </c>
      <c r="C421" s="19">
        <f ca="1">IF($A421-C$3&lt;2,0,OFFSET('FPSO1 Base'!C418,-'FPSO1 Otim'!C$3,0))</f>
        <v>389.03399999999999</v>
      </c>
      <c r="D421" s="19">
        <f ca="1">IF($A421-D$3&lt;2,0,OFFSET('FPSO1 Base'!D418,-'FPSO1 Otim'!D$3,0))</f>
        <v>53.195440360917495</v>
      </c>
      <c r="E421" s="19">
        <f ca="1">IF($A421-E$3&lt;2,0,OFFSET('FPSO1 Base'!E418,-'FPSO1 Otim'!E$3,0))</f>
        <v>167.625</v>
      </c>
      <c r="F421" s="19">
        <f ca="1">IF($A421-F$3&lt;2,0,OFFSET('FPSO1 Base'!F418,-'FPSO1 Otim'!F$3,0))</f>
        <v>252.72450000000001</v>
      </c>
      <c r="G421" s="19">
        <f ca="1">IF($A421-G$3&lt;2,0,OFFSET('FPSO1 Base'!G418,-'FPSO1 Otim'!G$3,0))</f>
        <v>95.365690199999989</v>
      </c>
      <c r="H421" s="19">
        <f ca="1">IF($A421-H$3&lt;2,0,OFFSET('FPSO1 Base'!H418,-'FPSO1 Otim'!H$3,0))</f>
        <v>532.27500000000009</v>
      </c>
      <c r="I421" s="19">
        <f ca="1">IF($A421-I$3&lt;2,0,OFFSET('FPSO1 Base'!I418,-'FPSO1 Otim'!I$3,0))</f>
        <v>369.55650000000003</v>
      </c>
      <c r="J421" s="19">
        <f ca="1">IF($A421-J$3&lt;2,0,OFFSET('FPSO1 Base'!J418,-'FPSO1 Otim'!J$3,0))</f>
        <v>186.291</v>
      </c>
      <c r="K421" s="19">
        <f ca="1">IF($A421-K$3&lt;2,0,OFFSET('FPSO1 Base'!K418,-'FPSO1 Otim'!K$3,0))</f>
        <v>147.79098617983425</v>
      </c>
      <c r="L421" s="19">
        <f ca="1">IF($A421-L$3&lt;2,0,OFFSET('FPSO1 Base'!L418,-'FPSO1 Otim'!L$3,0))</f>
        <v>219.89550000000003</v>
      </c>
      <c r="M421" s="19">
        <f ca="1">IF($A421-M$3&lt;2,0,OFFSET('FPSO1 Base'!M418,-'FPSO1 Otim'!M$3,0))</f>
        <v>321.5505</v>
      </c>
      <c r="N421" s="19">
        <f ca="1">IF($A421-N$3&lt;2,0,OFFSET('FPSO1 Base'!N418,-'FPSO1 Otim'!N$3,0))</f>
        <v>5.2846616392121524</v>
      </c>
      <c r="O421" s="19">
        <f ca="1">IF($A421-O$3&lt;2,0,OFFSET('FPSO1 Base'!O418,-'FPSO1 Otim'!O$3,0))</f>
        <v>113.68094251817664</v>
      </c>
      <c r="P421" s="19">
        <f ca="1">IF($A421-P$3&lt;2,0,OFFSET('FPSO1 Base'!P418,-'FPSO1 Otim'!P$3,0))</f>
        <v>30.128273174285393</v>
      </c>
      <c r="Q421" s="19">
        <f ca="1">IF($A421-Q$3&lt;2,0,OFFSET('FPSO1 Base'!Q418,-'FPSO1 Otim'!Q$3,0))</f>
        <v>325.33050000000003</v>
      </c>
      <c r="R421" s="19">
        <f ca="1">IF($A421-R$3&lt;2,0,OFFSET('FPSO1 Base'!R418,-'FPSO1 Otim'!R$3,0))</f>
        <v>9.3794237197818244</v>
      </c>
      <c r="S421" s="19">
        <f ca="1">IF($A421-S$3&lt;2,0,OFFSET('FPSO1 Base'!S418,-'FPSO1 Otim'!S$3,0))</f>
        <v>258.12149999999997</v>
      </c>
      <c r="T421" s="19">
        <f ca="1">IF($A421-T$3&lt;2,0,OFFSET('FPSO1 Base'!T418,-'FPSO1 Otim'!T$3,0))</f>
        <v>320.74950000000001</v>
      </c>
      <c r="U421" s="19">
        <f ca="1">IF($A421-U$3&lt;2,0,OFFSET('FPSO1 Base'!U418,-'FPSO1 Otim'!U$3,0))</f>
        <v>453.822</v>
      </c>
      <c r="V421" s="19">
        <f ca="1">IF($A421-V$3&lt;2,0,OFFSET('FPSO1 Base'!V418,-'FPSO1 Otim'!V$3,0))</f>
        <v>349.84950000000003</v>
      </c>
      <c r="W421" s="19">
        <f ca="1">IF($A421-W$3&lt;2,0,OFFSET('FPSO1 Base'!W418,-'FPSO1 Otim'!W$3,0))</f>
        <v>176.39999999999998</v>
      </c>
      <c r="X421" s="19">
        <f ca="1">IF($A421-X$3&lt;2,0,OFFSET('FPSO1 Base'!X418,-'FPSO1 Otim'!X$3,0))</f>
        <v>473.03250000000003</v>
      </c>
      <c r="Y421" s="19">
        <f ca="1">IF($A421-Y$3&lt;2,0,OFFSET('FPSO1 Base'!Y418,-'FPSO1 Otim'!Y$3,0))</f>
        <v>0</v>
      </c>
      <c r="Z421" s="19">
        <f ca="1">IF($A421-Z$3&lt;2,0,OFFSET('FPSO1 Base'!Z418,-'FPSO1 Otim'!Z$3,0))</f>
        <v>172.6935</v>
      </c>
      <c r="AA421" s="20">
        <v>15000</v>
      </c>
      <c r="AB421" s="19">
        <f t="shared" ca="1" si="22"/>
        <v>5423.7764177922081</v>
      </c>
      <c r="AC421" s="20">
        <f t="shared" ca="1" si="23"/>
        <v>9576.2235822077928</v>
      </c>
      <c r="AD421" s="19">
        <f t="shared" ca="1" si="24"/>
        <v>173.21687805995515</v>
      </c>
    </row>
    <row r="422" spans="1:30" x14ac:dyDescent="0.25">
      <c r="A422" s="19">
        <v>418</v>
      </c>
      <c r="B422" s="31">
        <v>58319</v>
      </c>
      <c r="C422" s="19">
        <f ca="1">IF($A422-C$3&lt;2,0,OFFSET('FPSO1 Base'!C419,-'FPSO1 Otim'!C$3,0))</f>
        <v>387.98849999999999</v>
      </c>
      <c r="D422" s="19">
        <f ca="1">IF($A422-D$3&lt;2,0,OFFSET('FPSO1 Base'!D419,-'FPSO1 Otim'!D$3,0))</f>
        <v>52.663485957308318</v>
      </c>
      <c r="E422" s="19">
        <f ca="1">IF($A422-E$3&lt;2,0,OFFSET('FPSO1 Base'!E419,-'FPSO1 Otim'!E$3,0))</f>
        <v>166.7175</v>
      </c>
      <c r="F422" s="19">
        <f ca="1">IF($A422-F$3&lt;2,0,OFFSET('FPSO1 Base'!F419,-'FPSO1 Otim'!F$3,0))</f>
        <v>251.952</v>
      </c>
      <c r="G422" s="19">
        <f ca="1">IF($A422-G$3&lt;2,0,OFFSET('FPSO1 Base'!G419,-'FPSO1 Otim'!G$3,0))</f>
        <v>94.412033297999983</v>
      </c>
      <c r="H422" s="19">
        <f ca="1">IF($A422-H$3&lt;2,0,OFFSET('FPSO1 Base'!H419,-'FPSO1 Otim'!H$3,0))</f>
        <v>532.23450000000003</v>
      </c>
      <c r="I422" s="19">
        <f ca="1">IF($A422-I$3&lt;2,0,OFFSET('FPSO1 Base'!I419,-'FPSO1 Otim'!I$3,0))</f>
        <v>369.15</v>
      </c>
      <c r="J422" s="19">
        <f ca="1">IF($A422-J$3&lt;2,0,OFFSET('FPSO1 Base'!J419,-'FPSO1 Otim'!J$3,0))</f>
        <v>185.97450000000001</v>
      </c>
      <c r="K422" s="19">
        <f ca="1">IF($A422-K$3&lt;2,0,OFFSET('FPSO1 Base'!K419,-'FPSO1 Otim'!K$3,0))</f>
        <v>146.31307631803591</v>
      </c>
      <c r="L422" s="19">
        <f ca="1">IF($A422-L$3&lt;2,0,OFFSET('FPSO1 Base'!L419,-'FPSO1 Otim'!L$3,0))</f>
        <v>219.62549999999999</v>
      </c>
      <c r="M422" s="19">
        <f ca="1">IF($A422-M$3&lt;2,0,OFFSET('FPSO1 Base'!M419,-'FPSO1 Otim'!M$3,0))</f>
        <v>321.99149999999997</v>
      </c>
      <c r="N422" s="19">
        <f ca="1">IF($A422-N$3&lt;2,0,OFFSET('FPSO1 Base'!N419,-'FPSO1 Otim'!N$3,0))</f>
        <v>5.2318150228200304</v>
      </c>
      <c r="O422" s="19">
        <f ca="1">IF($A422-O$3&lt;2,0,OFFSET('FPSO1 Base'!O419,-'FPSO1 Otim'!O$3,0))</f>
        <v>112.54413309299487</v>
      </c>
      <c r="P422" s="19">
        <f ca="1">IF($A422-P$3&lt;2,0,OFFSET('FPSO1 Base'!P419,-'FPSO1 Otim'!P$3,0))</f>
        <v>29.826990442542538</v>
      </c>
      <c r="Q422" s="19">
        <f ca="1">IF($A422-Q$3&lt;2,0,OFFSET('FPSO1 Base'!Q419,-'FPSO1 Otim'!Q$3,0))</f>
        <v>325.28249999999997</v>
      </c>
      <c r="R422" s="19">
        <f ca="1">IF($A422-R$3&lt;2,0,OFFSET('FPSO1 Base'!R419,-'FPSO1 Otim'!R$3,0))</f>
        <v>9.2856294825840067</v>
      </c>
      <c r="S422" s="19">
        <f ca="1">IF($A422-S$3&lt;2,0,OFFSET('FPSO1 Base'!S419,-'FPSO1 Otim'!S$3,0))</f>
        <v>258.048</v>
      </c>
      <c r="T422" s="19">
        <f ca="1">IF($A422-T$3&lt;2,0,OFFSET('FPSO1 Base'!T419,-'FPSO1 Otim'!T$3,0))</f>
        <v>319.76549999999997</v>
      </c>
      <c r="U422" s="19">
        <f ca="1">IF($A422-U$3&lt;2,0,OFFSET('FPSO1 Base'!U419,-'FPSO1 Otim'!U$3,0))</f>
        <v>453.14549999999997</v>
      </c>
      <c r="V422" s="19">
        <f ca="1">IF($A422-V$3&lt;2,0,OFFSET('FPSO1 Base'!V419,-'FPSO1 Otim'!V$3,0))</f>
        <v>348.53249999999997</v>
      </c>
      <c r="W422" s="19">
        <f ca="1">IF($A422-W$3&lt;2,0,OFFSET('FPSO1 Base'!W419,-'FPSO1 Otim'!W$3,0))</f>
        <v>175.863</v>
      </c>
      <c r="X422" s="19">
        <f ca="1">IF($A422-X$3&lt;2,0,OFFSET('FPSO1 Base'!X419,-'FPSO1 Otim'!X$3,0))</f>
        <v>471.822</v>
      </c>
      <c r="Y422" s="19">
        <f ca="1">IF($A422-Y$3&lt;2,0,OFFSET('FPSO1 Base'!Y419,-'FPSO1 Otim'!Y$3,0))</f>
        <v>0</v>
      </c>
      <c r="Z422" s="19">
        <f ca="1">IF($A422-Z$3&lt;2,0,OFFSET('FPSO1 Base'!Z419,-'FPSO1 Otim'!Z$3,0))</f>
        <v>171.64950000000002</v>
      </c>
      <c r="AA422" s="20">
        <v>15000</v>
      </c>
      <c r="AB422" s="19">
        <f t="shared" ca="1" si="22"/>
        <v>5410.0196636142873</v>
      </c>
      <c r="AC422" s="20">
        <f t="shared" ca="1" si="23"/>
        <v>9589.9803363857136</v>
      </c>
      <c r="AD422" s="19">
        <f t="shared" ca="1" si="24"/>
        <v>171.34962085073212</v>
      </c>
    </row>
    <row r="423" spans="1:30" x14ac:dyDescent="0.25">
      <c r="A423" s="19">
        <v>419</v>
      </c>
      <c r="B423" s="31">
        <v>58349</v>
      </c>
      <c r="C423" s="19">
        <f ca="1">IF($A423-C$3&lt;2,0,OFFSET('FPSO1 Base'!C420,-'FPSO1 Otim'!C$3,0))</f>
        <v>386.8605</v>
      </c>
      <c r="D423" s="19">
        <f ca="1">IF($A423-D$3&lt;2,0,OFFSET('FPSO1 Base'!D420,-'FPSO1 Otim'!D$3,0))</f>
        <v>52.136851097735232</v>
      </c>
      <c r="E423" s="19">
        <f ca="1">IF($A423-E$3&lt;2,0,OFFSET('FPSO1 Base'!E420,-'FPSO1 Otim'!E$3,0))</f>
        <v>169.6935</v>
      </c>
      <c r="F423" s="19">
        <f ca="1">IF($A423-F$3&lt;2,0,OFFSET('FPSO1 Base'!F420,-'FPSO1 Otim'!F$3,0))</f>
        <v>251.12850000000003</v>
      </c>
      <c r="G423" s="19">
        <f ca="1">IF($A423-G$3&lt;2,0,OFFSET('FPSO1 Base'!G420,-'FPSO1 Otim'!G$3,0))</f>
        <v>93.467912965019977</v>
      </c>
      <c r="H423" s="19">
        <f ca="1">IF($A423-H$3&lt;2,0,OFFSET('FPSO1 Base'!H420,-'FPSO1 Otim'!H$3,0))</f>
        <v>532.23450000000003</v>
      </c>
      <c r="I423" s="19">
        <f ca="1">IF($A423-I$3&lt;2,0,OFFSET('FPSO1 Base'!I420,-'FPSO1 Otim'!I$3,0))</f>
        <v>368.83050000000003</v>
      </c>
      <c r="J423" s="19">
        <f ca="1">IF($A423-J$3&lt;2,0,OFFSET('FPSO1 Base'!J420,-'FPSO1 Otim'!J$3,0))</f>
        <v>185.661</v>
      </c>
      <c r="K423" s="19">
        <f ca="1">IF($A423-K$3&lt;2,0,OFFSET('FPSO1 Base'!K420,-'FPSO1 Otim'!K$3,0))</f>
        <v>144.84994555485554</v>
      </c>
      <c r="L423" s="19">
        <f ca="1">IF($A423-L$3&lt;2,0,OFFSET('FPSO1 Base'!L420,-'FPSO1 Otim'!L$3,0))</f>
        <v>219.459</v>
      </c>
      <c r="M423" s="19">
        <f ca="1">IF($A423-M$3&lt;2,0,OFFSET('FPSO1 Base'!M420,-'FPSO1 Otim'!M$3,0))</f>
        <v>322.428</v>
      </c>
      <c r="N423" s="19">
        <f ca="1">IF($A423-N$3&lt;2,0,OFFSET('FPSO1 Base'!N420,-'FPSO1 Otim'!N$3,0))</f>
        <v>5.1794968725918302</v>
      </c>
      <c r="O423" s="19">
        <f ca="1">IF($A423-O$3&lt;2,0,OFFSET('FPSO1 Base'!O420,-'FPSO1 Otim'!O$3,0))</f>
        <v>111.41869176206492</v>
      </c>
      <c r="P423" s="19">
        <f ca="1">IF($A423-P$3&lt;2,0,OFFSET('FPSO1 Base'!P420,-'FPSO1 Otim'!P$3,0))</f>
        <v>29.528720538117113</v>
      </c>
      <c r="Q423" s="19">
        <f ca="1">IF($A423-Q$3&lt;2,0,OFFSET('FPSO1 Base'!Q420,-'FPSO1 Otim'!Q$3,0))</f>
        <v>325.20600000000002</v>
      </c>
      <c r="R423" s="19">
        <f ca="1">IF($A423-R$3&lt;2,0,OFFSET('FPSO1 Base'!R420,-'FPSO1 Otim'!R$3,0))</f>
        <v>9.1927731877581671</v>
      </c>
      <c r="S423" s="19">
        <f ca="1">IF($A423-S$3&lt;2,0,OFFSET('FPSO1 Base'!S420,-'FPSO1 Otim'!S$3,0))</f>
        <v>258.02699999999999</v>
      </c>
      <c r="T423" s="19">
        <f ca="1">IF($A423-T$3&lt;2,0,OFFSET('FPSO1 Base'!T420,-'FPSO1 Otim'!T$3,0))</f>
        <v>318.84749999999997</v>
      </c>
      <c r="U423" s="19">
        <f ca="1">IF($A423-U$3&lt;2,0,OFFSET('FPSO1 Base'!U420,-'FPSO1 Otim'!U$3,0))</f>
        <v>452.41050000000007</v>
      </c>
      <c r="V423" s="19">
        <f ca="1">IF($A423-V$3&lt;2,0,OFFSET('FPSO1 Base'!V420,-'FPSO1 Otim'!V$3,0))</f>
        <v>347.226</v>
      </c>
      <c r="W423" s="19">
        <f ca="1">IF($A423-W$3&lt;2,0,OFFSET('FPSO1 Base'!W420,-'FPSO1 Otim'!W$3,0))</f>
        <v>175.3245</v>
      </c>
      <c r="X423" s="19">
        <f ca="1">IF($A423-X$3&lt;2,0,OFFSET('FPSO1 Base'!X420,-'FPSO1 Otim'!X$3,0))</f>
        <v>470.59950000000003</v>
      </c>
      <c r="Y423" s="19">
        <f ca="1">IF($A423-Y$3&lt;2,0,OFFSET('FPSO1 Base'!Y420,-'FPSO1 Otim'!Y$3,0))</f>
        <v>0</v>
      </c>
      <c r="Z423" s="19">
        <f ca="1">IF($A423-Z$3&lt;2,0,OFFSET('FPSO1 Base'!Z420,-'FPSO1 Otim'!Z$3,0))</f>
        <v>170.661</v>
      </c>
      <c r="AA423" s="20">
        <v>15000</v>
      </c>
      <c r="AB423" s="19">
        <f t="shared" ca="1" si="22"/>
        <v>5400.3718919781422</v>
      </c>
      <c r="AC423" s="20">
        <f t="shared" ca="1" si="23"/>
        <v>9599.6281080218578</v>
      </c>
      <c r="AD423" s="19">
        <f t="shared" ca="1" si="24"/>
        <v>169.63046323139062</v>
      </c>
    </row>
    <row r="424" spans="1:30" x14ac:dyDescent="0.25">
      <c r="A424" s="19">
        <v>420</v>
      </c>
      <c r="B424" s="31">
        <v>58380</v>
      </c>
      <c r="C424" s="19">
        <f ca="1">IF($A424-C$3&lt;2,0,OFFSET('FPSO1 Base'!C421,-'FPSO1 Otim'!C$3,0))</f>
        <v>385.88850000000002</v>
      </c>
      <c r="D424" s="19">
        <f ca="1">IF($A424-D$3&lt;2,0,OFFSET('FPSO1 Base'!D421,-'FPSO1 Otim'!D$3,0))</f>
        <v>51.615482586757878</v>
      </c>
      <c r="E424" s="19">
        <f ca="1">IF($A424-E$3&lt;2,0,OFFSET('FPSO1 Base'!E421,-'FPSO1 Otim'!E$3,0))</f>
        <v>169.23149999999998</v>
      </c>
      <c r="F424" s="19">
        <f ca="1">IF($A424-F$3&lt;2,0,OFFSET('FPSO1 Base'!F421,-'FPSO1 Otim'!F$3,0))</f>
        <v>250.37549999999999</v>
      </c>
      <c r="G424" s="19">
        <f ca="1">IF($A424-G$3&lt;2,0,OFFSET('FPSO1 Base'!G421,-'FPSO1 Otim'!G$3,0))</f>
        <v>92.533233835369771</v>
      </c>
      <c r="H424" s="19">
        <f ca="1">IF($A424-H$3&lt;2,0,OFFSET('FPSO1 Base'!H421,-'FPSO1 Otim'!H$3,0))</f>
        <v>532.18349999999998</v>
      </c>
      <c r="I424" s="19">
        <f ca="1">IF($A424-I$3&lt;2,0,OFFSET('FPSO1 Base'!I421,-'FPSO1 Otim'!I$3,0))</f>
        <v>368.46750000000003</v>
      </c>
      <c r="J424" s="19">
        <f ca="1">IF($A424-J$3&lt;2,0,OFFSET('FPSO1 Base'!J421,-'FPSO1 Otim'!J$3,0))</f>
        <v>185.32499999999999</v>
      </c>
      <c r="K424" s="19">
        <f ca="1">IF($A424-K$3&lt;2,0,OFFSET('FPSO1 Base'!K421,-'FPSO1 Otim'!K$3,0))</f>
        <v>143.40144609930698</v>
      </c>
      <c r="L424" s="19">
        <f ca="1">IF($A424-L$3&lt;2,0,OFFSET('FPSO1 Base'!L421,-'FPSO1 Otim'!L$3,0))</f>
        <v>219.21750000000003</v>
      </c>
      <c r="M424" s="19">
        <f ca="1">IF($A424-M$3&lt;2,0,OFFSET('FPSO1 Base'!M421,-'FPSO1 Otim'!M$3,0))</f>
        <v>322.77449999999999</v>
      </c>
      <c r="N424" s="19">
        <f ca="1">IF($A424-N$3&lt;2,0,OFFSET('FPSO1 Base'!N421,-'FPSO1 Otim'!N$3,0))</f>
        <v>5.127701903865912</v>
      </c>
      <c r="O424" s="19">
        <f ca="1">IF($A424-O$3&lt;2,0,OFFSET('FPSO1 Base'!O421,-'FPSO1 Otim'!O$3,0))</f>
        <v>110.30450484444427</v>
      </c>
      <c r="P424" s="19">
        <f ca="1">IF($A424-P$3&lt;2,0,OFFSET('FPSO1 Base'!P421,-'FPSO1 Otim'!P$3,0))</f>
        <v>29.233433332735942</v>
      </c>
      <c r="Q424" s="19">
        <f ca="1">IF($A424-Q$3&lt;2,0,OFFSET('FPSO1 Base'!Q421,-'FPSO1 Otim'!Q$3,0))</f>
        <v>325.161</v>
      </c>
      <c r="R424" s="19">
        <f ca="1">IF($A424-R$3&lt;2,0,OFFSET('FPSO1 Base'!R421,-'FPSO1 Otim'!R$3,0))</f>
        <v>9.1008454558805845</v>
      </c>
      <c r="S424" s="19">
        <f ca="1">IF($A424-S$3&lt;2,0,OFFSET('FPSO1 Base'!S421,-'FPSO1 Otim'!S$3,0))</f>
        <v>257.976</v>
      </c>
      <c r="T424" s="19">
        <f ca="1">IF($A424-T$3&lt;2,0,OFFSET('FPSO1 Base'!T421,-'FPSO1 Otim'!T$3,0))</f>
        <v>317.73149999999998</v>
      </c>
      <c r="U424" s="19">
        <f ca="1">IF($A424-U$3&lt;2,0,OFFSET('FPSO1 Base'!U421,-'FPSO1 Otim'!U$3,0))</f>
        <v>451.93500000000006</v>
      </c>
      <c r="V424" s="19">
        <f ca="1">IF($A424-V$3&lt;2,0,OFFSET('FPSO1 Base'!V421,-'FPSO1 Otim'!V$3,0))</f>
        <v>345.9</v>
      </c>
      <c r="W424" s="19">
        <f ca="1">IF($A424-W$3&lt;2,0,OFFSET('FPSO1 Base'!W421,-'FPSO1 Otim'!W$3,0))</f>
        <v>174.8715</v>
      </c>
      <c r="X424" s="19">
        <f ca="1">IF($A424-X$3&lt;2,0,OFFSET('FPSO1 Base'!X421,-'FPSO1 Otim'!X$3,0))</f>
        <v>469.40250000000003</v>
      </c>
      <c r="Y424" s="19">
        <f ca="1">IF($A424-Y$3&lt;2,0,OFFSET('FPSO1 Base'!Y421,-'FPSO1 Otim'!Y$3,0))</f>
        <v>0</v>
      </c>
      <c r="Z424" s="19">
        <f ca="1">IF($A424-Z$3&lt;2,0,OFFSET('FPSO1 Base'!Z421,-'FPSO1 Otim'!Z$3,0))</f>
        <v>169.6935</v>
      </c>
      <c r="AA424" s="20">
        <v>15000</v>
      </c>
      <c r="AB424" s="19">
        <f t="shared" ca="1" si="22"/>
        <v>5387.4511480583615</v>
      </c>
      <c r="AC424" s="20">
        <f t="shared" ca="1" si="23"/>
        <v>9612.5488519416394</v>
      </c>
      <c r="AD424" s="19">
        <f t="shared" ca="1" si="24"/>
        <v>167.82606071739377</v>
      </c>
    </row>
    <row r="425" spans="1:30" x14ac:dyDescent="0.25">
      <c r="A425" s="19">
        <v>421</v>
      </c>
      <c r="B425" s="31">
        <v>58410</v>
      </c>
      <c r="C425" s="19">
        <f ca="1">IF($A425-C$3&lt;2,0,OFFSET('FPSO1 Base'!C422,-'FPSO1 Otim'!C$3,0))</f>
        <v>384.78150000000005</v>
      </c>
      <c r="D425" s="19">
        <f ca="1">IF($A425-D$3&lt;2,0,OFFSET('FPSO1 Base'!D422,-'FPSO1 Otim'!D$3,0))</f>
        <v>51.099327760890297</v>
      </c>
      <c r="E425" s="19">
        <f ca="1">IF($A425-E$3&lt;2,0,OFFSET('FPSO1 Base'!E422,-'FPSO1 Otim'!E$3,0))</f>
        <v>168.6045</v>
      </c>
      <c r="F425" s="19">
        <f ca="1">IF($A425-F$3&lt;2,0,OFFSET('FPSO1 Base'!F422,-'FPSO1 Otim'!F$3,0))</f>
        <v>249.62850000000003</v>
      </c>
      <c r="G425" s="19">
        <f ca="1">IF($A425-G$3&lt;2,0,OFFSET('FPSO1 Base'!G422,-'FPSO1 Otim'!G$3,0))</f>
        <v>91.607901497016073</v>
      </c>
      <c r="H425" s="19">
        <f ca="1">IF($A425-H$3&lt;2,0,OFFSET('FPSO1 Base'!H422,-'FPSO1 Otim'!H$3,0))</f>
        <v>532.18650000000002</v>
      </c>
      <c r="I425" s="19">
        <f ca="1">IF($A425-I$3&lt;2,0,OFFSET('FPSO1 Base'!I422,-'FPSO1 Otim'!I$3,0))</f>
        <v>368.0745</v>
      </c>
      <c r="J425" s="19">
        <f ca="1">IF($A425-J$3&lt;2,0,OFFSET('FPSO1 Base'!J422,-'FPSO1 Otim'!J$3,0))</f>
        <v>185.0325</v>
      </c>
      <c r="K425" s="19">
        <f ca="1">IF($A425-K$3&lt;2,0,OFFSET('FPSO1 Base'!K422,-'FPSO1 Otim'!K$3,0))</f>
        <v>141.96743163831391</v>
      </c>
      <c r="L425" s="19">
        <f ca="1">IF($A425-L$3&lt;2,0,OFFSET('FPSO1 Base'!L422,-'FPSO1 Otim'!L$3,0))</f>
        <v>219</v>
      </c>
      <c r="M425" s="19">
        <f ca="1">IF($A425-M$3&lt;2,0,OFFSET('FPSO1 Base'!M422,-'FPSO1 Otim'!M$3,0))</f>
        <v>323.05650000000003</v>
      </c>
      <c r="N425" s="19">
        <f ca="1">IF($A425-N$3&lt;2,0,OFFSET('FPSO1 Base'!N422,-'FPSO1 Otim'!N$3,0))</f>
        <v>5.0764248848272526</v>
      </c>
      <c r="O425" s="19">
        <f ca="1">IF($A425-O$3&lt;2,0,OFFSET('FPSO1 Base'!O422,-'FPSO1 Otim'!O$3,0))</f>
        <v>109.20145979599982</v>
      </c>
      <c r="P425" s="19">
        <f ca="1">IF($A425-P$3&lt;2,0,OFFSET('FPSO1 Base'!P422,-'FPSO1 Otim'!P$3,0))</f>
        <v>28.941098999408581</v>
      </c>
      <c r="Q425" s="19">
        <f ca="1">IF($A425-Q$3&lt;2,0,OFFSET('FPSO1 Base'!Q422,-'FPSO1 Otim'!Q$3,0))</f>
        <v>325.07550000000003</v>
      </c>
      <c r="R425" s="19">
        <f ca="1">IF($A425-R$3&lt;2,0,OFFSET('FPSO1 Base'!R422,-'FPSO1 Otim'!R$3,0))</f>
        <v>9.0098370013217792</v>
      </c>
      <c r="S425" s="19">
        <f ca="1">IF($A425-S$3&lt;2,0,OFFSET('FPSO1 Base'!S422,-'FPSO1 Otim'!S$3,0))</f>
        <v>257.89949999999999</v>
      </c>
      <c r="T425" s="19">
        <f ca="1">IF($A425-T$3&lt;2,0,OFFSET('FPSO1 Base'!T422,-'FPSO1 Otim'!T$3,0))</f>
        <v>316.863</v>
      </c>
      <c r="U425" s="19">
        <f ca="1">IF($A425-U$3&lt;2,0,OFFSET('FPSO1 Base'!U422,-'FPSO1 Otim'!U$3,0))</f>
        <v>451.20000000000005</v>
      </c>
      <c r="V425" s="19">
        <f ca="1">IF($A425-V$3&lt;2,0,OFFSET('FPSO1 Base'!V422,-'FPSO1 Otim'!V$3,0))</f>
        <v>344.709</v>
      </c>
      <c r="W425" s="19">
        <f ca="1">IF($A425-W$3&lt;2,0,OFFSET('FPSO1 Base'!W422,-'FPSO1 Otim'!W$3,0))</f>
        <v>174.363</v>
      </c>
      <c r="X425" s="19">
        <f ca="1">IF($A425-X$3&lt;2,0,OFFSET('FPSO1 Base'!X422,-'FPSO1 Otim'!X$3,0))</f>
        <v>468.25049999999999</v>
      </c>
      <c r="Y425" s="19">
        <f ca="1">IF($A425-Y$3&lt;2,0,OFFSET('FPSO1 Base'!Y422,-'FPSO1 Otim'!Y$3,0))</f>
        <v>0</v>
      </c>
      <c r="Z425" s="19">
        <f ca="1">IF($A425-Z$3&lt;2,0,OFFSET('FPSO1 Base'!Z422,-'FPSO1 Otim'!Z$3,0))</f>
        <v>168.64950000000002</v>
      </c>
      <c r="AA425" s="20">
        <v>15000</v>
      </c>
      <c r="AB425" s="19">
        <f t="shared" ca="1" si="22"/>
        <v>5374.2779815777776</v>
      </c>
      <c r="AC425" s="20">
        <f t="shared" ca="1" si="23"/>
        <v>9625.7220184222224</v>
      </c>
      <c r="AD425" s="19">
        <f t="shared" ca="1" si="24"/>
        <v>166.03209874656153</v>
      </c>
    </row>
    <row r="426" spans="1:30" x14ac:dyDescent="0.25">
      <c r="A426" s="19">
        <v>422</v>
      </c>
      <c r="B426" s="31">
        <v>58441</v>
      </c>
      <c r="C426" s="19">
        <f ca="1">IF($A426-C$3&lt;2,0,OFFSET('FPSO1 Base'!C423,-'FPSO1 Otim'!C$3,0))</f>
        <v>383.74200000000002</v>
      </c>
      <c r="D426" s="19">
        <f ca="1">IF($A426-D$3&lt;2,0,OFFSET('FPSO1 Base'!D423,-'FPSO1 Otim'!D$3,0))</f>
        <v>50.588334483281393</v>
      </c>
      <c r="E426" s="19">
        <f ca="1">IF($A426-E$3&lt;2,0,OFFSET('FPSO1 Base'!E423,-'FPSO1 Otim'!E$3,0))</f>
        <v>167.8245</v>
      </c>
      <c r="F426" s="19">
        <f ca="1">IF($A426-F$3&lt;2,0,OFFSET('FPSO1 Base'!F423,-'FPSO1 Otim'!F$3,0))</f>
        <v>248.8245</v>
      </c>
      <c r="G426" s="19">
        <f ca="1">IF($A426-G$3&lt;2,0,OFFSET('FPSO1 Base'!G423,-'FPSO1 Otim'!G$3,0))</f>
        <v>90.691822482045907</v>
      </c>
      <c r="H426" s="19">
        <f ca="1">IF($A426-H$3&lt;2,0,OFFSET('FPSO1 Base'!H423,-'FPSO1 Otim'!H$3,0))</f>
        <v>532.17750000000001</v>
      </c>
      <c r="I426" s="19">
        <f ca="1">IF($A426-I$3&lt;2,0,OFFSET('FPSO1 Base'!I423,-'FPSO1 Otim'!I$3,0))</f>
        <v>367.71750000000003</v>
      </c>
      <c r="J426" s="19">
        <f ca="1">IF($A426-J$3&lt;2,0,OFFSET('FPSO1 Base'!J423,-'FPSO1 Otim'!J$3,0))</f>
        <v>184.7655</v>
      </c>
      <c r="K426" s="19">
        <f ca="1">IF($A426-K$3&lt;2,0,OFFSET('FPSO1 Base'!K423,-'FPSO1 Otim'!K$3,0))</f>
        <v>140.54775732193076</v>
      </c>
      <c r="L426" s="19">
        <f ca="1">IF($A426-L$3&lt;2,0,OFFSET('FPSO1 Base'!L423,-'FPSO1 Otim'!L$3,0))</f>
        <v>218.78249999999997</v>
      </c>
      <c r="M426" s="19">
        <f ca="1">IF($A426-M$3&lt;2,0,OFFSET('FPSO1 Base'!M423,-'FPSO1 Otim'!M$3,0))</f>
        <v>323.35050000000001</v>
      </c>
      <c r="N426" s="19">
        <f ca="1">IF($A426-N$3&lt;2,0,OFFSET('FPSO1 Base'!N423,-'FPSO1 Otim'!N$3,0))</f>
        <v>5.0256606359789799</v>
      </c>
      <c r="O426" s="19">
        <f ca="1">IF($A426-O$3&lt;2,0,OFFSET('FPSO1 Base'!O423,-'FPSO1 Otim'!O$3,0))</f>
        <v>108.10944519803982</v>
      </c>
      <c r="P426" s="19">
        <f ca="1">IF($A426-P$3&lt;2,0,OFFSET('FPSO1 Base'!P423,-'FPSO1 Otim'!P$3,0))</f>
        <v>28.651688009414496</v>
      </c>
      <c r="Q426" s="19">
        <f ca="1">IF($A426-Q$3&lt;2,0,OFFSET('FPSO1 Base'!Q423,-'FPSO1 Otim'!Q$3,0))</f>
        <v>324.99149999999997</v>
      </c>
      <c r="R426" s="19">
        <f ca="1">IF($A426-R$3&lt;2,0,OFFSET('FPSO1 Base'!R423,-'FPSO1 Otim'!R$3,0))</f>
        <v>8.9197386313085616</v>
      </c>
      <c r="S426" s="19">
        <f ca="1">IF($A426-S$3&lt;2,0,OFFSET('FPSO1 Base'!S423,-'FPSO1 Otim'!S$3,0))</f>
        <v>257.85449999999997</v>
      </c>
      <c r="T426" s="19">
        <f ca="1">IF($A426-T$3&lt;2,0,OFFSET('FPSO1 Base'!T423,-'FPSO1 Otim'!T$3,0))</f>
        <v>315.87450000000001</v>
      </c>
      <c r="U426" s="19">
        <f ca="1">IF($A426-U$3&lt;2,0,OFFSET('FPSO1 Base'!U423,-'FPSO1 Otim'!U$3,0))</f>
        <v>450.62849999999997</v>
      </c>
      <c r="V426" s="19">
        <f ca="1">IF($A426-V$3&lt;2,0,OFFSET('FPSO1 Base'!V423,-'FPSO1 Otim'!V$3,0))</f>
        <v>343.3005</v>
      </c>
      <c r="W426" s="19">
        <f ca="1">IF($A426-W$3&lt;2,0,OFFSET('FPSO1 Base'!W423,-'FPSO1 Otim'!W$3,0))</f>
        <v>173.87549999999999</v>
      </c>
      <c r="X426" s="19">
        <f ca="1">IF($A426-X$3&lt;2,0,OFFSET('FPSO1 Base'!X423,-'FPSO1 Otim'!X$3,0))</f>
        <v>466.98449999999997</v>
      </c>
      <c r="Y426" s="19">
        <f ca="1">IF($A426-Y$3&lt;2,0,OFFSET('FPSO1 Base'!Y423,-'FPSO1 Otim'!Y$3,0))</f>
        <v>0</v>
      </c>
      <c r="Z426" s="19">
        <f ca="1">IF($A426-Z$3&lt;2,0,OFFSET('FPSO1 Base'!Z423,-'FPSO1 Otim'!Z$3,0))</f>
        <v>167.7345</v>
      </c>
      <c r="AA426" s="20">
        <v>15000</v>
      </c>
      <c r="AB426" s="19">
        <f t="shared" ca="1" si="22"/>
        <v>5360.9629467619989</v>
      </c>
      <c r="AC426" s="20">
        <f t="shared" ca="1" si="23"/>
        <v>9639.0370532380002</v>
      </c>
      <c r="AD426" s="19">
        <f t="shared" ca="1" si="24"/>
        <v>164.25197965787834</v>
      </c>
    </row>
    <row r="427" spans="1:30" x14ac:dyDescent="0.25">
      <c r="A427" s="19">
        <v>423</v>
      </c>
      <c r="B427" s="31">
        <v>58472</v>
      </c>
      <c r="C427" s="19">
        <f ca="1">IF($A427-C$3&lt;2,0,OFFSET('FPSO1 Base'!C424,-'FPSO1 Otim'!C$3,0))</f>
        <v>382.74299999999999</v>
      </c>
      <c r="D427" s="19">
        <f ca="1">IF($A427-D$3&lt;2,0,OFFSET('FPSO1 Base'!D424,-'FPSO1 Otim'!D$3,0))</f>
        <v>50.082451138448576</v>
      </c>
      <c r="E427" s="19">
        <f ca="1">IF($A427-E$3&lt;2,0,OFFSET('FPSO1 Base'!E424,-'FPSO1 Otim'!E$3,0))</f>
        <v>167.178</v>
      </c>
      <c r="F427" s="19">
        <f ca="1">IF($A427-F$3&lt;2,0,OFFSET('FPSO1 Base'!F424,-'FPSO1 Otim'!F$3,0))</f>
        <v>248.12850000000003</v>
      </c>
      <c r="G427" s="19">
        <f ca="1">IF($A427-G$3&lt;2,0,OFFSET('FPSO1 Base'!G424,-'FPSO1 Otim'!G$3,0))</f>
        <v>89.784904257225449</v>
      </c>
      <c r="H427" s="19">
        <f ca="1">IF($A427-H$3&lt;2,0,OFFSET('FPSO1 Base'!H424,-'FPSO1 Otim'!H$3,0))</f>
        <v>532.14</v>
      </c>
      <c r="I427" s="19">
        <f ca="1">IF($A427-I$3&lt;2,0,OFFSET('FPSO1 Base'!I424,-'FPSO1 Otim'!I$3,0))</f>
        <v>367.3245</v>
      </c>
      <c r="J427" s="19">
        <f ca="1">IF($A427-J$3&lt;2,0,OFFSET('FPSO1 Base'!J424,-'FPSO1 Otim'!J$3,0))</f>
        <v>184.52549999999999</v>
      </c>
      <c r="K427" s="19">
        <f ca="1">IF($A427-K$3&lt;2,0,OFFSET('FPSO1 Base'!K424,-'FPSO1 Otim'!K$3,0))</f>
        <v>139.14227974871145</v>
      </c>
      <c r="L427" s="19">
        <f ca="1">IF($A427-L$3&lt;2,0,OFFSET('FPSO1 Base'!L424,-'FPSO1 Otim'!L$3,0))</f>
        <v>218.52449999999999</v>
      </c>
      <c r="M427" s="19">
        <f ca="1">IF($A427-M$3&lt;2,0,OFFSET('FPSO1 Base'!M424,-'FPSO1 Otim'!M$3,0))</f>
        <v>323.51549999999997</v>
      </c>
      <c r="N427" s="19">
        <f ca="1">IF($A427-N$3&lt;2,0,OFFSET('FPSO1 Base'!N424,-'FPSO1 Otim'!N$3,0))</f>
        <v>4.9754040296191899</v>
      </c>
      <c r="O427" s="19">
        <f ca="1">IF($A427-O$3&lt;2,0,OFFSET('FPSO1 Base'!O424,-'FPSO1 Otim'!O$3,0))</f>
        <v>107.02835074605942</v>
      </c>
      <c r="P427" s="19">
        <f ca="1">IF($A427-P$3&lt;2,0,OFFSET('FPSO1 Base'!P424,-'FPSO1 Otim'!P$3,0))</f>
        <v>28.365171129320352</v>
      </c>
      <c r="Q427" s="19">
        <f ca="1">IF($A427-Q$3&lt;2,0,OFFSET('FPSO1 Base'!Q424,-'FPSO1 Otim'!Q$3,0))</f>
        <v>324.9255</v>
      </c>
      <c r="R427" s="19">
        <f ca="1">IF($A427-R$3&lt;2,0,OFFSET('FPSO1 Base'!R424,-'FPSO1 Otim'!R$3,0))</f>
        <v>8.8305412449954765</v>
      </c>
      <c r="S427" s="19">
        <f ca="1">IF($A427-S$3&lt;2,0,OFFSET('FPSO1 Base'!S424,-'FPSO1 Otim'!S$3,0))</f>
        <v>257.77499999999998</v>
      </c>
      <c r="T427" s="19">
        <f ca="1">IF($A427-T$3&lt;2,0,OFFSET('FPSO1 Base'!T424,-'FPSO1 Otim'!T$3,0))</f>
        <v>314.928</v>
      </c>
      <c r="U427" s="19">
        <f ca="1">IF($A427-U$3&lt;2,0,OFFSET('FPSO1 Base'!U424,-'FPSO1 Otim'!U$3,0))</f>
        <v>450</v>
      </c>
      <c r="V427" s="19">
        <f ca="1">IF($A427-V$3&lt;2,0,OFFSET('FPSO1 Base'!V424,-'FPSO1 Otim'!V$3,0))</f>
        <v>342</v>
      </c>
      <c r="W427" s="19">
        <f ca="1">IF($A427-W$3&lt;2,0,OFFSET('FPSO1 Base'!W424,-'FPSO1 Otim'!W$3,0))</f>
        <v>173.4195</v>
      </c>
      <c r="X427" s="19">
        <f ca="1">IF($A427-X$3&lt;2,0,OFFSET('FPSO1 Base'!X424,-'FPSO1 Otim'!X$3,0))</f>
        <v>465.87150000000003</v>
      </c>
      <c r="Y427" s="19">
        <f ca="1">IF($A427-Y$3&lt;2,0,OFFSET('FPSO1 Base'!Y424,-'FPSO1 Otim'!Y$3,0))</f>
        <v>0</v>
      </c>
      <c r="Z427" s="19">
        <f ca="1">IF($A427-Z$3&lt;2,0,OFFSET('FPSO1 Base'!Z424,-'FPSO1 Otim'!Z$3,0))</f>
        <v>166.75049999999999</v>
      </c>
      <c r="AA427" s="20">
        <v>15000</v>
      </c>
      <c r="AB427" s="19">
        <f t="shared" ca="1" si="22"/>
        <v>5347.9586022943804</v>
      </c>
      <c r="AC427" s="20">
        <f t="shared" ca="1" si="23"/>
        <v>9652.0413977056196</v>
      </c>
      <c r="AD427" s="19">
        <f t="shared" ca="1" si="24"/>
        <v>162.49938423224864</v>
      </c>
    </row>
    <row r="428" spans="1:30" x14ac:dyDescent="0.25">
      <c r="A428" s="19">
        <v>424</v>
      </c>
      <c r="B428" s="31">
        <v>58501</v>
      </c>
      <c r="C428" s="19">
        <f ca="1">IF($A428-C$3&lt;2,0,OFFSET('FPSO1 Base'!C425,-'FPSO1 Otim'!C$3,0))</f>
        <v>381.80399999999997</v>
      </c>
      <c r="D428" s="19">
        <f ca="1">IF($A428-D$3&lt;2,0,OFFSET('FPSO1 Base'!D425,-'FPSO1 Otim'!D$3,0))</f>
        <v>49.58162662706409</v>
      </c>
      <c r="E428" s="19">
        <f ca="1">IF($A428-E$3&lt;2,0,OFFSET('FPSO1 Base'!E425,-'FPSO1 Otim'!E$3,0))</f>
        <v>166.42500000000001</v>
      </c>
      <c r="F428" s="19">
        <f ca="1">IF($A428-F$3&lt;2,0,OFFSET('FPSO1 Base'!F425,-'FPSO1 Otim'!F$3,0))</f>
        <v>247.6695</v>
      </c>
      <c r="G428" s="19">
        <f ca="1">IF($A428-G$3&lt;2,0,OFFSET('FPSO1 Base'!G425,-'FPSO1 Otim'!G$3,0))</f>
        <v>88.887055214653188</v>
      </c>
      <c r="H428" s="19">
        <f ca="1">IF($A428-H$3&lt;2,0,OFFSET('FPSO1 Base'!H425,-'FPSO1 Otim'!H$3,0))</f>
        <v>532.12950000000001</v>
      </c>
      <c r="I428" s="19">
        <f ca="1">IF($A428-I$3&lt;2,0,OFFSET('FPSO1 Base'!I425,-'FPSO1 Otim'!I$3,0))</f>
        <v>366.91949999999997</v>
      </c>
      <c r="J428" s="19">
        <f ca="1">IF($A428-J$3&lt;2,0,OFFSET('FPSO1 Base'!J425,-'FPSO1 Otim'!J$3,0))</f>
        <v>184.3065</v>
      </c>
      <c r="K428" s="19">
        <f ca="1">IF($A428-K$3&lt;2,0,OFFSET('FPSO1 Base'!K425,-'FPSO1 Otim'!K$3,0))</f>
        <v>137.75085695122434</v>
      </c>
      <c r="L428" s="19">
        <f ca="1">IF($A428-L$3&lt;2,0,OFFSET('FPSO1 Base'!L425,-'FPSO1 Otim'!L$3,0))</f>
        <v>218.3475</v>
      </c>
      <c r="M428" s="19">
        <f ca="1">IF($A428-M$3&lt;2,0,OFFSET('FPSO1 Base'!M425,-'FPSO1 Otim'!M$3,0))</f>
        <v>323.685</v>
      </c>
      <c r="N428" s="19">
        <f ca="1">IF($A428-N$3&lt;2,0,OFFSET('FPSO1 Base'!N425,-'FPSO1 Otim'!N$3,0))</f>
        <v>4.9256499893229977</v>
      </c>
      <c r="O428" s="19">
        <f ca="1">IF($A428-O$3&lt;2,0,OFFSET('FPSO1 Base'!O425,-'FPSO1 Otim'!O$3,0))</f>
        <v>105.95806723859882</v>
      </c>
      <c r="P428" s="19">
        <f ca="1">IF($A428-P$3&lt;2,0,OFFSET('FPSO1 Base'!P425,-'FPSO1 Otim'!P$3,0))</f>
        <v>28.081519418027149</v>
      </c>
      <c r="Q428" s="19">
        <f ca="1">IF($A428-Q$3&lt;2,0,OFFSET('FPSO1 Base'!Q425,-'FPSO1 Otim'!Q$3,0))</f>
        <v>324.84749999999997</v>
      </c>
      <c r="R428" s="19">
        <f ca="1">IF($A428-R$3&lt;2,0,OFFSET('FPSO1 Base'!R425,-'FPSO1 Otim'!R$3,0))</f>
        <v>8.7422358325455214</v>
      </c>
      <c r="S428" s="19">
        <f ca="1">IF($A428-S$3&lt;2,0,OFFSET('FPSO1 Base'!S425,-'FPSO1 Otim'!S$3,0))</f>
        <v>257.661</v>
      </c>
      <c r="T428" s="19">
        <f ca="1">IF($A428-T$3&lt;2,0,OFFSET('FPSO1 Base'!T425,-'FPSO1 Otim'!T$3,0))</f>
        <v>313.97550000000001</v>
      </c>
      <c r="U428" s="19">
        <f ca="1">IF($A428-U$3&lt;2,0,OFFSET('FPSO1 Base'!U425,-'FPSO1 Otim'!U$3,0))</f>
        <v>449.37150000000003</v>
      </c>
      <c r="V428" s="19">
        <f ca="1">IF($A428-V$3&lt;2,0,OFFSET('FPSO1 Base'!V425,-'FPSO1 Otim'!V$3,0))</f>
        <v>389.178</v>
      </c>
      <c r="W428" s="19">
        <f ca="1">IF($A428-W$3&lt;2,0,OFFSET('FPSO1 Base'!W425,-'FPSO1 Otim'!W$3,0))</f>
        <v>172.92449999999999</v>
      </c>
      <c r="X428" s="19">
        <f ca="1">IF($A428-X$3&lt;2,0,OFFSET('FPSO1 Base'!X425,-'FPSO1 Otim'!X$3,0))</f>
        <v>464.48249999999996</v>
      </c>
      <c r="Y428" s="19">
        <f ca="1">IF($A428-Y$3&lt;2,0,OFFSET('FPSO1 Base'!Y425,-'FPSO1 Otim'!Y$3,0))</f>
        <v>0</v>
      </c>
      <c r="Z428" s="19">
        <f ca="1">IF($A428-Z$3&lt;2,0,OFFSET('FPSO1 Base'!Z425,-'FPSO1 Otim'!Z$3,0))</f>
        <v>165.798</v>
      </c>
      <c r="AA428" s="20">
        <v>15000</v>
      </c>
      <c r="AB428" s="19">
        <f t="shared" ca="1" si="22"/>
        <v>5383.4520112714354</v>
      </c>
      <c r="AC428" s="20">
        <f t="shared" ca="1" si="23"/>
        <v>9616.5479887285655</v>
      </c>
      <c r="AD428" s="19">
        <f t="shared" ca="1" si="24"/>
        <v>162.22597933395957</v>
      </c>
    </row>
    <row r="429" spans="1:30" x14ac:dyDescent="0.25">
      <c r="A429" s="19">
        <v>425</v>
      </c>
      <c r="B429" s="31">
        <v>58532</v>
      </c>
      <c r="C429" s="19">
        <f ca="1">IF($A429-C$3&lt;2,0,OFFSET('FPSO1 Base'!C426,-'FPSO1 Otim'!C$3,0))</f>
        <v>380.81099999999998</v>
      </c>
      <c r="D429" s="19">
        <f ca="1">IF($A429-D$3&lt;2,0,OFFSET('FPSO1 Base'!D426,-'FPSO1 Otim'!D$3,0))</f>
        <v>49.085810360793445</v>
      </c>
      <c r="E429" s="19">
        <f ca="1">IF($A429-E$3&lt;2,0,OFFSET('FPSO1 Base'!E426,-'FPSO1 Otim'!E$3,0))</f>
        <v>165.774</v>
      </c>
      <c r="F429" s="19">
        <f ca="1">IF($A429-F$3&lt;2,0,OFFSET('FPSO1 Base'!F426,-'FPSO1 Otim'!F$3,0))</f>
        <v>247.15199999999999</v>
      </c>
      <c r="G429" s="19">
        <f ca="1">IF($A429-G$3&lt;2,0,OFFSET('FPSO1 Base'!G426,-'FPSO1 Otim'!G$3,0))</f>
        <v>87.998184662506659</v>
      </c>
      <c r="H429" s="19">
        <f ca="1">IF($A429-H$3&lt;2,0,OFFSET('FPSO1 Base'!H426,-'FPSO1 Otim'!H$3,0))</f>
        <v>532.09199999999998</v>
      </c>
      <c r="I429" s="19">
        <f ca="1">IF($A429-I$3&lt;2,0,OFFSET('FPSO1 Base'!I426,-'FPSO1 Otim'!I$3,0))</f>
        <v>366.60449999999997</v>
      </c>
      <c r="J429" s="19">
        <f ca="1">IF($A429-J$3&lt;2,0,OFFSET('FPSO1 Base'!J426,-'FPSO1 Otim'!J$3,0))</f>
        <v>184.00049999999999</v>
      </c>
      <c r="K429" s="19">
        <f ca="1">IF($A429-K$3&lt;2,0,OFFSET('FPSO1 Base'!K426,-'FPSO1 Otim'!K$3,0))</f>
        <v>136.37334838171208</v>
      </c>
      <c r="L429" s="19">
        <f ca="1">IF($A429-L$3&lt;2,0,OFFSET('FPSO1 Base'!L426,-'FPSO1 Otim'!L$3,0))</f>
        <v>218.10000000000002</v>
      </c>
      <c r="M429" s="19">
        <f ca="1">IF($A429-M$3&lt;2,0,OFFSET('FPSO1 Base'!M426,-'FPSO1 Otim'!M$3,0))</f>
        <v>323.83949999999999</v>
      </c>
      <c r="N429" s="19">
        <f ca="1">IF($A429-N$3&lt;2,0,OFFSET('FPSO1 Base'!N426,-'FPSO1 Otim'!N$3,0))</f>
        <v>4.876393489429768</v>
      </c>
      <c r="O429" s="19">
        <f ca="1">IF($A429-O$3&lt;2,0,OFFSET('FPSO1 Base'!O426,-'FPSO1 Otim'!O$3,0))</f>
        <v>104.89848656621282</v>
      </c>
      <c r="P429" s="19">
        <f ca="1">IF($A429-P$3&lt;2,0,OFFSET('FPSO1 Base'!P426,-'FPSO1 Otim'!P$3,0))</f>
        <v>27.800704223846878</v>
      </c>
      <c r="Q429" s="19">
        <f ca="1">IF($A429-Q$3&lt;2,0,OFFSET('FPSO1 Base'!Q426,-'FPSO1 Otim'!Q$3,0))</f>
        <v>324.726</v>
      </c>
      <c r="R429" s="19">
        <f ca="1">IF($A429-R$3&lt;2,0,OFFSET('FPSO1 Base'!R426,-'FPSO1 Otim'!R$3,0))</f>
        <v>8.6548134742200666</v>
      </c>
      <c r="S429" s="19">
        <f ca="1">IF($A429-S$3&lt;2,0,OFFSET('FPSO1 Base'!S426,-'FPSO1 Otim'!S$3,0))</f>
        <v>257.589</v>
      </c>
      <c r="T429" s="19">
        <f ca="1">IF($A429-T$3&lt;2,0,OFFSET('FPSO1 Base'!T426,-'FPSO1 Otim'!T$3,0))</f>
        <v>313.041</v>
      </c>
      <c r="U429" s="19">
        <f ca="1">IF($A429-U$3&lt;2,0,OFFSET('FPSO1 Base'!U426,-'FPSO1 Otim'!U$3,0))</f>
        <v>448.839</v>
      </c>
      <c r="V429" s="19">
        <f ca="1">IF($A429-V$3&lt;2,0,OFFSET('FPSO1 Base'!V426,-'FPSO1 Otim'!V$3,0))</f>
        <v>391.92899999999997</v>
      </c>
      <c r="W429" s="19">
        <f ca="1">IF($A429-W$3&lt;2,0,OFFSET('FPSO1 Base'!W426,-'FPSO1 Otim'!W$3,0))</f>
        <v>172.452</v>
      </c>
      <c r="X429" s="19">
        <f ca="1">IF($A429-X$3&lt;2,0,OFFSET('FPSO1 Base'!X426,-'FPSO1 Otim'!X$3,0))</f>
        <v>463.452</v>
      </c>
      <c r="Y429" s="19">
        <f ca="1">IF($A429-Y$3&lt;2,0,OFFSET('FPSO1 Base'!Y426,-'FPSO1 Otim'!Y$3,0))</f>
        <v>0</v>
      </c>
      <c r="Z429" s="19">
        <f ca="1">IF($A429-Z$3&lt;2,0,OFFSET('FPSO1 Base'!Z426,-'FPSO1 Otim'!Z$3,0))</f>
        <v>164.9025</v>
      </c>
      <c r="AA429" s="20">
        <v>15000</v>
      </c>
      <c r="AB429" s="19">
        <f t="shared" ca="1" si="22"/>
        <v>5374.991741158723</v>
      </c>
      <c r="AC429" s="20">
        <f t="shared" ca="1" si="23"/>
        <v>9625.008258841277</v>
      </c>
      <c r="AD429" s="19">
        <f t="shared" ca="1" si="24"/>
        <v>160.63243232291453</v>
      </c>
    </row>
    <row r="430" spans="1:30" x14ac:dyDescent="0.25">
      <c r="A430" s="19">
        <v>426</v>
      </c>
      <c r="B430" s="31">
        <v>58562</v>
      </c>
      <c r="C430" s="19">
        <f ca="1">IF($A430-C$3&lt;2,0,OFFSET('FPSO1 Base'!C427,-'FPSO1 Otim'!C$3,0))</f>
        <v>379.72500000000002</v>
      </c>
      <c r="D430" s="19">
        <f ca="1">IF($A430-D$3&lt;2,0,OFFSET('FPSO1 Base'!D427,-'FPSO1 Otim'!D$3,0))</f>
        <v>48.594952257185511</v>
      </c>
      <c r="E430" s="19">
        <f ca="1">IF($A430-E$3&lt;2,0,OFFSET('FPSO1 Base'!E427,-'FPSO1 Otim'!E$3,0))</f>
        <v>165.1215</v>
      </c>
      <c r="F430" s="19">
        <f ca="1">IF($A430-F$3&lt;2,0,OFFSET('FPSO1 Base'!F427,-'FPSO1 Otim'!F$3,0))</f>
        <v>246.60449999999997</v>
      </c>
      <c r="G430" s="19">
        <f ca="1">IF($A430-G$3&lt;2,0,OFFSET('FPSO1 Base'!G427,-'FPSO1 Otim'!G$3,0))</f>
        <v>87.118202815881588</v>
      </c>
      <c r="H430" s="19">
        <f ca="1">IF($A430-H$3&lt;2,0,OFFSET('FPSO1 Base'!H427,-'FPSO1 Otim'!H$3,0))</f>
        <v>532.09199999999998</v>
      </c>
      <c r="I430" s="19">
        <f ca="1">IF($A430-I$3&lt;2,0,OFFSET('FPSO1 Base'!I427,-'FPSO1 Otim'!I$3,0))</f>
        <v>366.13350000000003</v>
      </c>
      <c r="J430" s="19">
        <f ca="1">IF($A430-J$3&lt;2,0,OFFSET('FPSO1 Base'!J427,-'FPSO1 Otim'!J$3,0))</f>
        <v>183.75</v>
      </c>
      <c r="K430" s="19">
        <f ca="1">IF($A430-K$3&lt;2,0,OFFSET('FPSO1 Base'!K427,-'FPSO1 Otim'!K$3,0))</f>
        <v>135.00961489789495</v>
      </c>
      <c r="L430" s="19">
        <f ca="1">IF($A430-L$3&lt;2,0,OFFSET('FPSO1 Base'!L427,-'FPSO1 Otim'!L$3,0))</f>
        <v>217.887</v>
      </c>
      <c r="M430" s="19">
        <f ca="1">IF($A430-M$3&lt;2,0,OFFSET('FPSO1 Base'!M427,-'FPSO1 Otim'!M$3,0))</f>
        <v>323.928</v>
      </c>
      <c r="N430" s="19">
        <f ca="1">IF($A430-N$3&lt;2,0,OFFSET('FPSO1 Base'!N427,-'FPSO1 Otim'!N$3,0))</f>
        <v>4.8276295545354699</v>
      </c>
      <c r="O430" s="19">
        <f ca="1">IF($A430-O$3&lt;2,0,OFFSET('FPSO1 Base'!O427,-'FPSO1 Otim'!O$3,0))</f>
        <v>103.84950170055069</v>
      </c>
      <c r="P430" s="19">
        <f ca="1">IF($A430-P$3&lt;2,0,OFFSET('FPSO1 Base'!P427,-'FPSO1 Otim'!P$3,0))</f>
        <v>27.522697181608411</v>
      </c>
      <c r="Q430" s="19">
        <f ca="1">IF($A430-Q$3&lt;2,0,OFFSET('FPSO1 Base'!Q427,-'FPSO1 Otim'!Q$3,0))</f>
        <v>324.64949999999999</v>
      </c>
      <c r="R430" s="19">
        <f ca="1">IF($A430-R$3&lt;2,0,OFFSET('FPSO1 Base'!R427,-'FPSO1 Otim'!R$3,0))</f>
        <v>8.5682653394778665</v>
      </c>
      <c r="S430" s="19">
        <f ca="1">IF($A430-S$3&lt;2,0,OFFSET('FPSO1 Base'!S427,-'FPSO1 Otim'!S$3,0))</f>
        <v>257.50049999999999</v>
      </c>
      <c r="T430" s="19">
        <f ca="1">IF($A430-T$3&lt;2,0,OFFSET('FPSO1 Base'!T427,-'FPSO1 Otim'!T$3,0))</f>
        <v>312.14550000000003</v>
      </c>
      <c r="U430" s="19">
        <f ca="1">IF($A430-U$3&lt;2,0,OFFSET('FPSO1 Base'!U427,-'FPSO1 Otim'!U$3,0))</f>
        <v>448.15049999999997</v>
      </c>
      <c r="V430" s="19">
        <f ca="1">IF($A430-V$3&lt;2,0,OFFSET('FPSO1 Base'!V427,-'FPSO1 Otim'!V$3,0))</f>
        <v>390.19350000000003</v>
      </c>
      <c r="W430" s="19">
        <f ca="1">IF($A430-W$3&lt;2,0,OFFSET('FPSO1 Base'!W427,-'FPSO1 Otim'!W$3,0))</f>
        <v>172.0155</v>
      </c>
      <c r="X430" s="19">
        <f ca="1">IF($A430-X$3&lt;2,0,OFFSET('FPSO1 Base'!X427,-'FPSO1 Otim'!X$3,0))</f>
        <v>462.29999999999995</v>
      </c>
      <c r="Y430" s="19">
        <f ca="1">IF($A430-Y$3&lt;2,0,OFFSET('FPSO1 Base'!Y427,-'FPSO1 Otim'!Y$3,0))</f>
        <v>0</v>
      </c>
      <c r="Z430" s="19">
        <f ca="1">IF($A430-Z$3&lt;2,0,OFFSET('FPSO1 Base'!Z427,-'FPSO1 Otim'!Z$3,0))</f>
        <v>163.92600000000002</v>
      </c>
      <c r="AA430" s="20">
        <v>15000</v>
      </c>
      <c r="AB430" s="19">
        <f t="shared" ca="1" si="22"/>
        <v>5361.6133637471357</v>
      </c>
      <c r="AC430" s="20">
        <f t="shared" ca="1" si="23"/>
        <v>9638.3866362528643</v>
      </c>
      <c r="AD430" s="19">
        <f t="shared" ca="1" si="24"/>
        <v>158.90838100409789</v>
      </c>
    </row>
    <row r="431" spans="1:30" x14ac:dyDescent="0.25">
      <c r="A431" s="19">
        <v>427</v>
      </c>
      <c r="B431" s="31">
        <v>58593</v>
      </c>
      <c r="C431" s="19">
        <f ca="1">IF($A431-C$3&lt;2,0,OFFSET('FPSO1 Base'!C428,-'FPSO1 Otim'!C$3,0))</f>
        <v>378.80849999999998</v>
      </c>
      <c r="D431" s="19">
        <f ca="1">IF($A431-D$3&lt;2,0,OFFSET('FPSO1 Base'!D428,-'FPSO1 Otim'!D$3,0))</f>
        <v>48.109002734613654</v>
      </c>
      <c r="E431" s="19">
        <f ca="1">IF($A431-E$3&lt;2,0,OFFSET('FPSO1 Base'!E428,-'FPSO1 Otim'!E$3,0))</f>
        <v>164.39999999999998</v>
      </c>
      <c r="F431" s="19">
        <f ca="1">IF($A431-F$3&lt;2,0,OFFSET('FPSO1 Base'!F428,-'FPSO1 Otim'!F$3,0))</f>
        <v>245.89949999999999</v>
      </c>
      <c r="G431" s="19">
        <f ca="1">IF($A431-G$3&lt;2,0,OFFSET('FPSO1 Base'!G428,-'FPSO1 Otim'!G$3,0))</f>
        <v>86.247020787722775</v>
      </c>
      <c r="H431" s="19">
        <f ca="1">IF($A431-H$3&lt;2,0,OFFSET('FPSO1 Base'!H428,-'FPSO1 Otim'!H$3,0))</f>
        <v>532.10400000000004</v>
      </c>
      <c r="I431" s="19">
        <f ca="1">IF($A431-I$3&lt;2,0,OFFSET('FPSO1 Base'!I428,-'FPSO1 Otim'!I$3,0))</f>
        <v>365.83050000000003</v>
      </c>
      <c r="J431" s="19">
        <f ca="1">IF($A431-J$3&lt;2,0,OFFSET('FPSO1 Base'!J428,-'FPSO1 Otim'!J$3,0))</f>
        <v>183.4845</v>
      </c>
      <c r="K431" s="19">
        <f ca="1">IF($A431-K$3&lt;2,0,OFFSET('FPSO1 Base'!K428,-'FPSO1 Otim'!K$3,0))</f>
        <v>133.65951874891599</v>
      </c>
      <c r="L431" s="19">
        <f ca="1">IF($A431-L$3&lt;2,0,OFFSET('FPSO1 Base'!L428,-'FPSO1 Otim'!L$3,0))</f>
        <v>217.6695</v>
      </c>
      <c r="M431" s="19">
        <f ca="1">IF($A431-M$3&lt;2,0,OFFSET('FPSO1 Base'!M428,-'FPSO1 Otim'!M$3,0))</f>
        <v>324.07500000000005</v>
      </c>
      <c r="N431" s="19">
        <f ca="1">IF($A431-N$3&lt;2,0,OFFSET('FPSO1 Base'!N428,-'FPSO1 Otim'!N$3,0))</f>
        <v>4.7793532589901151</v>
      </c>
      <c r="O431" s="19">
        <f ca="1">IF($A431-O$3&lt;2,0,OFFSET('FPSO1 Base'!O428,-'FPSO1 Otim'!O$3,0))</f>
        <v>102.81100668354519</v>
      </c>
      <c r="P431" s="19">
        <f ca="1">IF($A431-P$3&lt;2,0,OFFSET('FPSO1 Base'!P428,-'FPSO1 Otim'!P$3,0))</f>
        <v>27.247470209792326</v>
      </c>
      <c r="Q431" s="19">
        <f ca="1">IF($A431-Q$3&lt;2,0,OFFSET('FPSO1 Base'!Q428,-'FPSO1 Otim'!Q$3,0))</f>
        <v>324.58050000000003</v>
      </c>
      <c r="R431" s="19">
        <f ca="1">IF($A431-R$3&lt;2,0,OFFSET('FPSO1 Base'!R428,-'FPSO1 Otim'!R$3,0))</f>
        <v>8.482582686083088</v>
      </c>
      <c r="S431" s="19">
        <f ca="1">IF($A431-S$3&lt;2,0,OFFSET('FPSO1 Base'!S428,-'FPSO1 Otim'!S$3,0))</f>
        <v>257.37149999999997</v>
      </c>
      <c r="T431" s="19">
        <f ca="1">IF($A431-T$3&lt;2,0,OFFSET('FPSO1 Base'!T428,-'FPSO1 Otim'!T$3,0))</f>
        <v>311.17499999999995</v>
      </c>
      <c r="U431" s="19">
        <f ca="1">IF($A431-U$3&lt;2,0,OFFSET('FPSO1 Base'!U428,-'FPSO1 Otim'!U$3,0))</f>
        <v>447.53250000000003</v>
      </c>
      <c r="V431" s="19">
        <f ca="1">IF($A431-V$3&lt;2,0,OFFSET('FPSO1 Base'!V428,-'FPSO1 Otim'!V$3,0))</f>
        <v>388.24950000000001</v>
      </c>
      <c r="W431" s="19">
        <f ca="1">IF($A431-W$3&lt;2,0,OFFSET('FPSO1 Base'!W428,-'FPSO1 Otim'!W$3,0))</f>
        <v>171.48149999999998</v>
      </c>
      <c r="X431" s="19">
        <f ca="1">IF($A431-X$3&lt;2,0,OFFSET('FPSO1 Base'!X428,-'FPSO1 Otim'!X$3,0))</f>
        <v>461.178</v>
      </c>
      <c r="Y431" s="19">
        <f ca="1">IF($A431-Y$3&lt;2,0,OFFSET('FPSO1 Base'!Y428,-'FPSO1 Otim'!Y$3,0))</f>
        <v>0</v>
      </c>
      <c r="Z431" s="19">
        <f ca="1">IF($A431-Z$3&lt;2,0,OFFSET('FPSO1 Base'!Z428,-'FPSO1 Otim'!Z$3,0))</f>
        <v>163.2225</v>
      </c>
      <c r="AA431" s="20">
        <v>15000</v>
      </c>
      <c r="AB431" s="19">
        <f t="shared" ca="1" si="22"/>
        <v>5348.3984551096628</v>
      </c>
      <c r="AC431" s="20">
        <f t="shared" ca="1" si="23"/>
        <v>9651.6015448903381</v>
      </c>
      <c r="AD431" s="19">
        <f t="shared" ca="1" si="24"/>
        <v>157.2066598638979</v>
      </c>
    </row>
    <row r="432" spans="1:30" x14ac:dyDescent="0.25">
      <c r="A432" s="19">
        <v>428</v>
      </c>
      <c r="B432" s="31">
        <v>58623</v>
      </c>
      <c r="C432" s="19">
        <f ca="1">IF($A432-C$3&lt;2,0,OFFSET('FPSO1 Base'!C429,-'FPSO1 Otim'!C$3,0))</f>
        <v>377.7405</v>
      </c>
      <c r="D432" s="19">
        <f ca="1">IF($A432-D$3&lt;2,0,OFFSET('FPSO1 Base'!D429,-'FPSO1 Otim'!D$3,0))</f>
        <v>47.627912707267519</v>
      </c>
      <c r="E432" s="19">
        <f ca="1">IF($A432-E$3&lt;2,0,OFFSET('FPSO1 Base'!E429,-'FPSO1 Otim'!E$3,0))</f>
        <v>163.7415</v>
      </c>
      <c r="F432" s="19">
        <f ca="1">IF($A432-F$3&lt;2,0,OFFSET('FPSO1 Base'!F429,-'FPSO1 Otim'!F$3,0))</f>
        <v>245.226</v>
      </c>
      <c r="G432" s="19">
        <f ca="1">IF($A432-G$3&lt;2,0,OFFSET('FPSO1 Base'!G429,-'FPSO1 Otim'!G$3,0))</f>
        <v>85.384550579845552</v>
      </c>
      <c r="H432" s="19">
        <f ca="1">IF($A432-H$3&lt;2,0,OFFSET('FPSO1 Base'!H429,-'FPSO1 Otim'!H$3,0))</f>
        <v>532.06950000000006</v>
      </c>
      <c r="I432" s="19">
        <f ca="1">IF($A432-I$3&lt;2,0,OFFSET('FPSO1 Base'!I429,-'FPSO1 Otim'!I$3,0))</f>
        <v>365.37450000000001</v>
      </c>
      <c r="J432" s="19">
        <f ca="1">IF($A432-J$3&lt;2,0,OFFSET('FPSO1 Base'!J429,-'FPSO1 Otim'!J$3,0))</f>
        <v>183.1335</v>
      </c>
      <c r="K432" s="19">
        <f ca="1">IF($A432-K$3&lt;2,0,OFFSET('FPSO1 Base'!K429,-'FPSO1 Otim'!K$3,0))</f>
        <v>132.32292356142682</v>
      </c>
      <c r="L432" s="19">
        <f ca="1">IF($A432-L$3&lt;2,0,OFFSET('FPSO1 Base'!L429,-'FPSO1 Otim'!L$3,0))</f>
        <v>217.45050000000003</v>
      </c>
      <c r="M432" s="19">
        <f ca="1">IF($A432-M$3&lt;2,0,OFFSET('FPSO1 Base'!M429,-'FPSO1 Otim'!M$3,0))</f>
        <v>324.12149999999997</v>
      </c>
      <c r="N432" s="19">
        <f ca="1">IF($A432-N$3&lt;2,0,OFFSET('FPSO1 Base'!N429,-'FPSO1 Otim'!N$3,0))</f>
        <v>4.7315597264002136</v>
      </c>
      <c r="O432" s="19">
        <f ca="1">IF($A432-O$3&lt;2,0,OFFSET('FPSO1 Base'!O429,-'FPSO1 Otim'!O$3,0))</f>
        <v>101.78289661670973</v>
      </c>
      <c r="P432" s="19">
        <f ca="1">IF($A432-P$3&lt;2,0,OFFSET('FPSO1 Base'!P429,-'FPSO1 Otim'!P$3,0))</f>
        <v>26.974995507694402</v>
      </c>
      <c r="Q432" s="19">
        <f ca="1">IF($A432-Q$3&lt;2,0,OFFSET('FPSO1 Base'!Q429,-'FPSO1 Otim'!Q$3,0))</f>
        <v>324.47550000000001</v>
      </c>
      <c r="R432" s="19">
        <f ca="1">IF($A432-R$3&lt;2,0,OFFSET('FPSO1 Base'!R429,-'FPSO1 Otim'!R$3,0))</f>
        <v>8.3977568592222571</v>
      </c>
      <c r="S432" s="19">
        <f ca="1">IF($A432-S$3&lt;2,0,OFFSET('FPSO1 Base'!S429,-'FPSO1 Otim'!S$3,0))</f>
        <v>257.25</v>
      </c>
      <c r="T432" s="19">
        <f ca="1">IF($A432-T$3&lt;2,0,OFFSET('FPSO1 Base'!T429,-'FPSO1 Otim'!T$3,0))</f>
        <v>310.33050000000003</v>
      </c>
      <c r="U432" s="19">
        <f ca="1">IF($A432-U$3&lt;2,0,OFFSET('FPSO1 Base'!U429,-'FPSO1 Otim'!U$3,0))</f>
        <v>446.95049999999998</v>
      </c>
      <c r="V432" s="19">
        <f ca="1">IF($A432-V$3&lt;2,0,OFFSET('FPSO1 Base'!V429,-'FPSO1 Otim'!V$3,0))</f>
        <v>386.70899999999995</v>
      </c>
      <c r="W432" s="19">
        <f ca="1">IF($A432-W$3&lt;2,0,OFFSET('FPSO1 Base'!W429,-'FPSO1 Otim'!W$3,0))</f>
        <v>171.072</v>
      </c>
      <c r="X432" s="19">
        <f ca="1">IF($A432-X$3&lt;2,0,OFFSET('FPSO1 Base'!X429,-'FPSO1 Otim'!X$3,0))</f>
        <v>0</v>
      </c>
      <c r="Y432" s="19">
        <f ca="1">IF($A432-Y$3&lt;2,0,OFFSET('FPSO1 Base'!Y429,-'FPSO1 Otim'!Y$3,0))</f>
        <v>0</v>
      </c>
      <c r="Z432" s="19">
        <f ca="1">IF($A432-Z$3&lt;2,0,OFFSET('FPSO1 Base'!Z429,-'FPSO1 Otim'!Z$3,0))</f>
        <v>162.13800000000001</v>
      </c>
      <c r="AA432" s="20">
        <v>15000</v>
      </c>
      <c r="AB432" s="19">
        <f t="shared" ca="1" si="22"/>
        <v>4875.0055955585658</v>
      </c>
      <c r="AC432" s="20">
        <f t="shared" ca="1" si="23"/>
        <v>10124.994404441433</v>
      </c>
      <c r="AD432" s="19">
        <f t="shared" ca="1" si="24"/>
        <v>142.10788635319389</v>
      </c>
    </row>
    <row r="433" spans="1:30" x14ac:dyDescent="0.25">
      <c r="A433" s="19">
        <v>429</v>
      </c>
      <c r="B433" s="31">
        <v>58654</v>
      </c>
      <c r="C433" s="19">
        <f ca="1">IF($A433-C$3&lt;2,0,OFFSET('FPSO1 Base'!C430,-'FPSO1 Otim'!C$3,0))</f>
        <v>376.84350000000001</v>
      </c>
      <c r="D433" s="19">
        <f ca="1">IF($A433-D$3&lt;2,0,OFFSET('FPSO1 Base'!D430,-'FPSO1 Otim'!D$3,0))</f>
        <v>47.151633580194847</v>
      </c>
      <c r="E433" s="19">
        <f ca="1">IF($A433-E$3&lt;2,0,OFFSET('FPSO1 Base'!E430,-'FPSO1 Otim'!E$3,0))</f>
        <v>163.09950000000001</v>
      </c>
      <c r="F433" s="19">
        <f ca="1">IF($A433-F$3&lt;2,0,OFFSET('FPSO1 Base'!F430,-'FPSO1 Otim'!F$3,0))</f>
        <v>244.52549999999999</v>
      </c>
      <c r="G433" s="19">
        <f ca="1">IF($A433-G$3&lt;2,0,OFFSET('FPSO1 Base'!G430,-'FPSO1 Otim'!G$3,0))</f>
        <v>84.530705074047091</v>
      </c>
      <c r="H433" s="19">
        <f ca="1">IF($A433-H$3&lt;2,0,OFFSET('FPSO1 Base'!H430,-'FPSO1 Otim'!H$3,0))</f>
        <v>532.05600000000004</v>
      </c>
      <c r="I433" s="19">
        <f ca="1">IF($A433-I$3&lt;2,0,OFFSET('FPSO1 Base'!I430,-'FPSO1 Otim'!I$3,0))</f>
        <v>364.98450000000003</v>
      </c>
      <c r="J433" s="19">
        <f ca="1">IF($A433-J$3&lt;2,0,OFFSET('FPSO1 Base'!J430,-'FPSO1 Otim'!J$3,0))</f>
        <v>182.8305</v>
      </c>
      <c r="K433" s="19">
        <f ca="1">IF($A433-K$3&lt;2,0,OFFSET('FPSO1 Base'!K430,-'FPSO1 Otim'!K$3,0))</f>
        <v>130.99969432581256</v>
      </c>
      <c r="L433" s="19">
        <f ca="1">IF($A433-L$3&lt;2,0,OFFSET('FPSO1 Base'!L430,-'FPSO1 Otim'!L$3,0))</f>
        <v>217.2585</v>
      </c>
      <c r="M433" s="19">
        <f ca="1">IF($A433-M$3&lt;2,0,OFFSET('FPSO1 Base'!M430,-'FPSO1 Otim'!M$3,0))</f>
        <v>324.1755</v>
      </c>
      <c r="N433" s="19">
        <f ca="1">IF($A433-N$3&lt;2,0,OFFSET('FPSO1 Base'!N430,-'FPSO1 Otim'!N$3,0))</f>
        <v>4.6842441291362116</v>
      </c>
      <c r="O433" s="19">
        <f ca="1">IF($A433-O$3&lt;2,0,OFFSET('FPSO1 Base'!O430,-'FPSO1 Otim'!O$3,0))</f>
        <v>100.76506765054263</v>
      </c>
      <c r="P433" s="19">
        <f ca="1">IF($A433-P$3&lt;2,0,OFFSET('FPSO1 Base'!P430,-'FPSO1 Otim'!P$3,0))</f>
        <v>26.705245552617459</v>
      </c>
      <c r="Q433" s="19">
        <f ca="1">IF($A433-Q$3&lt;2,0,OFFSET('FPSO1 Base'!Q430,-'FPSO1 Otim'!Q$3,0))</f>
        <v>324.387</v>
      </c>
      <c r="R433" s="19">
        <f ca="1">IF($A433-R$3&lt;2,0,OFFSET('FPSO1 Base'!R430,-'FPSO1 Otim'!R$3,0))</f>
        <v>8.3137792906300341</v>
      </c>
      <c r="S433" s="19">
        <f ca="1">IF($A433-S$3&lt;2,0,OFFSET('FPSO1 Base'!S430,-'FPSO1 Otim'!S$3,0))</f>
        <v>257.12850000000003</v>
      </c>
      <c r="T433" s="19">
        <f ca="1">IF($A433-T$3&lt;2,0,OFFSET('FPSO1 Base'!T430,-'FPSO1 Otim'!T$3,0))</f>
        <v>308.95050000000003</v>
      </c>
      <c r="U433" s="19">
        <f ca="1">IF($A433-U$3&lt;2,0,OFFSET('FPSO1 Base'!U430,-'FPSO1 Otim'!U$3,0))</f>
        <v>446.322</v>
      </c>
      <c r="V433" s="19">
        <f ca="1">IF($A433-V$3&lt;2,0,OFFSET('FPSO1 Base'!V430,-'FPSO1 Otim'!V$3,0))</f>
        <v>385.09950000000003</v>
      </c>
      <c r="W433" s="19">
        <f ca="1">IF($A433-W$3&lt;2,0,OFFSET('FPSO1 Base'!W430,-'FPSO1 Otim'!W$3,0))</f>
        <v>170.59950000000001</v>
      </c>
      <c r="X433" s="19">
        <f ca="1">IF($A433-X$3&lt;2,0,OFFSET('FPSO1 Base'!X430,-'FPSO1 Otim'!X$3,0))</f>
        <v>0</v>
      </c>
      <c r="Y433" s="19">
        <f ca="1">IF($A433-Y$3&lt;2,0,OFFSET('FPSO1 Base'!Y430,-'FPSO1 Otim'!Y$3,0))</f>
        <v>0</v>
      </c>
      <c r="Z433" s="19">
        <f ca="1">IF($A433-Z$3&lt;2,0,OFFSET('FPSO1 Base'!Z430,-'FPSO1 Otim'!Z$3,0))</f>
        <v>161.25</v>
      </c>
      <c r="AA433" s="20">
        <v>15000</v>
      </c>
      <c r="AB433" s="19">
        <f t="shared" ca="1" si="22"/>
        <v>4862.6608696029807</v>
      </c>
      <c r="AC433" s="20">
        <f t="shared" ca="1" si="23"/>
        <v>10137.33913039702</v>
      </c>
      <c r="AD433" s="19">
        <f t="shared" ca="1" si="24"/>
        <v>140.57656250674904</v>
      </c>
    </row>
    <row r="434" spans="1:30" x14ac:dyDescent="0.25">
      <c r="A434" s="19">
        <v>430</v>
      </c>
      <c r="B434" s="31">
        <v>58685</v>
      </c>
      <c r="C434" s="19">
        <f ca="1">IF($A434-C$3&lt;2,0,OFFSET('FPSO1 Base'!C431,-'FPSO1 Otim'!C$3,0))</f>
        <v>375.78149999999999</v>
      </c>
      <c r="D434" s="19">
        <f ca="1">IF($A434-D$3&lt;2,0,OFFSET('FPSO1 Base'!D431,-'FPSO1 Otim'!D$3,0))</f>
        <v>46.680117244392896</v>
      </c>
      <c r="E434" s="19">
        <f ca="1">IF($A434-E$3&lt;2,0,OFFSET('FPSO1 Base'!E431,-'FPSO1 Otim'!E$3,0))</f>
        <v>162.435</v>
      </c>
      <c r="F434" s="19">
        <f ca="1">IF($A434-F$3&lt;2,0,OFFSET('FPSO1 Base'!F431,-'FPSO1 Otim'!F$3,0))</f>
        <v>243.87149999999997</v>
      </c>
      <c r="G434" s="19">
        <f ca="1">IF($A434-G$3&lt;2,0,OFFSET('FPSO1 Base'!G431,-'FPSO1 Otim'!G$3,0))</f>
        <v>83.685398023306618</v>
      </c>
      <c r="H434" s="19">
        <f ca="1">IF($A434-H$3&lt;2,0,OFFSET('FPSO1 Base'!H431,-'FPSO1 Otim'!H$3,0))</f>
        <v>532.02149999999995</v>
      </c>
      <c r="I434" s="19">
        <f ca="1">IF($A434-I$3&lt;2,0,OFFSET('FPSO1 Base'!I431,-'FPSO1 Otim'!I$3,0))</f>
        <v>364.57500000000005</v>
      </c>
      <c r="J434" s="19">
        <f ca="1">IF($A434-J$3&lt;2,0,OFFSET('FPSO1 Base'!J431,-'FPSO1 Otim'!J$3,0))</f>
        <v>182.4495</v>
      </c>
      <c r="K434" s="19">
        <f ca="1">IF($A434-K$3&lt;2,0,OFFSET('FPSO1 Base'!K431,-'FPSO1 Otim'!K$3,0))</f>
        <v>129.68969738255444</v>
      </c>
      <c r="L434" s="19">
        <f ca="1">IF($A434-L$3&lt;2,0,OFFSET('FPSO1 Base'!L431,-'FPSO1 Otim'!L$3,0))</f>
        <v>217.04999999999998</v>
      </c>
      <c r="M434" s="19">
        <f ca="1">IF($A434-M$3&lt;2,0,OFFSET('FPSO1 Base'!M431,-'FPSO1 Otim'!M$3,0))</f>
        <v>324.24149999999997</v>
      </c>
      <c r="N434" s="19">
        <f ca="1">IF($A434-N$3&lt;2,0,OFFSET('FPSO1 Base'!N431,-'FPSO1 Otim'!N$3,0))</f>
        <v>4.6374016878448492</v>
      </c>
      <c r="O434" s="19">
        <f ca="1">IF($A434-O$3&lt;2,0,OFFSET('FPSO1 Base'!O431,-'FPSO1 Otim'!O$3,0))</f>
        <v>99.757416974037213</v>
      </c>
      <c r="P434" s="19">
        <f ca="1">IF($A434-P$3&lt;2,0,OFFSET('FPSO1 Base'!P431,-'FPSO1 Otim'!P$3,0))</f>
        <v>26.438193097091283</v>
      </c>
      <c r="Q434" s="19">
        <f ca="1">IF($A434-Q$3&lt;2,0,OFFSET('FPSO1 Base'!Q431,-'FPSO1 Otim'!Q$3,0))</f>
        <v>324.24149999999997</v>
      </c>
      <c r="R434" s="19">
        <f ca="1">IF($A434-R$3&lt;2,0,OFFSET('FPSO1 Base'!R431,-'FPSO1 Otim'!R$3,0))</f>
        <v>8.2306414977237328</v>
      </c>
      <c r="S434" s="19">
        <f ca="1">IF($A434-S$3&lt;2,0,OFFSET('FPSO1 Base'!S431,-'FPSO1 Otim'!S$3,0))</f>
        <v>257.00850000000003</v>
      </c>
      <c r="T434" s="19">
        <f ca="1">IF($A434-T$3&lt;2,0,OFFSET('FPSO1 Base'!T431,-'FPSO1 Otim'!T$3,0))</f>
        <v>307.64550000000003</v>
      </c>
      <c r="U434" s="19">
        <f ca="1">IF($A434-U$3&lt;2,0,OFFSET('FPSO1 Base'!U431,-'FPSO1 Otim'!U$3,0))</f>
        <v>445.74149999999997</v>
      </c>
      <c r="V434" s="19">
        <f ca="1">IF($A434-V$3&lt;2,0,OFFSET('FPSO1 Base'!V431,-'FPSO1 Otim'!V$3,0))</f>
        <v>383.661</v>
      </c>
      <c r="W434" s="19">
        <f ca="1">IF($A434-W$3&lt;2,0,OFFSET('FPSO1 Base'!W431,-'FPSO1 Otim'!W$3,0))</f>
        <v>170.1285</v>
      </c>
      <c r="X434" s="19">
        <f ca="1">IF($A434-X$3&lt;2,0,OFFSET('FPSO1 Base'!X431,-'FPSO1 Otim'!X$3,0))</f>
        <v>0</v>
      </c>
      <c r="Y434" s="19">
        <f ca="1">IF($A434-Y$3&lt;2,0,OFFSET('FPSO1 Base'!Y431,-'FPSO1 Otim'!Y$3,0))</f>
        <v>0</v>
      </c>
      <c r="Z434" s="19">
        <f ca="1">IF($A434-Z$3&lt;2,0,OFFSET('FPSO1 Base'!Z431,-'FPSO1 Otim'!Z$3,0))</f>
        <v>160.33799999999999</v>
      </c>
      <c r="AA434" s="20">
        <v>15000</v>
      </c>
      <c r="AB434" s="19">
        <f t="shared" ca="1" si="22"/>
        <v>4850.3088659069508</v>
      </c>
      <c r="AC434" s="20">
        <f t="shared" ca="1" si="23"/>
        <v>10149.691134093049</v>
      </c>
      <c r="AD434" s="19">
        <f t="shared" ca="1" si="24"/>
        <v>139.06063498217338</v>
      </c>
    </row>
    <row r="435" spans="1:30" x14ac:dyDescent="0.25">
      <c r="A435" s="19">
        <v>431</v>
      </c>
      <c r="B435" s="31">
        <v>58715</v>
      </c>
      <c r="C435" s="19">
        <f ca="1">IF($A435-C$3&lt;2,0,OFFSET('FPSO1 Base'!C432,-'FPSO1 Otim'!C$3,0))</f>
        <v>374.85750000000002</v>
      </c>
      <c r="D435" s="19">
        <f ca="1">IF($A435-D$3&lt;2,0,OFFSET('FPSO1 Base'!D432,-'FPSO1 Otim'!D$3,0))</f>
        <v>46.213316071948967</v>
      </c>
      <c r="E435" s="19">
        <f ca="1">IF($A435-E$3&lt;2,0,OFFSET('FPSO1 Base'!E432,-'FPSO1 Otim'!E$3,0))</f>
        <v>161.8785</v>
      </c>
      <c r="F435" s="19">
        <f ca="1">IF($A435-F$3&lt;2,0,OFFSET('FPSO1 Base'!F432,-'FPSO1 Otim'!F$3,0))</f>
        <v>243.2415</v>
      </c>
      <c r="G435" s="19">
        <f ca="1">IF($A435-G$3&lt;2,0,OFFSET('FPSO1 Base'!G432,-'FPSO1 Otim'!G$3,0))</f>
        <v>82.848544043073545</v>
      </c>
      <c r="H435" s="19">
        <f ca="1">IF($A435-H$3&lt;2,0,OFFSET('FPSO1 Base'!H432,-'FPSO1 Otim'!H$3,0))</f>
        <v>532.04549999999995</v>
      </c>
      <c r="I435" s="19">
        <f ca="1">IF($A435-I$3&lt;2,0,OFFSET('FPSO1 Base'!I432,-'FPSO1 Otim'!I$3,0))</f>
        <v>364.137</v>
      </c>
      <c r="J435" s="19">
        <f ca="1">IF($A435-J$3&lt;2,0,OFFSET('FPSO1 Base'!J432,-'FPSO1 Otim'!J$3,0))</f>
        <v>182.1045</v>
      </c>
      <c r="K435" s="19">
        <f ca="1">IF($A435-K$3&lt;2,0,OFFSET('FPSO1 Base'!K432,-'FPSO1 Otim'!K$3,0))</f>
        <v>128.3928004087289</v>
      </c>
      <c r="L435" s="19">
        <f ca="1">IF($A435-L$3&lt;2,0,OFFSET('FPSO1 Base'!L432,-'FPSO1 Otim'!L$3,0))</f>
        <v>216.822</v>
      </c>
      <c r="M435" s="19">
        <f ca="1">IF($A435-M$3&lt;2,0,OFFSET('FPSO1 Base'!M432,-'FPSO1 Otim'!M$3,0))</f>
        <v>324.291</v>
      </c>
      <c r="N435" s="19">
        <f ca="1">IF($A435-N$3&lt;2,0,OFFSET('FPSO1 Base'!N432,-'FPSO1 Otim'!N$3,0))</f>
        <v>4.5910276709664011</v>
      </c>
      <c r="O435" s="19">
        <f ca="1">IF($A435-O$3&lt;2,0,OFFSET('FPSO1 Base'!O432,-'FPSO1 Otim'!O$3,0))</f>
        <v>98.759842804296838</v>
      </c>
      <c r="P435" s="19">
        <f ca="1">IF($A435-P$3&lt;2,0,OFFSET('FPSO1 Base'!P432,-'FPSO1 Otim'!P$3,0))</f>
        <v>26.17381116612037</v>
      </c>
      <c r="Q435" s="19">
        <f ca="1">IF($A435-Q$3&lt;2,0,OFFSET('FPSO1 Base'!Q432,-'FPSO1 Otim'!Q$3,0))</f>
        <v>323.94600000000003</v>
      </c>
      <c r="R435" s="19">
        <f ca="1">IF($A435-R$3&lt;2,0,OFFSET('FPSO1 Base'!R432,-'FPSO1 Otim'!R$3,0))</f>
        <v>8.1483350827464953</v>
      </c>
      <c r="S435" s="19">
        <f ca="1">IF($A435-S$3&lt;2,0,OFFSET('FPSO1 Base'!S432,-'FPSO1 Otim'!S$3,0))</f>
        <v>256.86150000000004</v>
      </c>
      <c r="T435" s="19">
        <f ca="1">IF($A435-T$3&lt;2,0,OFFSET('FPSO1 Base'!T432,-'FPSO1 Otim'!T$3,0))</f>
        <v>306.55650000000003</v>
      </c>
      <c r="U435" s="19">
        <f ca="1">IF($A435-U$3&lt;2,0,OFFSET('FPSO1 Base'!U432,-'FPSO1 Otim'!U$3,0))</f>
        <v>444.98249999999996</v>
      </c>
      <c r="V435" s="19">
        <f ca="1">IF($A435-V$3&lt;2,0,OFFSET('FPSO1 Base'!V432,-'FPSO1 Otim'!V$3,0))</f>
        <v>382.25850000000003</v>
      </c>
      <c r="W435" s="19">
        <f ca="1">IF($A435-W$3&lt;2,0,OFFSET('FPSO1 Base'!W432,-'FPSO1 Otim'!W$3,0))</f>
        <v>169.64999999999998</v>
      </c>
      <c r="X435" s="19">
        <f ca="1">IF($A435-X$3&lt;2,0,OFFSET('FPSO1 Base'!X432,-'FPSO1 Otim'!X$3,0))</f>
        <v>0</v>
      </c>
      <c r="Y435" s="19">
        <f ca="1">IF($A435-Y$3&lt;2,0,OFFSET('FPSO1 Base'!Y432,-'FPSO1 Otim'!Y$3,0))</f>
        <v>0</v>
      </c>
      <c r="Z435" s="19">
        <f ca="1">IF($A435-Z$3&lt;2,0,OFFSET('FPSO1 Base'!Z432,-'FPSO1 Otim'!Z$3,0))</f>
        <v>159.4725</v>
      </c>
      <c r="AA435" s="20">
        <v>15000</v>
      </c>
      <c r="AB435" s="19">
        <f t="shared" ca="1" si="22"/>
        <v>4838.2326772478809</v>
      </c>
      <c r="AC435" s="20">
        <f t="shared" ca="1" si="23"/>
        <v>10161.767322752119</v>
      </c>
      <c r="AD435" s="19">
        <f t="shared" ca="1" si="24"/>
        <v>137.56800493599877</v>
      </c>
    </row>
    <row r="436" spans="1:30" x14ac:dyDescent="0.25">
      <c r="A436" s="19">
        <v>432</v>
      </c>
      <c r="B436" s="31">
        <v>58746</v>
      </c>
      <c r="C436" s="19">
        <f ca="1">IF($A436-C$3&lt;2,0,OFFSET('FPSO1 Base'!C433,-'FPSO1 Otim'!C$3,0))</f>
        <v>373.97399999999999</v>
      </c>
      <c r="D436" s="19">
        <f ca="1">IF($A436-D$3&lt;2,0,OFFSET('FPSO1 Base'!D433,-'FPSO1 Otim'!D$3,0))</f>
        <v>45.751182911229478</v>
      </c>
      <c r="E436" s="19">
        <f ca="1">IF($A436-E$3&lt;2,0,OFFSET('FPSO1 Base'!E433,-'FPSO1 Otim'!E$3,0))</f>
        <v>161.14350000000002</v>
      </c>
      <c r="F436" s="19">
        <f ca="1">IF($A436-F$3&lt;2,0,OFFSET('FPSO1 Base'!F433,-'FPSO1 Otim'!F$3,0))</f>
        <v>242.59950000000001</v>
      </c>
      <c r="G436" s="19">
        <f ca="1">IF($A436-G$3&lt;2,0,OFFSET('FPSO1 Base'!G433,-'FPSO1 Otim'!G$3,0))</f>
        <v>82.020058602642806</v>
      </c>
      <c r="H436" s="19">
        <f ca="1">IF($A436-H$3&lt;2,0,OFFSET('FPSO1 Base'!H433,-'FPSO1 Otim'!H$3,0))</f>
        <v>532.02600000000007</v>
      </c>
      <c r="I436" s="19">
        <f ca="1">IF($A436-I$3&lt;2,0,OFFSET('FPSO1 Base'!I433,-'FPSO1 Otim'!I$3,0))</f>
        <v>363.75</v>
      </c>
      <c r="J436" s="19">
        <f ca="1">IF($A436-J$3&lt;2,0,OFFSET('FPSO1 Base'!J433,-'FPSO1 Otim'!J$3,0))</f>
        <v>181.72500000000002</v>
      </c>
      <c r="K436" s="19">
        <f ca="1">IF($A436-K$3&lt;2,0,OFFSET('FPSO1 Base'!K433,-'FPSO1 Otim'!K$3,0))</f>
        <v>127.10887240464162</v>
      </c>
      <c r="L436" s="19">
        <f ca="1">IF($A436-L$3&lt;2,0,OFFSET('FPSO1 Base'!L433,-'FPSO1 Otim'!L$3,0))</f>
        <v>216.53249999999997</v>
      </c>
      <c r="M436" s="19">
        <f ca="1">IF($A436-M$3&lt;2,0,OFFSET('FPSO1 Base'!M433,-'FPSO1 Otim'!M$3,0))</f>
        <v>324.34950000000003</v>
      </c>
      <c r="N436" s="19">
        <f ca="1">IF($A436-N$3&lt;2,0,OFFSET('FPSO1 Base'!N433,-'FPSO1 Otim'!N$3,0))</f>
        <v>4.5451173942567369</v>
      </c>
      <c r="O436" s="19">
        <f ca="1">IF($A436-O$3&lt;2,0,OFFSET('FPSO1 Base'!O433,-'FPSO1 Otim'!O$3,0))</f>
        <v>97.772244376253866</v>
      </c>
      <c r="P436" s="19">
        <f ca="1">IF($A436-P$3&lt;2,0,OFFSET('FPSO1 Base'!P433,-'FPSO1 Otim'!P$3,0))</f>
        <v>25.912073054459167</v>
      </c>
      <c r="Q436" s="19">
        <f ca="1">IF($A436-Q$3&lt;2,0,OFFSET('FPSO1 Base'!Q433,-'FPSO1 Otim'!Q$3,0))</f>
        <v>323.73450000000003</v>
      </c>
      <c r="R436" s="19">
        <f ca="1">IF($A436-R$3&lt;2,0,OFFSET('FPSO1 Base'!R433,-'FPSO1 Otim'!R$3,0))</f>
        <v>8.06685173191903</v>
      </c>
      <c r="S436" s="19">
        <f ca="1">IF($A436-S$3&lt;2,0,OFFSET('FPSO1 Base'!S433,-'FPSO1 Otim'!S$3,0))</f>
        <v>256.69349999999997</v>
      </c>
      <c r="T436" s="19">
        <f ca="1">IF($A436-T$3&lt;2,0,OFFSET('FPSO1 Base'!T433,-'FPSO1 Otim'!T$3,0))</f>
        <v>305.66399999999999</v>
      </c>
      <c r="U436" s="19">
        <f ca="1">IF($A436-U$3&lt;2,0,OFFSET('FPSO1 Base'!U433,-'FPSO1 Otim'!U$3,0))</f>
        <v>444.43500000000006</v>
      </c>
      <c r="V436" s="19">
        <f ca="1">IF($A436-V$3&lt;2,0,OFFSET('FPSO1 Base'!V433,-'FPSO1 Otim'!V$3,0))</f>
        <v>380.85</v>
      </c>
      <c r="W436" s="19">
        <f ca="1">IF($A436-W$3&lt;2,0,OFFSET('FPSO1 Base'!W433,-'FPSO1 Otim'!W$3,0))</f>
        <v>169.137</v>
      </c>
      <c r="X436" s="19">
        <f ca="1">IF($A436-X$3&lt;2,0,OFFSET('FPSO1 Base'!X433,-'FPSO1 Otim'!X$3,0))</f>
        <v>0</v>
      </c>
      <c r="Y436" s="19">
        <f ca="1">IF($A436-Y$3&lt;2,0,OFFSET('FPSO1 Base'!Y433,-'FPSO1 Otim'!Y$3,0))</f>
        <v>0</v>
      </c>
      <c r="Z436" s="19">
        <f ca="1">IF($A436-Z$3&lt;2,0,OFFSET('FPSO1 Base'!Z433,-'FPSO1 Otim'!Z$3,0))</f>
        <v>158.613</v>
      </c>
      <c r="AA436" s="20">
        <v>15000</v>
      </c>
      <c r="AB436" s="19">
        <f t="shared" ca="1" si="22"/>
        <v>4826.403400475403</v>
      </c>
      <c r="AC436" s="20">
        <f t="shared" ca="1" si="23"/>
        <v>10173.596599524597</v>
      </c>
      <c r="AD436" s="19">
        <f t="shared" ca="1" si="24"/>
        <v>136.09751098612622</v>
      </c>
    </row>
    <row r="437" spans="1:30" x14ac:dyDescent="0.25">
      <c r="A437" s="19">
        <v>433</v>
      </c>
      <c r="B437" s="31">
        <v>58776</v>
      </c>
      <c r="C437" s="19">
        <f ca="1">IF($A437-C$3&lt;2,0,OFFSET('FPSO1 Base'!C434,-'FPSO1 Otim'!C$3,0))</f>
        <v>372.96750000000003</v>
      </c>
      <c r="D437" s="19">
        <f ca="1">IF($A437-D$3&lt;2,0,OFFSET('FPSO1 Base'!D434,-'FPSO1 Otim'!D$3,0))</f>
        <v>45.293671082117186</v>
      </c>
      <c r="E437" s="19">
        <f ca="1">IF($A437-E$3&lt;2,0,OFFSET('FPSO1 Base'!E434,-'FPSO1 Otim'!E$3,0))</f>
        <v>160.6215</v>
      </c>
      <c r="F437" s="19">
        <f ca="1">IF($A437-F$3&lt;2,0,OFFSET('FPSO1 Base'!F434,-'FPSO1 Otim'!F$3,0))</f>
        <v>241.98450000000003</v>
      </c>
      <c r="G437" s="19">
        <f ca="1">IF($A437-G$3&lt;2,0,OFFSET('FPSO1 Base'!G434,-'FPSO1 Otim'!G$3,0))</f>
        <v>81.199858016616375</v>
      </c>
      <c r="H437" s="19">
        <f ca="1">IF($A437-H$3&lt;2,0,OFFSET('FPSO1 Base'!H434,-'FPSO1 Otim'!H$3,0))</f>
        <v>532.02149999999995</v>
      </c>
      <c r="I437" s="19">
        <f ca="1">IF($A437-I$3&lt;2,0,OFFSET('FPSO1 Base'!I434,-'FPSO1 Otim'!I$3,0))</f>
        <v>363.29999999999995</v>
      </c>
      <c r="J437" s="19">
        <f ca="1">IF($A437-J$3&lt;2,0,OFFSET('FPSO1 Base'!J434,-'FPSO1 Otim'!J$3,0))</f>
        <v>181.3545</v>
      </c>
      <c r="K437" s="19">
        <f ca="1">IF($A437-K$3&lt;2,0,OFFSET('FPSO1 Base'!K434,-'FPSO1 Otim'!K$3,0))</f>
        <v>125.83778368059519</v>
      </c>
      <c r="L437" s="19">
        <f ca="1">IF($A437-L$3&lt;2,0,OFFSET('FPSO1 Base'!L434,-'FPSO1 Otim'!L$3,0))</f>
        <v>216.48149999999998</v>
      </c>
      <c r="M437" s="19">
        <f ca="1">IF($A437-M$3&lt;2,0,OFFSET('FPSO1 Base'!M434,-'FPSO1 Otim'!M$3,0))</f>
        <v>324.363</v>
      </c>
      <c r="N437" s="19">
        <f ca="1">IF($A437-N$3&lt;2,0,OFFSET('FPSO1 Base'!N434,-'FPSO1 Otim'!N$3,0))</f>
        <v>4.4996662203141691</v>
      </c>
      <c r="O437" s="19">
        <f ca="1">IF($A437-O$3&lt;2,0,OFFSET('FPSO1 Base'!O434,-'FPSO1 Otim'!O$3,0))</f>
        <v>96.794521932491321</v>
      </c>
      <c r="P437" s="19">
        <f ca="1">IF($A437-P$3&lt;2,0,OFFSET('FPSO1 Base'!P434,-'FPSO1 Otim'!P$3,0))</f>
        <v>25.652952323914576</v>
      </c>
      <c r="Q437" s="19">
        <f ca="1">IF($A437-Q$3&lt;2,0,OFFSET('FPSO1 Base'!Q434,-'FPSO1 Otim'!Q$3,0))</f>
        <v>323.4255</v>
      </c>
      <c r="R437" s="19">
        <f ca="1">IF($A437-R$3&lt;2,0,OFFSET('FPSO1 Base'!R434,-'FPSO1 Otim'!R$3,0))</f>
        <v>7.9861832145998397</v>
      </c>
      <c r="S437" s="19">
        <f ca="1">IF($A437-S$3&lt;2,0,OFFSET('FPSO1 Base'!S434,-'FPSO1 Otim'!S$3,0))</f>
        <v>256.57500000000005</v>
      </c>
      <c r="T437" s="19">
        <f ca="1">IF($A437-T$3&lt;2,0,OFFSET('FPSO1 Base'!T434,-'FPSO1 Otim'!T$3,0))</f>
        <v>305.03249999999997</v>
      </c>
      <c r="U437" s="19">
        <f ca="1">IF($A437-U$3&lt;2,0,OFFSET('FPSO1 Base'!U434,-'FPSO1 Otim'!U$3,0))</f>
        <v>443.74950000000001</v>
      </c>
      <c r="V437" s="19">
        <f ca="1">IF($A437-V$3&lt;2,0,OFFSET('FPSO1 Base'!V434,-'FPSO1 Otim'!V$3,0))</f>
        <v>379.59749999999997</v>
      </c>
      <c r="W437" s="19">
        <f ca="1">IF($A437-W$3&lt;2,0,OFFSET('FPSO1 Base'!W434,-'FPSO1 Otim'!W$3,0))</f>
        <v>168.6525</v>
      </c>
      <c r="X437" s="19">
        <f ca="1">IF($A437-X$3&lt;2,0,OFFSET('FPSO1 Base'!X434,-'FPSO1 Otim'!X$3,0))</f>
        <v>0</v>
      </c>
      <c r="Y437" s="19">
        <f ca="1">IF($A437-Y$3&lt;2,0,OFFSET('FPSO1 Base'!Y434,-'FPSO1 Otim'!Y$3,0))</f>
        <v>0</v>
      </c>
      <c r="Z437" s="19">
        <f ca="1">IF($A437-Z$3&lt;2,0,OFFSET('FPSO1 Base'!Z434,-'FPSO1 Otim'!Z$3,0))</f>
        <v>157.75049999999999</v>
      </c>
      <c r="AA437" s="20">
        <v>15000</v>
      </c>
      <c r="AB437" s="19">
        <f t="shared" ca="1" si="22"/>
        <v>4815.1416364706483</v>
      </c>
      <c r="AC437" s="20">
        <f t="shared" ca="1" si="23"/>
        <v>10184.858363529351</v>
      </c>
      <c r="AD437" s="19">
        <f t="shared" ca="1" si="24"/>
        <v>134.65779741441747</v>
      </c>
    </row>
    <row r="438" spans="1:30" x14ac:dyDescent="0.25">
      <c r="A438" s="19">
        <v>434</v>
      </c>
      <c r="B438" s="31">
        <v>58807</v>
      </c>
      <c r="C438" s="19">
        <f ca="1">IF($A438-C$3&lt;2,0,OFFSET('FPSO1 Base'!C435,-'FPSO1 Otim'!C$3,0))</f>
        <v>371.976</v>
      </c>
      <c r="D438" s="19">
        <f ca="1">IF($A438-D$3&lt;2,0,OFFSET('FPSO1 Base'!D435,-'FPSO1 Otim'!D$3,0))</f>
        <v>44.840734371296016</v>
      </c>
      <c r="E438" s="19">
        <f ca="1">IF($A438-E$3&lt;2,0,OFFSET('FPSO1 Base'!E435,-'FPSO1 Otim'!E$3,0))</f>
        <v>159.9255</v>
      </c>
      <c r="F438" s="19">
        <f ca="1">IF($A438-F$3&lt;2,0,OFFSET('FPSO1 Base'!F435,-'FPSO1 Otim'!F$3,0))</f>
        <v>241.37549999999999</v>
      </c>
      <c r="G438" s="19">
        <f ca="1">IF($A438-G$3&lt;2,0,OFFSET('FPSO1 Base'!G435,-'FPSO1 Otim'!G$3,0))</f>
        <v>80.387859436450213</v>
      </c>
      <c r="H438" s="19">
        <f ca="1">IF($A438-H$3&lt;2,0,OFFSET('FPSO1 Base'!H435,-'FPSO1 Otim'!H$3,0))</f>
        <v>532.00649999999996</v>
      </c>
      <c r="I438" s="19">
        <f ca="1">IF($A438-I$3&lt;2,0,OFFSET('FPSO1 Base'!I435,-'FPSO1 Otim'!I$3,0))</f>
        <v>362.87850000000003</v>
      </c>
      <c r="J438" s="19">
        <f ca="1">IF($A438-J$3&lt;2,0,OFFSET('FPSO1 Base'!J435,-'FPSO1 Otim'!J$3,0))</f>
        <v>180.9915</v>
      </c>
      <c r="K438" s="19">
        <f ca="1">IF($A438-K$3&lt;2,0,OFFSET('FPSO1 Base'!K435,-'FPSO1 Otim'!K$3,0))</f>
        <v>124.57940584378925</v>
      </c>
      <c r="L438" s="19">
        <f ca="1">IF($A438-L$3&lt;2,0,OFFSET('FPSO1 Base'!L435,-'FPSO1 Otim'!L$3,0))</f>
        <v>216.387</v>
      </c>
      <c r="M438" s="19">
        <f ca="1">IF($A438-M$3&lt;2,0,OFFSET('FPSO1 Base'!M435,-'FPSO1 Otim'!M$3,0))</f>
        <v>324.32550000000003</v>
      </c>
      <c r="N438" s="19">
        <f ca="1">IF($A438-N$3&lt;2,0,OFFSET('FPSO1 Base'!N435,-'FPSO1 Otim'!N$3,0))</f>
        <v>4.4546695581110276</v>
      </c>
      <c r="O438" s="19">
        <f ca="1">IF($A438-O$3&lt;2,0,OFFSET('FPSO1 Base'!O435,-'FPSO1 Otim'!O$3,0))</f>
        <v>95.826576713166403</v>
      </c>
      <c r="P438" s="19">
        <f ca="1">IF($A438-P$3&lt;2,0,OFFSET('FPSO1 Base'!P435,-'FPSO1 Otim'!P$3,0))</f>
        <v>25.396422800675431</v>
      </c>
      <c r="Q438" s="19">
        <f ca="1">IF($A438-Q$3&lt;2,0,OFFSET('FPSO1 Base'!Q435,-'FPSO1 Otim'!Q$3,0))</f>
        <v>323.202</v>
      </c>
      <c r="R438" s="19">
        <f ca="1">IF($A438-R$3&lt;2,0,OFFSET('FPSO1 Base'!R435,-'FPSO1 Otim'!R$3,0))</f>
        <v>7.9063213824538412</v>
      </c>
      <c r="S438" s="19">
        <f ca="1">IF($A438-S$3&lt;2,0,OFFSET('FPSO1 Base'!S435,-'FPSO1 Otim'!S$3,0))</f>
        <v>256.35449999999997</v>
      </c>
      <c r="T438" s="19">
        <f ca="1">IF($A438-T$3&lt;2,0,OFFSET('FPSO1 Base'!T435,-'FPSO1 Otim'!T$3,0))</f>
        <v>304.37549999999999</v>
      </c>
      <c r="U438" s="19">
        <f ca="1">IF($A438-U$3&lt;2,0,OFFSET('FPSO1 Base'!U435,-'FPSO1 Otim'!U$3,0))</f>
        <v>443.12849999999997</v>
      </c>
      <c r="V438" s="19">
        <f ca="1">IF($A438-V$3&lt;2,0,OFFSET('FPSO1 Base'!V435,-'FPSO1 Otim'!V$3,0))</f>
        <v>378.1995</v>
      </c>
      <c r="W438" s="19">
        <f ca="1">IF($A438-W$3&lt;2,0,OFFSET('FPSO1 Base'!W435,-'FPSO1 Otim'!W$3,0))</f>
        <v>168.14999999999998</v>
      </c>
      <c r="X438" s="19">
        <f ca="1">IF($A438-X$3&lt;2,0,OFFSET('FPSO1 Base'!X435,-'FPSO1 Otim'!X$3,0))</f>
        <v>0</v>
      </c>
      <c r="Y438" s="19">
        <f ca="1">IF($A438-Y$3&lt;2,0,OFFSET('FPSO1 Base'!Y435,-'FPSO1 Otim'!Y$3,0))</f>
        <v>0</v>
      </c>
      <c r="Z438" s="19">
        <f ca="1">IF($A438-Z$3&lt;2,0,OFFSET('FPSO1 Base'!Z435,-'FPSO1 Otim'!Z$3,0))</f>
        <v>156.9315</v>
      </c>
      <c r="AA438" s="20">
        <v>15000</v>
      </c>
      <c r="AB438" s="19">
        <f t="shared" ca="1" si="22"/>
        <v>4803.5994901059421</v>
      </c>
      <c r="AC438" s="20">
        <f t="shared" ca="1" si="23"/>
        <v>10196.400509894058</v>
      </c>
      <c r="AD438" s="19">
        <f t="shared" ca="1" si="24"/>
        <v>133.22480888981983</v>
      </c>
    </row>
    <row r="439" spans="1:30" x14ac:dyDescent="0.25">
      <c r="A439" s="19">
        <v>435</v>
      </c>
      <c r="B439" s="31">
        <v>58838</v>
      </c>
      <c r="C439" s="19">
        <f ca="1">IF($A439-C$3&lt;2,0,OFFSET('FPSO1 Base'!C436,-'FPSO1 Otim'!C$3,0))</f>
        <v>371.23349999999999</v>
      </c>
      <c r="D439" s="19">
        <f ca="1">IF($A439-D$3&lt;2,0,OFFSET('FPSO1 Base'!D436,-'FPSO1 Otim'!D$3,0))</f>
        <v>44.392327027583057</v>
      </c>
      <c r="E439" s="19">
        <f ca="1">IF($A439-E$3&lt;2,0,OFFSET('FPSO1 Base'!E436,-'FPSO1 Otim'!E$3,0))</f>
        <v>159.363</v>
      </c>
      <c r="F439" s="19">
        <f ca="1">IF($A439-F$3&lt;2,0,OFFSET('FPSO1 Base'!F436,-'FPSO1 Otim'!F$3,0))</f>
        <v>240.774</v>
      </c>
      <c r="G439" s="19">
        <f ca="1">IF($A439-G$3&lt;2,0,OFFSET('FPSO1 Base'!G436,-'FPSO1 Otim'!G$3,0))</f>
        <v>79.583980842085708</v>
      </c>
      <c r="H439" s="19">
        <f ca="1">IF($A439-H$3&lt;2,0,OFFSET('FPSO1 Base'!H436,-'FPSO1 Otim'!H$3,0))</f>
        <v>531.99750000000006</v>
      </c>
      <c r="I439" s="19">
        <f ca="1">IF($A439-I$3&lt;2,0,OFFSET('FPSO1 Base'!I436,-'FPSO1 Otim'!I$3,0))</f>
        <v>362.4495</v>
      </c>
      <c r="J439" s="19">
        <f ca="1">IF($A439-J$3&lt;2,0,OFFSET('FPSO1 Base'!J436,-'FPSO1 Otim'!J$3,0))</f>
        <v>180.62549999999999</v>
      </c>
      <c r="K439" s="19">
        <f ca="1">IF($A439-K$3&lt;2,0,OFFSET('FPSO1 Base'!K436,-'FPSO1 Otim'!K$3,0))</f>
        <v>123.33361178535135</v>
      </c>
      <c r="L439" s="19">
        <f ca="1">IF($A439-L$3&lt;2,0,OFFSET('FPSO1 Base'!L436,-'FPSO1 Otim'!L$3,0))</f>
        <v>216.29999999999998</v>
      </c>
      <c r="M439" s="19">
        <f ca="1">IF($A439-M$3&lt;2,0,OFFSET('FPSO1 Base'!M436,-'FPSO1 Otim'!M$3,0))</f>
        <v>324.459</v>
      </c>
      <c r="N439" s="19">
        <f ca="1">IF($A439-N$3&lt;2,0,OFFSET('FPSO1 Base'!N436,-'FPSO1 Otim'!N$3,0))</f>
        <v>4.4101228625299171</v>
      </c>
      <c r="O439" s="19">
        <f ca="1">IF($A439-O$3&lt;2,0,OFFSET('FPSO1 Base'!O436,-'FPSO1 Otim'!O$3,0))</f>
        <v>94.86831094603474</v>
      </c>
      <c r="P439" s="19">
        <f ca="1">IF($A439-P$3&lt;2,0,OFFSET('FPSO1 Base'!P436,-'FPSO1 Otim'!P$3,0))</f>
        <v>25.142458572668676</v>
      </c>
      <c r="Q439" s="19">
        <f ca="1">IF($A439-Q$3&lt;2,0,OFFSET('FPSO1 Base'!Q436,-'FPSO1 Otim'!Q$3,0))</f>
        <v>322.97550000000001</v>
      </c>
      <c r="R439" s="19">
        <f ca="1">IF($A439-R$3&lt;2,0,OFFSET('FPSO1 Base'!R436,-'FPSO1 Otim'!R$3,0))</f>
        <v>7.827258168629303</v>
      </c>
      <c r="S439" s="19">
        <f ca="1">IF($A439-S$3&lt;2,0,OFFSET('FPSO1 Base'!S436,-'FPSO1 Otim'!S$3,0))</f>
        <v>256.22550000000001</v>
      </c>
      <c r="T439" s="19">
        <f ca="1">IF($A439-T$3&lt;2,0,OFFSET('FPSO1 Base'!T436,-'FPSO1 Otim'!T$3,0))</f>
        <v>303.75</v>
      </c>
      <c r="U439" s="19">
        <f ca="1">IF($A439-U$3&lt;2,0,OFFSET('FPSO1 Base'!U436,-'FPSO1 Otim'!U$3,0))</f>
        <v>0</v>
      </c>
      <c r="V439" s="19">
        <f ca="1">IF($A439-V$3&lt;2,0,OFFSET('FPSO1 Base'!V436,-'FPSO1 Otim'!V$3,0))</f>
        <v>376.887</v>
      </c>
      <c r="W439" s="19">
        <f ca="1">IF($A439-W$3&lt;2,0,OFFSET('FPSO1 Base'!W436,-'FPSO1 Otim'!W$3,0))</f>
        <v>167.661</v>
      </c>
      <c r="X439" s="19">
        <f ca="1">IF($A439-X$3&lt;2,0,OFFSET('FPSO1 Base'!X436,-'FPSO1 Otim'!X$3,0))</f>
        <v>0</v>
      </c>
      <c r="Y439" s="19">
        <f ca="1">IF($A439-Y$3&lt;2,0,OFFSET('FPSO1 Base'!Y436,-'FPSO1 Otim'!Y$3,0))</f>
        <v>0</v>
      </c>
      <c r="Z439" s="19">
        <f ca="1">IF($A439-Z$3&lt;2,0,OFFSET('FPSO1 Base'!Z436,-'FPSO1 Otim'!Z$3,0))</f>
        <v>156.07499999999999</v>
      </c>
      <c r="AA439" s="20">
        <v>15000</v>
      </c>
      <c r="AB439" s="19">
        <f t="shared" ca="1" si="22"/>
        <v>4350.3340702048827</v>
      </c>
      <c r="AC439" s="20">
        <f t="shared" ca="1" si="23"/>
        <v>10649.665929795117</v>
      </c>
      <c r="AD439" s="19">
        <f t="shared" ca="1" si="24"/>
        <v>119.65663905594812</v>
      </c>
    </row>
    <row r="440" spans="1:30" x14ac:dyDescent="0.25">
      <c r="A440" s="19">
        <v>436</v>
      </c>
      <c r="B440" s="31">
        <v>58866</v>
      </c>
      <c r="C440" s="19">
        <f ca="1">IF($A440-C$3&lt;2,0,OFFSET('FPSO1 Base'!C437,-'FPSO1 Otim'!C$3,0))</f>
        <v>370.27499999999998</v>
      </c>
      <c r="D440" s="19">
        <f ca="1">IF($A440-D$3&lt;2,0,OFFSET('FPSO1 Base'!D437,-'FPSO1 Otim'!D$3,0))</f>
        <v>43.948403757307226</v>
      </c>
      <c r="E440" s="19">
        <f ca="1">IF($A440-E$3&lt;2,0,OFFSET('FPSO1 Base'!E437,-'FPSO1 Otim'!E$3,0))</f>
        <v>158.72549999999998</v>
      </c>
      <c r="F440" s="19">
        <f ca="1">IF($A440-F$3&lt;2,0,OFFSET('FPSO1 Base'!F437,-'FPSO1 Otim'!F$3,0))</f>
        <v>240.21750000000003</v>
      </c>
      <c r="G440" s="19">
        <f ca="1">IF($A440-G$3&lt;2,0,OFFSET('FPSO1 Base'!G437,-'FPSO1 Otim'!G$3,0))</f>
        <v>78.788141033664857</v>
      </c>
      <c r="H440" s="19">
        <f ca="1">IF($A440-H$3&lt;2,0,OFFSET('FPSO1 Base'!H437,-'FPSO1 Otim'!H$3,0))</f>
        <v>532.00649999999996</v>
      </c>
      <c r="I440" s="19">
        <f ca="1">IF($A440-I$3&lt;2,0,OFFSET('FPSO1 Base'!I437,-'FPSO1 Otim'!I$3,0))</f>
        <v>362.05650000000003</v>
      </c>
      <c r="J440" s="19">
        <f ca="1">IF($A440-J$3&lt;2,0,OFFSET('FPSO1 Base'!J437,-'FPSO1 Otim'!J$3,0))</f>
        <v>180.291</v>
      </c>
      <c r="K440" s="19">
        <f ca="1">IF($A440-K$3&lt;2,0,OFFSET('FPSO1 Base'!K437,-'FPSO1 Otim'!K$3,0))</f>
        <v>122.10027566749784</v>
      </c>
      <c r="L440" s="19">
        <f ca="1">IF($A440-L$3&lt;2,0,OFFSET('FPSO1 Base'!L437,-'FPSO1 Otim'!L$3,0))</f>
        <v>216.12149999999997</v>
      </c>
      <c r="M440" s="19">
        <f ca="1">IF($A440-M$3&lt;2,0,OFFSET('FPSO1 Base'!M437,-'FPSO1 Otim'!M$3,0))</f>
        <v>324.702</v>
      </c>
      <c r="N440" s="19">
        <f ca="1">IF($A440-N$3&lt;2,0,OFFSET('FPSO1 Base'!N437,-'FPSO1 Otim'!N$3,0))</f>
        <v>4.3660216339046176</v>
      </c>
      <c r="O440" s="19">
        <f ca="1">IF($A440-O$3&lt;2,0,OFFSET('FPSO1 Base'!O437,-'FPSO1 Otim'!O$3,0))</f>
        <v>93.919627836574392</v>
      </c>
      <c r="P440" s="19">
        <f ca="1">IF($A440-P$3&lt;2,0,OFFSET('FPSO1 Base'!P437,-'FPSO1 Otim'!P$3,0))</f>
        <v>24.891033986941988</v>
      </c>
      <c r="Q440" s="19">
        <f ca="1">IF($A440-Q$3&lt;2,0,OFFSET('FPSO1 Base'!Q437,-'FPSO1 Otim'!Q$3,0))</f>
        <v>322.74149999999997</v>
      </c>
      <c r="R440" s="19">
        <f ca="1">IF($A440-R$3&lt;2,0,OFFSET('FPSO1 Base'!R437,-'FPSO1 Otim'!R$3,0))</f>
        <v>7.74898558694301</v>
      </c>
      <c r="S440" s="19">
        <f ca="1">IF($A440-S$3&lt;2,0,OFFSET('FPSO1 Base'!S437,-'FPSO1 Otim'!S$3,0))</f>
        <v>256.01549999999997</v>
      </c>
      <c r="T440" s="19">
        <f ca="1">IF($A440-T$3&lt;2,0,OFFSET('FPSO1 Base'!T437,-'FPSO1 Otim'!T$3,0))</f>
        <v>0</v>
      </c>
      <c r="U440" s="19">
        <f ca="1">IF($A440-U$3&lt;2,0,OFFSET('FPSO1 Base'!U437,-'FPSO1 Otim'!U$3,0))</f>
        <v>0</v>
      </c>
      <c r="V440" s="19">
        <f ca="1">IF($A440-V$3&lt;2,0,OFFSET('FPSO1 Base'!V437,-'FPSO1 Otim'!V$3,0))</f>
        <v>375.678</v>
      </c>
      <c r="W440" s="19">
        <f ca="1">IF($A440-W$3&lt;2,0,OFFSET('FPSO1 Base'!W437,-'FPSO1 Otim'!W$3,0))</f>
        <v>167.14950000000002</v>
      </c>
      <c r="X440" s="19">
        <f ca="1">IF($A440-X$3&lt;2,0,OFFSET('FPSO1 Base'!X437,-'FPSO1 Otim'!X$3,0))</f>
        <v>0</v>
      </c>
      <c r="Y440" s="19">
        <f ca="1">IF($A440-Y$3&lt;2,0,OFFSET('FPSO1 Base'!Y437,-'FPSO1 Otim'!Y$3,0))</f>
        <v>0</v>
      </c>
      <c r="Z440" s="19">
        <f ca="1">IF($A440-Z$3&lt;2,0,OFFSET('FPSO1 Base'!Z437,-'FPSO1 Otim'!Z$3,0))</f>
        <v>155.262</v>
      </c>
      <c r="AA440" s="20">
        <v>15000</v>
      </c>
      <c r="AB440" s="19">
        <f t="shared" ca="1" si="22"/>
        <v>4037.0044895028341</v>
      </c>
      <c r="AC440" s="20">
        <f t="shared" ca="1" si="23"/>
        <v>10962.995510497167</v>
      </c>
      <c r="AD440" s="19">
        <f t="shared" ca="1" si="24"/>
        <v>110.12078527833694</v>
      </c>
    </row>
    <row r="441" spans="1:30" x14ac:dyDescent="0.25">
      <c r="A441" s="19">
        <v>437</v>
      </c>
      <c r="B441" s="31">
        <v>58897</v>
      </c>
      <c r="C441" s="19">
        <f ca="1">IF($A441-C$3&lt;2,0,OFFSET('FPSO1 Base'!C438,-'FPSO1 Otim'!C$3,0))</f>
        <v>369.43349999999998</v>
      </c>
      <c r="D441" s="19">
        <f ca="1">IF($A441-D$3&lt;2,0,OFFSET('FPSO1 Base'!D438,-'FPSO1 Otim'!D$3,0))</f>
        <v>43.508919719734152</v>
      </c>
      <c r="E441" s="19">
        <f ca="1">IF($A441-E$3&lt;2,0,OFFSET('FPSO1 Base'!E438,-'FPSO1 Otim'!E$3,0))</f>
        <v>158.1285</v>
      </c>
      <c r="F441" s="19">
        <f ca="1">IF($A441-F$3&lt;2,0,OFFSET('FPSO1 Base'!F438,-'FPSO1 Otim'!F$3,0))</f>
        <v>239.59800000000001</v>
      </c>
      <c r="G441" s="19">
        <f ca="1">IF($A441-G$3&lt;2,0,OFFSET('FPSO1 Base'!G438,-'FPSO1 Otim'!G$3,0))</f>
        <v>78.000259623328205</v>
      </c>
      <c r="H441" s="19">
        <f ca="1">IF($A441-H$3&lt;2,0,OFFSET('FPSO1 Base'!H438,-'FPSO1 Otim'!H$3,0))</f>
        <v>531.99750000000006</v>
      </c>
      <c r="I441" s="19">
        <f ca="1">IF($A441-I$3&lt;2,0,OFFSET('FPSO1 Base'!I438,-'FPSO1 Otim'!I$3,0))</f>
        <v>361.66949999999997</v>
      </c>
      <c r="J441" s="19">
        <f ca="1">IF($A441-J$3&lt;2,0,OFFSET('FPSO1 Base'!J438,-'FPSO1 Otim'!J$3,0))</f>
        <v>180.07499999999999</v>
      </c>
      <c r="K441" s="19">
        <f ca="1">IF($A441-K$3&lt;2,0,OFFSET('FPSO1 Base'!K438,-'FPSO1 Otim'!K$3,0))</f>
        <v>120.87927291082286</v>
      </c>
      <c r="L441" s="19">
        <f ca="1">IF($A441-L$3&lt;2,0,OFFSET('FPSO1 Base'!L438,-'FPSO1 Otim'!L$3,0))</f>
        <v>215.95050000000003</v>
      </c>
      <c r="M441" s="19">
        <f ca="1">IF($A441-M$3&lt;2,0,OFFSET('FPSO1 Base'!M438,-'FPSO1 Otim'!M$3,0))</f>
        <v>325.03499999999997</v>
      </c>
      <c r="N441" s="19">
        <f ca="1">IF($A441-N$3&lt;2,0,OFFSET('FPSO1 Base'!N438,-'FPSO1 Otim'!N$3,0))</f>
        <v>4.3223614175655714</v>
      </c>
      <c r="O441" s="19">
        <f ca="1">IF($A441-O$3&lt;2,0,OFFSET('FPSO1 Base'!O438,-'FPSO1 Otim'!O$3,0))</f>
        <v>92.98043155820865</v>
      </c>
      <c r="P441" s="19">
        <f ca="1">IF($A441-P$3&lt;2,0,OFFSET('FPSO1 Base'!P438,-'FPSO1 Otim'!P$3,0))</f>
        <v>24.64212364707257</v>
      </c>
      <c r="Q441" s="19">
        <f ca="1">IF($A441-Q$3&lt;2,0,OFFSET('FPSO1 Base'!Q438,-'FPSO1 Otim'!Q$3,0))</f>
        <v>322.524</v>
      </c>
      <c r="R441" s="19">
        <f ca="1">IF($A441-R$3&lt;2,0,OFFSET('FPSO1 Base'!R438,-'FPSO1 Otim'!R$3,0))</f>
        <v>7.6714957310735796</v>
      </c>
      <c r="S441" s="19">
        <f ca="1">IF($A441-S$3&lt;2,0,OFFSET('FPSO1 Base'!S438,-'FPSO1 Otim'!S$3,0))</f>
        <v>255.8475</v>
      </c>
      <c r="T441" s="19">
        <f ca="1">IF($A441-T$3&lt;2,0,OFFSET('FPSO1 Base'!T438,-'FPSO1 Otim'!T$3,0))</f>
        <v>0</v>
      </c>
      <c r="U441" s="19">
        <f ca="1">IF($A441-U$3&lt;2,0,OFFSET('FPSO1 Base'!U438,-'FPSO1 Otim'!U$3,0))</f>
        <v>0</v>
      </c>
      <c r="V441" s="19">
        <f ca="1">IF($A441-V$3&lt;2,0,OFFSET('FPSO1 Base'!V438,-'FPSO1 Otim'!V$3,0))</f>
        <v>374.25</v>
      </c>
      <c r="W441" s="19">
        <f ca="1">IF($A441-W$3&lt;2,0,OFFSET('FPSO1 Base'!W438,-'FPSO1 Otim'!W$3,0))</f>
        <v>166.6695</v>
      </c>
      <c r="X441" s="19">
        <f ca="1">IF($A441-X$3&lt;2,0,OFFSET('FPSO1 Base'!X438,-'FPSO1 Otim'!X$3,0))</f>
        <v>0</v>
      </c>
      <c r="Y441" s="19">
        <f ca="1">IF($A441-Y$3&lt;2,0,OFFSET('FPSO1 Base'!Y438,-'FPSO1 Otim'!Y$3,0))</f>
        <v>0</v>
      </c>
      <c r="Z441" s="19">
        <f ca="1">IF($A441-Z$3&lt;2,0,OFFSET('FPSO1 Base'!Z438,-'FPSO1 Otim'!Z$3,0))</f>
        <v>154.512</v>
      </c>
      <c r="AA441" s="20">
        <v>15000</v>
      </c>
      <c r="AB441" s="19">
        <f t="shared" ca="1" si="22"/>
        <v>4027.695364607805</v>
      </c>
      <c r="AC441" s="20">
        <f t="shared" ca="1" si="23"/>
        <v>10972.304635392195</v>
      </c>
      <c r="AD441" s="19">
        <f t="shared" ca="1" si="24"/>
        <v>108.95886189072986</v>
      </c>
    </row>
    <row r="442" spans="1:30" x14ac:dyDescent="0.25">
      <c r="A442" s="19">
        <v>438</v>
      </c>
      <c r="B442" s="31">
        <v>58927</v>
      </c>
      <c r="C442" s="19">
        <f ca="1">IF($A442-C$3&lt;2,0,OFFSET('FPSO1 Base'!C439,-'FPSO1 Otim'!C$3,0))</f>
        <v>368.47949999999997</v>
      </c>
      <c r="D442" s="19">
        <f ca="1">IF($A442-D$3&lt;2,0,OFFSET('FPSO1 Base'!D439,-'FPSO1 Otim'!D$3,0))</f>
        <v>43.073830522536809</v>
      </c>
      <c r="E442" s="19">
        <f ca="1">IF($A442-E$3&lt;2,0,OFFSET('FPSO1 Base'!E439,-'FPSO1 Otim'!E$3,0))</f>
        <v>157.548</v>
      </c>
      <c r="F442" s="19">
        <f ca="1">IF($A442-F$3&lt;2,0,OFFSET('FPSO1 Base'!F439,-'FPSO1 Otim'!F$3,0))</f>
        <v>239.05650000000003</v>
      </c>
      <c r="G442" s="19">
        <f ca="1">IF($A442-G$3&lt;2,0,OFFSET('FPSO1 Base'!G439,-'FPSO1 Otim'!G$3,0))</f>
        <v>77.220257027094917</v>
      </c>
      <c r="H442" s="19">
        <f ca="1">IF($A442-H$3&lt;2,0,OFFSET('FPSO1 Base'!H439,-'FPSO1 Otim'!H$3,0))</f>
        <v>531.97499999999991</v>
      </c>
      <c r="I442" s="19">
        <f ca="1">IF($A442-I$3&lt;2,0,OFFSET('FPSO1 Base'!I439,-'FPSO1 Otim'!I$3,0))</f>
        <v>361.17899999999997</v>
      </c>
      <c r="J442" s="19">
        <f ca="1">IF($A442-J$3&lt;2,0,OFFSET('FPSO1 Base'!J439,-'FPSO1 Otim'!J$3,0))</f>
        <v>179.8305</v>
      </c>
      <c r="K442" s="19">
        <f ca="1">IF($A442-K$3&lt;2,0,OFFSET('FPSO1 Base'!K439,-'FPSO1 Otim'!K$3,0))</f>
        <v>119.67048018171464</v>
      </c>
      <c r="L442" s="19">
        <f ca="1">IF($A442-L$3&lt;2,0,OFFSET('FPSO1 Base'!L439,-'FPSO1 Otim'!L$3,0))</f>
        <v>215.7585</v>
      </c>
      <c r="M442" s="19">
        <f ca="1">IF($A442-M$3&lt;2,0,OFFSET('FPSO1 Base'!M439,-'FPSO1 Otim'!M$3,0))</f>
        <v>325.23450000000003</v>
      </c>
      <c r="N442" s="19">
        <f ca="1">IF($A442-N$3&lt;2,0,OFFSET('FPSO1 Base'!N439,-'FPSO1 Otim'!N$3,0))</f>
        <v>4.2791378033899159</v>
      </c>
      <c r="O442" s="19">
        <f ca="1">IF($A442-O$3&lt;2,0,OFFSET('FPSO1 Base'!O439,-'FPSO1 Otim'!O$3,0))</f>
        <v>92.050627242626561</v>
      </c>
      <c r="P442" s="19">
        <f ca="1">IF($A442-P$3&lt;2,0,OFFSET('FPSO1 Base'!P439,-'FPSO1 Otim'!P$3,0))</f>
        <v>24.395702410601842</v>
      </c>
      <c r="Q442" s="19">
        <f ca="1">IF($A442-Q$3&lt;2,0,OFFSET('FPSO1 Base'!Q439,-'FPSO1 Otim'!Q$3,0))</f>
        <v>322.3005</v>
      </c>
      <c r="R442" s="19">
        <f ca="1">IF($A442-R$3&lt;2,0,OFFSET('FPSO1 Base'!R439,-'FPSO1 Otim'!R$3,0))</f>
        <v>7.5947807737628441</v>
      </c>
      <c r="S442" s="19">
        <f ca="1">IF($A442-S$3&lt;2,0,OFFSET('FPSO1 Base'!S439,-'FPSO1 Otim'!S$3,0))</f>
        <v>255.62549999999999</v>
      </c>
      <c r="T442" s="19">
        <f ca="1">IF($A442-T$3&lt;2,0,OFFSET('FPSO1 Base'!T439,-'FPSO1 Otim'!T$3,0))</f>
        <v>0</v>
      </c>
      <c r="U442" s="19">
        <f ca="1">IF($A442-U$3&lt;2,0,OFFSET('FPSO1 Base'!U439,-'FPSO1 Otim'!U$3,0))</f>
        <v>0</v>
      </c>
      <c r="V442" s="19">
        <f ca="1">IF($A442-V$3&lt;2,0,OFFSET('FPSO1 Base'!V439,-'FPSO1 Otim'!V$3,0))</f>
        <v>373.161</v>
      </c>
      <c r="W442" s="19">
        <f ca="1">IF($A442-W$3&lt;2,0,OFFSET('FPSO1 Base'!W439,-'FPSO1 Otim'!W$3,0))</f>
        <v>166.209</v>
      </c>
      <c r="X442" s="19">
        <f ca="1">IF($A442-X$3&lt;2,0,OFFSET('FPSO1 Base'!X439,-'FPSO1 Otim'!X$3,0))</f>
        <v>0</v>
      </c>
      <c r="Y442" s="19">
        <f ca="1">IF($A442-Y$3&lt;2,0,OFFSET('FPSO1 Base'!Y439,-'FPSO1 Otim'!Y$3,0))</f>
        <v>0</v>
      </c>
      <c r="Z442" s="19">
        <f ca="1">IF($A442-Z$3&lt;2,0,OFFSET('FPSO1 Base'!Z439,-'FPSO1 Otim'!Z$3,0))</f>
        <v>153.64350000000002</v>
      </c>
      <c r="AA442" s="20">
        <v>15000</v>
      </c>
      <c r="AB442" s="19">
        <f t="shared" ca="1" si="22"/>
        <v>4018.2858159617272</v>
      </c>
      <c r="AC442" s="20">
        <f t="shared" ca="1" si="23"/>
        <v>10981.714184038272</v>
      </c>
      <c r="AD442" s="19">
        <f t="shared" ca="1" si="24"/>
        <v>107.80592819829306</v>
      </c>
    </row>
    <row r="443" spans="1:30" x14ac:dyDescent="0.25">
      <c r="A443" s="19">
        <v>439</v>
      </c>
      <c r="B443" s="31">
        <v>58958</v>
      </c>
      <c r="C443" s="19">
        <f ca="1">IF($A443-C$3&lt;2,0,OFFSET('FPSO1 Base'!C440,-'FPSO1 Otim'!C$3,0))</f>
        <v>367.6755</v>
      </c>
      <c r="D443" s="19">
        <f ca="1">IF($A443-D$3&lt;2,0,OFFSET('FPSO1 Base'!D440,-'FPSO1 Otim'!D$3,0))</f>
        <v>42.643092217311441</v>
      </c>
      <c r="E443" s="19">
        <f ca="1">IF($A443-E$3&lt;2,0,OFFSET('FPSO1 Base'!E440,-'FPSO1 Otim'!E$3,0))</f>
        <v>156.9255</v>
      </c>
      <c r="F443" s="19">
        <f ca="1">IF($A443-F$3&lt;2,0,OFFSET('FPSO1 Base'!F440,-'FPSO1 Otim'!F$3,0))</f>
        <v>238.42499999999998</v>
      </c>
      <c r="G443" s="19">
        <f ca="1">IF($A443-G$3&lt;2,0,OFFSET('FPSO1 Base'!G440,-'FPSO1 Otim'!G$3,0))</f>
        <v>76.448054456823968</v>
      </c>
      <c r="H443" s="19">
        <f ca="1">IF($A443-H$3&lt;2,0,OFFSET('FPSO1 Base'!H440,-'FPSO1 Otim'!H$3,0))</f>
        <v>532.00649999999996</v>
      </c>
      <c r="I443" s="19">
        <f ca="1">IF($A443-I$3&lt;2,0,OFFSET('FPSO1 Base'!I440,-'FPSO1 Otim'!I$3,0))</f>
        <v>360.822</v>
      </c>
      <c r="J443" s="19">
        <f ca="1">IF($A443-J$3&lt;2,0,OFFSET('FPSO1 Base'!J440,-'FPSO1 Otim'!J$3,0))</f>
        <v>179.589</v>
      </c>
      <c r="K443" s="19">
        <f ca="1">IF($A443-K$3&lt;2,0,OFFSET('FPSO1 Base'!K440,-'FPSO1 Otim'!K$3,0))</f>
        <v>118.47377537989749</v>
      </c>
      <c r="L443" s="19">
        <f ca="1">IF($A443-L$3&lt;2,0,OFFSET('FPSO1 Base'!L440,-'FPSO1 Otim'!L$3,0))</f>
        <v>215.565</v>
      </c>
      <c r="M443" s="19">
        <f ca="1">IF($A443-M$3&lt;2,0,OFFSET('FPSO1 Base'!M440,-'FPSO1 Otim'!M$3,0))</f>
        <v>325.39949999999999</v>
      </c>
      <c r="N443" s="19">
        <f ca="1">IF($A443-N$3&lt;2,0,OFFSET('FPSO1 Base'!N440,-'FPSO1 Otim'!N$3,0))</f>
        <v>4.2363464253560164</v>
      </c>
      <c r="O443" s="19">
        <f ca="1">IF($A443-O$3&lt;2,0,OFFSET('FPSO1 Base'!O440,-'FPSO1 Otim'!O$3,0))</f>
        <v>91.130120970200295</v>
      </c>
      <c r="P443" s="19">
        <f ca="1">IF($A443-P$3&lt;2,0,OFFSET('FPSO1 Base'!P440,-'FPSO1 Otim'!P$3,0))</f>
        <v>24.151745386495822</v>
      </c>
      <c r="Q443" s="19">
        <f ca="1">IF($A443-Q$3&lt;2,0,OFFSET('FPSO1 Base'!Q440,-'FPSO1 Otim'!Q$3,0))</f>
        <v>322.089</v>
      </c>
      <c r="R443" s="19">
        <f ca="1">IF($A443-R$3&lt;2,0,OFFSET('FPSO1 Base'!R440,-'FPSO1 Otim'!R$3,0))</f>
        <v>7.518832966025216</v>
      </c>
      <c r="S443" s="19">
        <f ca="1">IF($A443-S$3&lt;2,0,OFFSET('FPSO1 Base'!S440,-'FPSO1 Otim'!S$3,0))</f>
        <v>255.435</v>
      </c>
      <c r="T443" s="19">
        <f ca="1">IF($A443-T$3&lt;2,0,OFFSET('FPSO1 Base'!T440,-'FPSO1 Otim'!T$3,0))</f>
        <v>0</v>
      </c>
      <c r="U443" s="19">
        <f ca="1">IF($A443-U$3&lt;2,0,OFFSET('FPSO1 Base'!U440,-'FPSO1 Otim'!U$3,0))</f>
        <v>0</v>
      </c>
      <c r="V443" s="19">
        <f ca="1">IF($A443-V$3&lt;2,0,OFFSET('FPSO1 Base'!V440,-'FPSO1 Otim'!V$3,0))</f>
        <v>371.74950000000001</v>
      </c>
      <c r="W443" s="19">
        <f ca="1">IF($A443-W$3&lt;2,0,OFFSET('FPSO1 Base'!W440,-'FPSO1 Otim'!W$3,0))</f>
        <v>165.696</v>
      </c>
      <c r="X443" s="19">
        <f ca="1">IF($A443-X$3&lt;2,0,OFFSET('FPSO1 Base'!X440,-'FPSO1 Otim'!X$3,0))</f>
        <v>0</v>
      </c>
      <c r="Y443" s="19">
        <f ca="1">IF($A443-Y$3&lt;2,0,OFFSET('FPSO1 Base'!Y440,-'FPSO1 Otim'!Y$3,0))</f>
        <v>0</v>
      </c>
      <c r="Z443" s="19">
        <f ca="1">IF($A443-Z$3&lt;2,0,OFFSET('FPSO1 Base'!Z440,-'FPSO1 Otim'!Z$3,0))</f>
        <v>152.928</v>
      </c>
      <c r="AA443" s="20">
        <v>15000</v>
      </c>
      <c r="AB443" s="19">
        <f t="shared" ca="1" si="22"/>
        <v>4008.9074678021093</v>
      </c>
      <c r="AC443" s="20">
        <f t="shared" ca="1" si="23"/>
        <v>10991.09253219789</v>
      </c>
      <c r="AD443" s="19">
        <f t="shared" ca="1" si="24"/>
        <v>106.66543937898297</v>
      </c>
    </row>
    <row r="444" spans="1:30" x14ac:dyDescent="0.25">
      <c r="A444" s="19">
        <v>440</v>
      </c>
      <c r="B444" s="31">
        <v>58988</v>
      </c>
      <c r="C444" s="19">
        <f ca="1">IF($A444-C$3&lt;2,0,OFFSET('FPSO1 Base'!C441,-'FPSO1 Otim'!C$3,0))</f>
        <v>366.77850000000001</v>
      </c>
      <c r="D444" s="19">
        <f ca="1">IF($A444-D$3&lt;2,0,OFFSET('FPSO1 Base'!D441,-'FPSO1 Otim'!D$3,0))</f>
        <v>42.216661295138323</v>
      </c>
      <c r="E444" s="19">
        <f ca="1">IF($A444-E$3&lt;2,0,OFFSET('FPSO1 Base'!E441,-'FPSO1 Otim'!E$3,0))</f>
        <v>156.363</v>
      </c>
      <c r="F444" s="19">
        <f ca="1">IF($A444-F$3&lt;2,0,OFFSET('FPSO1 Base'!F441,-'FPSO1 Otim'!F$3,0))</f>
        <v>237.9195</v>
      </c>
      <c r="G444" s="19">
        <f ca="1">IF($A444-G$3&lt;2,0,OFFSET('FPSO1 Base'!G441,-'FPSO1 Otim'!G$3,0))</f>
        <v>75.683573912255724</v>
      </c>
      <c r="H444" s="19">
        <f ca="1">IF($A444-H$3&lt;2,0,OFFSET('FPSO1 Base'!H441,-'FPSO1 Otim'!H$3,0))</f>
        <v>531.99750000000006</v>
      </c>
      <c r="I444" s="19">
        <f ca="1">IF($A444-I$3&lt;2,0,OFFSET('FPSO1 Base'!I441,-'FPSO1 Otim'!I$3,0))</f>
        <v>360.40049999999997</v>
      </c>
      <c r="J444" s="19">
        <f ca="1">IF($A444-J$3&lt;2,0,OFFSET('FPSO1 Base'!J441,-'FPSO1 Otim'!J$3,0))</f>
        <v>179.27699999999999</v>
      </c>
      <c r="K444" s="19">
        <f ca="1">IF($A444-K$3&lt;2,0,OFFSET('FPSO1 Base'!K441,-'FPSO1 Otim'!K$3,0))</f>
        <v>117.28903762609852</v>
      </c>
      <c r="L444" s="19">
        <f ca="1">IF($A444-L$3&lt;2,0,OFFSET('FPSO1 Base'!L441,-'FPSO1 Otim'!L$3,0))</f>
        <v>215.37450000000001</v>
      </c>
      <c r="M444" s="19">
        <f ca="1">IF($A444-M$3&lt;2,0,OFFSET('FPSO1 Base'!M441,-'FPSO1 Otim'!M$3,0))</f>
        <v>325.524</v>
      </c>
      <c r="N444" s="19">
        <f ca="1">IF($A444-N$3&lt;2,0,OFFSET('FPSO1 Base'!N441,-'FPSO1 Otim'!N$3,0))</f>
        <v>4.1939829611024564</v>
      </c>
      <c r="O444" s="19">
        <f ca="1">IF($A444-O$3&lt;2,0,OFFSET('FPSO1 Base'!O441,-'FPSO1 Otim'!O$3,0))</f>
        <v>90.218819760498292</v>
      </c>
      <c r="P444" s="19">
        <f ca="1">IF($A444-P$3&lt;2,0,OFFSET('FPSO1 Base'!P441,-'FPSO1 Otim'!P$3,0))</f>
        <v>0</v>
      </c>
      <c r="Q444" s="19">
        <f ca="1">IF($A444-Q$3&lt;2,0,OFFSET('FPSO1 Base'!Q441,-'FPSO1 Otim'!Q$3,0))</f>
        <v>322.875</v>
      </c>
      <c r="R444" s="19">
        <f ca="1">IF($A444-R$3&lt;2,0,OFFSET('FPSO1 Base'!R441,-'FPSO1 Otim'!R$3,0))</f>
        <v>7.4436446363649642</v>
      </c>
      <c r="S444" s="19">
        <f ca="1">IF($A444-S$3&lt;2,0,OFFSET('FPSO1 Base'!S441,-'FPSO1 Otim'!S$3,0))</f>
        <v>255.22500000000002</v>
      </c>
      <c r="T444" s="19">
        <f ca="1">IF($A444-T$3&lt;2,0,OFFSET('FPSO1 Base'!T441,-'FPSO1 Otim'!T$3,0))</f>
        <v>0</v>
      </c>
      <c r="U444" s="19">
        <f ca="1">IF($A444-U$3&lt;2,0,OFFSET('FPSO1 Base'!U441,-'FPSO1 Otim'!U$3,0))</f>
        <v>0</v>
      </c>
      <c r="V444" s="19">
        <f ca="1">IF($A444-V$3&lt;2,0,OFFSET('FPSO1 Base'!V441,-'FPSO1 Otim'!V$3,0))</f>
        <v>370.548</v>
      </c>
      <c r="W444" s="19">
        <f ca="1">IF($A444-W$3&lt;2,0,OFFSET('FPSO1 Base'!W441,-'FPSO1 Otim'!W$3,0))</f>
        <v>165.2415</v>
      </c>
      <c r="X444" s="19">
        <f ca="1">IF($A444-X$3&lt;2,0,OFFSET('FPSO1 Base'!X441,-'FPSO1 Otim'!X$3,0))</f>
        <v>0</v>
      </c>
      <c r="Y444" s="19">
        <f ca="1">IF($A444-Y$3&lt;2,0,OFFSET('FPSO1 Base'!Y441,-'FPSO1 Otim'!Y$3,0))</f>
        <v>0</v>
      </c>
      <c r="Z444" s="19">
        <f ca="1">IF($A444-Z$3&lt;2,0,OFFSET('FPSO1 Base'!Z441,-'FPSO1 Otim'!Z$3,0))</f>
        <v>152.12549999999999</v>
      </c>
      <c r="AA444" s="20">
        <v>15000</v>
      </c>
      <c r="AB444" s="19">
        <f t="shared" ca="1" si="22"/>
        <v>3976.6952201914582</v>
      </c>
      <c r="AC444" s="20">
        <f t="shared" ca="1" si="23"/>
        <v>11023.304779808543</v>
      </c>
      <c r="AD444" s="19">
        <f t="shared" ca="1" si="24"/>
        <v>104.93391529023829</v>
      </c>
    </row>
    <row r="445" spans="1:30" x14ac:dyDescent="0.25">
      <c r="A445" s="19">
        <v>441</v>
      </c>
      <c r="B445" s="31">
        <v>59019</v>
      </c>
      <c r="C445" s="19">
        <f ca="1">IF($A445-C$3&lt;2,0,OFFSET('FPSO1 Base'!C442,-'FPSO1 Otim'!C$3,0))</f>
        <v>365.83350000000002</v>
      </c>
      <c r="D445" s="19">
        <f ca="1">IF($A445-D$3&lt;2,0,OFFSET('FPSO1 Base'!D442,-'FPSO1 Otim'!D$3,0))</f>
        <v>41.794494682186937</v>
      </c>
      <c r="E445" s="19">
        <f ca="1">IF($A445-E$3&lt;2,0,OFFSET('FPSO1 Base'!E442,-'FPSO1 Otim'!E$3,0))</f>
        <v>154.79937000000001</v>
      </c>
      <c r="F445" s="19">
        <f ca="1">IF($A445-F$3&lt;2,0,OFFSET('FPSO1 Base'!F442,-'FPSO1 Otim'!F$3,0))</f>
        <v>237.29999999999998</v>
      </c>
      <c r="G445" s="19">
        <f ca="1">IF($A445-G$3&lt;2,0,OFFSET('FPSO1 Base'!G442,-'FPSO1 Otim'!G$3,0))</f>
        <v>74.92673817313316</v>
      </c>
      <c r="H445" s="19">
        <f ca="1">IF($A445-H$3&lt;2,0,OFFSET('FPSO1 Base'!H442,-'FPSO1 Otim'!H$3,0))</f>
        <v>531.98249999999996</v>
      </c>
      <c r="I445" s="19">
        <f ca="1">IF($A445-I$3&lt;2,0,OFFSET('FPSO1 Base'!I442,-'FPSO1 Otim'!I$3,0))</f>
        <v>360.048</v>
      </c>
      <c r="J445" s="19">
        <f ca="1">IF($A445-J$3&lt;2,0,OFFSET('FPSO1 Base'!J442,-'FPSO1 Otim'!J$3,0))</f>
        <v>179.0085</v>
      </c>
      <c r="K445" s="19">
        <f ca="1">IF($A445-K$3&lt;2,0,OFFSET('FPSO1 Base'!K442,-'FPSO1 Otim'!K$3,0))</f>
        <v>116.11614724983754</v>
      </c>
      <c r="L445" s="19">
        <f ca="1">IF($A445-L$3&lt;2,0,OFFSET('FPSO1 Base'!L442,-'FPSO1 Otim'!L$3,0))</f>
        <v>215.1525</v>
      </c>
      <c r="M445" s="19">
        <f ca="1">IF($A445-M$3&lt;2,0,OFFSET('FPSO1 Base'!M442,-'FPSO1 Otim'!M$3,0))</f>
        <v>0</v>
      </c>
      <c r="N445" s="19">
        <f ca="1">IF($A445-N$3&lt;2,0,OFFSET('FPSO1 Base'!N442,-'FPSO1 Otim'!N$3,0))</f>
        <v>4.1520431314914319</v>
      </c>
      <c r="O445" s="19">
        <f ca="1">IF($A445-O$3&lt;2,0,OFFSET('FPSO1 Base'!O442,-'FPSO1 Otim'!O$3,0))</f>
        <v>89.316631562893306</v>
      </c>
      <c r="P445" s="19">
        <f ca="1">IF($A445-P$3&lt;2,0,OFFSET('FPSO1 Base'!P442,-'FPSO1 Otim'!P$3,0))</f>
        <v>0</v>
      </c>
      <c r="Q445" s="19">
        <f ca="1">IF($A445-Q$3&lt;2,0,OFFSET('FPSO1 Base'!Q442,-'FPSO1 Otim'!Q$3,0))</f>
        <v>323.75850000000003</v>
      </c>
      <c r="R445" s="19">
        <f ca="1">IF($A445-R$3&lt;2,0,OFFSET('FPSO1 Base'!R442,-'FPSO1 Otim'!R$3,0))</f>
        <v>7.3692081900013147</v>
      </c>
      <c r="S445" s="19">
        <f ca="1">IF($A445-S$3&lt;2,0,OFFSET('FPSO1 Base'!S442,-'FPSO1 Otim'!S$3,0))</f>
        <v>255</v>
      </c>
      <c r="T445" s="19">
        <f ca="1">IF($A445-T$3&lt;2,0,OFFSET('FPSO1 Base'!T442,-'FPSO1 Otim'!T$3,0))</f>
        <v>0</v>
      </c>
      <c r="U445" s="19">
        <f ca="1">IF($A445-U$3&lt;2,0,OFFSET('FPSO1 Base'!U442,-'FPSO1 Otim'!U$3,0))</f>
        <v>0</v>
      </c>
      <c r="V445" s="19">
        <f ca="1">IF($A445-V$3&lt;2,0,OFFSET('FPSO1 Base'!V442,-'FPSO1 Otim'!V$3,0))</f>
        <v>369.29999999999995</v>
      </c>
      <c r="W445" s="19">
        <f ca="1">IF($A445-W$3&lt;2,0,OFFSET('FPSO1 Base'!W442,-'FPSO1 Otim'!W$3,0))</f>
        <v>164.8005</v>
      </c>
      <c r="X445" s="19">
        <f ca="1">IF($A445-X$3&lt;2,0,OFFSET('FPSO1 Base'!X442,-'FPSO1 Otim'!X$3,0))</f>
        <v>0</v>
      </c>
      <c r="Y445" s="19">
        <f ca="1">IF($A445-Y$3&lt;2,0,OFFSET('FPSO1 Base'!Y442,-'FPSO1 Otim'!Y$3,0))</f>
        <v>0</v>
      </c>
      <c r="Z445" s="19">
        <f ca="1">IF($A445-Z$3&lt;2,0,OFFSET('FPSO1 Base'!Z442,-'FPSO1 Otim'!Z$3,0))</f>
        <v>151.3905</v>
      </c>
      <c r="AA445" s="20">
        <v>15000</v>
      </c>
      <c r="AB445" s="19">
        <f t="shared" ca="1" si="22"/>
        <v>3642.0491329895431</v>
      </c>
      <c r="AC445" s="20">
        <f t="shared" ca="1" si="23"/>
        <v>11357.950867010457</v>
      </c>
      <c r="AD445" s="19">
        <f t="shared" ca="1" si="24"/>
        <v>95.309292636346328</v>
      </c>
    </row>
    <row r="446" spans="1:30" x14ac:dyDescent="0.25">
      <c r="A446" s="19">
        <v>442</v>
      </c>
      <c r="B446" s="31">
        <v>59050</v>
      </c>
      <c r="C446" s="19">
        <f ca="1">IF($A446-C$3&lt;2,0,OFFSET('FPSO1 Base'!C443,-'FPSO1 Otim'!C$3,0))</f>
        <v>365.0385</v>
      </c>
      <c r="D446" s="19">
        <f ca="1">IF($A446-D$3&lt;2,0,OFFSET('FPSO1 Base'!D443,-'FPSO1 Otim'!D$3,0))</f>
        <v>41.376549735365067</v>
      </c>
      <c r="E446" s="19">
        <f ca="1">IF($A446-E$3&lt;2,0,OFFSET('FPSO1 Base'!E443,-'FPSO1 Otim'!E$3,0))</f>
        <v>153.2513763</v>
      </c>
      <c r="F446" s="19">
        <f ca="1">IF($A446-F$3&lt;2,0,OFFSET('FPSO1 Base'!F443,-'FPSO1 Otim'!F$3,0))</f>
        <v>236.73450000000003</v>
      </c>
      <c r="G446" s="19">
        <f ca="1">IF($A446-G$3&lt;2,0,OFFSET('FPSO1 Base'!G443,-'FPSO1 Otim'!G$3,0))</f>
        <v>74.177470791401831</v>
      </c>
      <c r="H446" s="19">
        <f ca="1">IF($A446-H$3&lt;2,0,OFFSET('FPSO1 Base'!H443,-'FPSO1 Otim'!H$3,0))</f>
        <v>531.99750000000006</v>
      </c>
      <c r="I446" s="19">
        <f ca="1">IF($A446-I$3&lt;2,0,OFFSET('FPSO1 Base'!I443,-'FPSO1 Otim'!I$3,0))</f>
        <v>359.65049999999997</v>
      </c>
      <c r="J446" s="19">
        <f ca="1">IF($A446-J$3&lt;2,0,OFFSET('FPSO1 Base'!J443,-'FPSO1 Otim'!J$3,0))</f>
        <v>178.62450000000001</v>
      </c>
      <c r="K446" s="19">
        <f ca="1">IF($A446-K$3&lt;2,0,OFFSET('FPSO1 Base'!K443,-'FPSO1 Otim'!K$3,0))</f>
        <v>0</v>
      </c>
      <c r="L446" s="19">
        <f ca="1">IF($A446-L$3&lt;2,0,OFFSET('FPSO1 Base'!L443,-'FPSO1 Otim'!L$3,0))</f>
        <v>214.95000000000002</v>
      </c>
      <c r="M446" s="19">
        <f ca="1">IF($A446-M$3&lt;2,0,OFFSET('FPSO1 Base'!M443,-'FPSO1 Otim'!M$3,0))</f>
        <v>0</v>
      </c>
      <c r="N446" s="19">
        <f ca="1">IF($A446-N$3&lt;2,0,OFFSET('FPSO1 Base'!N443,-'FPSO1 Otim'!N$3,0))</f>
        <v>4.1105227001765172</v>
      </c>
      <c r="O446" s="19">
        <f ca="1">IF($A446-O$3&lt;2,0,OFFSET('FPSO1 Base'!O443,-'FPSO1 Otim'!O$3,0))</f>
        <v>88.423465247264375</v>
      </c>
      <c r="P446" s="19">
        <f ca="1">IF($A446-P$3&lt;2,0,OFFSET('FPSO1 Base'!P443,-'FPSO1 Otim'!P$3,0))</f>
        <v>0</v>
      </c>
      <c r="Q446" s="19">
        <f ca="1">IF($A446-Q$3&lt;2,0,OFFSET('FPSO1 Base'!Q443,-'FPSO1 Otim'!Q$3,0))</f>
        <v>324.50850000000003</v>
      </c>
      <c r="R446" s="19">
        <f ca="1">IF($A446-R$3&lt;2,0,OFFSET('FPSO1 Base'!R443,-'FPSO1 Otim'!R$3,0))</f>
        <v>7.2955161081013014</v>
      </c>
      <c r="S446" s="19">
        <f ca="1">IF($A446-S$3&lt;2,0,OFFSET('FPSO1 Base'!S443,-'FPSO1 Otim'!S$3,0))</f>
        <v>254.80650000000003</v>
      </c>
      <c r="T446" s="19">
        <f ca="1">IF($A446-T$3&lt;2,0,OFFSET('FPSO1 Base'!T443,-'FPSO1 Otim'!T$3,0))</f>
        <v>0</v>
      </c>
      <c r="U446" s="19">
        <f ca="1">IF($A446-U$3&lt;2,0,OFFSET('FPSO1 Base'!U443,-'FPSO1 Otim'!U$3,0))</f>
        <v>0</v>
      </c>
      <c r="V446" s="19">
        <f ca="1">IF($A446-V$3&lt;2,0,OFFSET('FPSO1 Base'!V443,-'FPSO1 Otim'!V$3,0))</f>
        <v>367.98450000000003</v>
      </c>
      <c r="W446" s="19">
        <f ca="1">IF($A446-W$3&lt;2,0,OFFSET('FPSO1 Base'!W443,-'FPSO1 Otim'!W$3,0))</f>
        <v>164.3475</v>
      </c>
      <c r="X446" s="19">
        <f ca="1">IF($A446-X$3&lt;2,0,OFFSET('FPSO1 Base'!X443,-'FPSO1 Otim'!X$3,0))</f>
        <v>0</v>
      </c>
      <c r="Y446" s="19">
        <f ca="1">IF($A446-Y$3&lt;2,0,OFFSET('FPSO1 Base'!Y443,-'FPSO1 Otim'!Y$3,0))</f>
        <v>0</v>
      </c>
      <c r="Z446" s="19">
        <f ca="1">IF($A446-Z$3&lt;2,0,OFFSET('FPSO1 Base'!Z443,-'FPSO1 Otim'!Z$3,0))</f>
        <v>150.60000000000002</v>
      </c>
      <c r="AA446" s="20">
        <v>15000</v>
      </c>
      <c r="AB446" s="19">
        <f t="shared" ca="1" si="22"/>
        <v>3517.8774008823088</v>
      </c>
      <c r="AC446" s="20">
        <f t="shared" ca="1" si="23"/>
        <v>11482.122599117691</v>
      </c>
      <c r="AD446" s="19">
        <f t="shared" ca="1" si="24"/>
        <v>91.299000227388746</v>
      </c>
    </row>
    <row r="447" spans="1:30" x14ac:dyDescent="0.25">
      <c r="A447" s="19">
        <v>443</v>
      </c>
      <c r="B447" s="31">
        <v>59080</v>
      </c>
      <c r="C447" s="19">
        <f ca="1">IF($A447-C$3&lt;2,0,OFFSET('FPSO1 Base'!C444,-'FPSO1 Otim'!C$3,0))</f>
        <v>364.13249999999999</v>
      </c>
      <c r="D447" s="19">
        <f ca="1">IF($A447-D$3&lt;2,0,OFFSET('FPSO1 Base'!D444,-'FPSO1 Otim'!D$3,0))</f>
        <v>40.962784238011416</v>
      </c>
      <c r="E447" s="19">
        <f ca="1">IF($A447-E$3&lt;2,0,OFFSET('FPSO1 Base'!E444,-'FPSO1 Otim'!E$3,0))</f>
        <v>151.71886253700001</v>
      </c>
      <c r="F447" s="19">
        <f ca="1">IF($A447-F$3&lt;2,0,OFFSET('FPSO1 Base'!F444,-'FPSO1 Otim'!F$3,0))</f>
        <v>236.178</v>
      </c>
      <c r="G447" s="19">
        <f ca="1">IF($A447-G$3&lt;2,0,OFFSET('FPSO1 Base'!G444,-'FPSO1 Otim'!G$3,0))</f>
        <v>73.435696083487812</v>
      </c>
      <c r="H447" s="19">
        <f ca="1">IF($A447-H$3&lt;2,0,OFFSET('FPSO1 Base'!H444,-'FPSO1 Otim'!H$3,0))</f>
        <v>531.99750000000006</v>
      </c>
      <c r="I447" s="19">
        <f ca="1">IF($A447-I$3&lt;2,0,OFFSET('FPSO1 Base'!I444,-'FPSO1 Otim'!I$3,0))</f>
        <v>359.298</v>
      </c>
      <c r="J447" s="19">
        <f ca="1">IF($A447-J$3&lt;2,0,OFFSET('FPSO1 Base'!J444,-'FPSO1 Otim'!J$3,0))</f>
        <v>178.2825</v>
      </c>
      <c r="K447" s="19">
        <f ca="1">IF($A447-K$3&lt;2,0,OFFSET('FPSO1 Base'!K444,-'FPSO1 Otim'!K$3,0))</f>
        <v>0</v>
      </c>
      <c r="L447" s="19">
        <f ca="1">IF($A447-L$3&lt;2,0,OFFSET('FPSO1 Base'!L444,-'FPSO1 Otim'!L$3,0))</f>
        <v>214.791</v>
      </c>
      <c r="M447" s="19">
        <f ca="1">IF($A447-M$3&lt;2,0,OFFSET('FPSO1 Base'!M444,-'FPSO1 Otim'!M$3,0))</f>
        <v>0</v>
      </c>
      <c r="N447" s="19">
        <f ca="1">IF($A447-N$3&lt;2,0,OFFSET('FPSO1 Base'!N444,-'FPSO1 Otim'!N$3,0))</f>
        <v>4.0694174731747523</v>
      </c>
      <c r="O447" s="19">
        <f ca="1">IF($A447-O$3&lt;2,0,OFFSET('FPSO1 Base'!O444,-'FPSO1 Otim'!O$3,0))</f>
        <v>87.539230594791732</v>
      </c>
      <c r="P447" s="19">
        <f ca="1">IF($A447-P$3&lt;2,0,OFFSET('FPSO1 Base'!P444,-'FPSO1 Otim'!P$3,0))</f>
        <v>0</v>
      </c>
      <c r="Q447" s="19">
        <f ca="1">IF($A447-Q$3&lt;2,0,OFFSET('FPSO1 Base'!Q444,-'FPSO1 Otim'!Q$3,0))</f>
        <v>325.11150000000004</v>
      </c>
      <c r="R447" s="19">
        <f ca="1">IF($A447-R$3&lt;2,0,OFFSET('FPSO1 Base'!R444,-'FPSO1 Otim'!R$3,0))</f>
        <v>7.2225609470202885</v>
      </c>
      <c r="S447" s="19">
        <f ca="1">IF($A447-S$3&lt;2,0,OFFSET('FPSO1 Base'!S444,-'FPSO1 Otim'!S$3,0))</f>
        <v>254.54399999999998</v>
      </c>
      <c r="T447" s="19">
        <f ca="1">IF($A447-T$3&lt;2,0,OFFSET('FPSO1 Base'!T444,-'FPSO1 Otim'!T$3,0))</f>
        <v>0</v>
      </c>
      <c r="U447" s="19">
        <f ca="1">IF($A447-U$3&lt;2,0,OFFSET('FPSO1 Base'!U444,-'FPSO1 Otim'!U$3,0))</f>
        <v>0</v>
      </c>
      <c r="V447" s="19">
        <f ca="1">IF($A447-V$3&lt;2,0,OFFSET('FPSO1 Base'!V444,-'FPSO1 Otim'!V$3,0))</f>
        <v>366.822</v>
      </c>
      <c r="W447" s="19">
        <f ca="1">IF($A447-W$3&lt;2,0,OFFSET('FPSO1 Base'!W444,-'FPSO1 Otim'!W$3,0))</f>
        <v>163.84950000000001</v>
      </c>
      <c r="X447" s="19">
        <f ca="1">IF($A447-X$3&lt;2,0,OFFSET('FPSO1 Base'!X444,-'FPSO1 Otim'!X$3,0))</f>
        <v>0</v>
      </c>
      <c r="Y447" s="19">
        <f ca="1">IF($A447-Y$3&lt;2,0,OFFSET('FPSO1 Base'!Y444,-'FPSO1 Otim'!Y$3,0))</f>
        <v>0</v>
      </c>
      <c r="Z447" s="19">
        <f ca="1">IF($A447-Z$3&lt;2,0,OFFSET('FPSO1 Base'!Z444,-'FPSO1 Otim'!Z$3,0))</f>
        <v>149.86695</v>
      </c>
      <c r="AA447" s="20">
        <v>15000</v>
      </c>
      <c r="AB447" s="19">
        <f t="shared" ca="1" si="22"/>
        <v>3509.822001873486</v>
      </c>
      <c r="AC447" s="20">
        <f t="shared" ca="1" si="23"/>
        <v>11490.177998126514</v>
      </c>
      <c r="AD447" s="19">
        <f t="shared" ca="1" si="24"/>
        <v>90.337130119957152</v>
      </c>
    </row>
    <row r="448" spans="1:30" x14ac:dyDescent="0.25">
      <c r="A448" s="19">
        <v>444</v>
      </c>
      <c r="B448" s="31">
        <v>59111</v>
      </c>
      <c r="C448" s="19">
        <f ca="1">IF($A448-C$3&lt;2,0,OFFSET('FPSO1 Base'!C445,-'FPSO1 Otim'!C$3,0))</f>
        <v>363.28199999999998</v>
      </c>
      <c r="D448" s="19">
        <f ca="1">IF($A448-D$3&lt;2,0,OFFSET('FPSO1 Base'!D445,-'FPSO1 Otim'!D$3,0))</f>
        <v>40.553156395631298</v>
      </c>
      <c r="E448" s="19">
        <f ca="1">IF($A448-E$3&lt;2,0,OFFSET('FPSO1 Base'!E445,-'FPSO1 Otim'!E$3,0))</f>
        <v>150.20167391163</v>
      </c>
      <c r="F448" s="19">
        <f ca="1">IF($A448-F$3&lt;2,0,OFFSET('FPSO1 Base'!F445,-'FPSO1 Otim'!F$3,0))</f>
        <v>235.60050000000001</v>
      </c>
      <c r="G448" s="19">
        <f ca="1">IF($A448-G$3&lt;2,0,OFFSET('FPSO1 Base'!G445,-'FPSO1 Otim'!G$3,0))</f>
        <v>72.701339122652939</v>
      </c>
      <c r="H448" s="19">
        <f ca="1">IF($A448-H$3&lt;2,0,OFFSET('FPSO1 Base'!H445,-'FPSO1 Otim'!H$3,0))</f>
        <v>531.99149999999997</v>
      </c>
      <c r="I448" s="19">
        <f ca="1">IF($A448-I$3&lt;2,0,OFFSET('FPSO1 Base'!I445,-'FPSO1 Otim'!I$3,0))</f>
        <v>358.887</v>
      </c>
      <c r="J448" s="19">
        <f ca="1">IF($A448-J$3&lt;2,0,OFFSET('FPSO1 Base'!J445,-'FPSO1 Otim'!J$3,0))</f>
        <v>177.89999999999998</v>
      </c>
      <c r="K448" s="19">
        <f ca="1">IF($A448-K$3&lt;2,0,OFFSET('FPSO1 Base'!K445,-'FPSO1 Otim'!K$3,0))</f>
        <v>0</v>
      </c>
      <c r="L448" s="19">
        <f ca="1">IF($A448-L$3&lt;2,0,OFFSET('FPSO1 Base'!L445,-'FPSO1 Otim'!L$3,0))</f>
        <v>214.5975</v>
      </c>
      <c r="M448" s="19">
        <f ca="1">IF($A448-M$3&lt;2,0,OFFSET('FPSO1 Base'!M445,-'FPSO1 Otim'!M$3,0))</f>
        <v>0</v>
      </c>
      <c r="N448" s="19">
        <f ca="1">IF($A448-N$3&lt;2,0,OFFSET('FPSO1 Base'!N445,-'FPSO1 Otim'!N$3,0))</f>
        <v>4.0287232984430048</v>
      </c>
      <c r="O448" s="19">
        <f ca="1">IF($A448-O$3&lt;2,0,OFFSET('FPSO1 Base'!O445,-'FPSO1 Otim'!O$3,0))</f>
        <v>86.66383828884382</v>
      </c>
      <c r="P448" s="19">
        <f ca="1">IF($A448-P$3&lt;2,0,OFFSET('FPSO1 Base'!P445,-'FPSO1 Otim'!P$3,0))</f>
        <v>0</v>
      </c>
      <c r="Q448" s="19">
        <f ca="1">IF($A448-Q$3&lt;2,0,OFFSET('FPSO1 Base'!Q445,-'FPSO1 Otim'!Q$3,0))</f>
        <v>325.28249999999997</v>
      </c>
      <c r="R448" s="19">
        <f ca="1">IF($A448-R$3&lt;2,0,OFFSET('FPSO1 Base'!R445,-'FPSO1 Otim'!R$3,0))</f>
        <v>7.1503353375500858</v>
      </c>
      <c r="S448" s="19">
        <f ca="1">IF($A448-S$3&lt;2,0,OFFSET('FPSO1 Base'!S445,-'FPSO1 Otim'!S$3,0))</f>
        <v>254.3475</v>
      </c>
      <c r="T448" s="19">
        <f ca="1">IF($A448-T$3&lt;2,0,OFFSET('FPSO1 Base'!T445,-'FPSO1 Otim'!T$3,0))</f>
        <v>0</v>
      </c>
      <c r="U448" s="19">
        <f ca="1">IF($A448-U$3&lt;2,0,OFFSET('FPSO1 Base'!U445,-'FPSO1 Otim'!U$3,0))</f>
        <v>0</v>
      </c>
      <c r="V448" s="19">
        <f ca="1">IF($A448-V$3&lt;2,0,OFFSET('FPSO1 Base'!V445,-'FPSO1 Otim'!V$3,0))</f>
        <v>365.59950000000003</v>
      </c>
      <c r="W448" s="19">
        <f ca="1">IF($A448-W$3&lt;2,0,OFFSET('FPSO1 Base'!W445,-'FPSO1 Otim'!W$3,0))</f>
        <v>163.4025</v>
      </c>
      <c r="X448" s="19">
        <f ca="1">IF($A448-X$3&lt;2,0,OFFSET('FPSO1 Base'!X445,-'FPSO1 Otim'!X$3,0))</f>
        <v>0</v>
      </c>
      <c r="Y448" s="19">
        <f ca="1">IF($A448-Y$3&lt;2,0,OFFSET('FPSO1 Base'!Y445,-'FPSO1 Otim'!Y$3,0))</f>
        <v>0</v>
      </c>
      <c r="Z448" s="19">
        <f ca="1">IF($A448-Z$3&lt;2,0,OFFSET('FPSO1 Base'!Z445,-'FPSO1 Otim'!Z$3,0))</f>
        <v>149.10480000000001</v>
      </c>
      <c r="AA448" s="20">
        <v>15000</v>
      </c>
      <c r="AB448" s="19">
        <f t="shared" ca="1" si="22"/>
        <v>3501.2943663547503</v>
      </c>
      <c r="AC448" s="20">
        <f t="shared" ca="1" si="23"/>
        <v>11498.70563364525</v>
      </c>
      <c r="AD448" s="19">
        <f t="shared" ca="1" si="24"/>
        <v>89.372868696252311</v>
      </c>
    </row>
    <row r="449" spans="1:30" x14ac:dyDescent="0.25">
      <c r="A449" s="19">
        <v>445</v>
      </c>
      <c r="B449" s="31">
        <v>59141</v>
      </c>
      <c r="C449" s="19">
        <f ca="1">IF($A449-C$3&lt;2,0,OFFSET('FPSO1 Base'!C446,-'FPSO1 Otim'!C$3,0))</f>
        <v>362.43</v>
      </c>
      <c r="D449" s="19">
        <f ca="1">IF($A449-D$3&lt;2,0,OFFSET('FPSO1 Base'!D446,-'FPSO1 Otim'!D$3,0))</f>
        <v>40.147624831674982</v>
      </c>
      <c r="E449" s="19">
        <f ca="1">IF($A449-E$3&lt;2,0,OFFSET('FPSO1 Base'!E446,-'FPSO1 Otim'!E$3,0))</f>
        <v>148.6996571725137</v>
      </c>
      <c r="F449" s="19">
        <f ca="1">IF($A449-F$3&lt;2,0,OFFSET('FPSO1 Base'!F446,-'FPSO1 Otim'!F$3,0))</f>
        <v>235.01549999999997</v>
      </c>
      <c r="G449" s="19">
        <f ca="1">IF($A449-G$3&lt;2,0,OFFSET('FPSO1 Base'!G446,-'FPSO1 Otim'!G$3,0))</f>
        <v>71.974325731426404</v>
      </c>
      <c r="H449" s="19">
        <f ca="1">IF($A449-H$3&lt;2,0,OFFSET('FPSO1 Base'!H446,-'FPSO1 Otim'!H$3,0))</f>
        <v>531.97499999999991</v>
      </c>
      <c r="I449" s="19">
        <f ca="1">IF($A449-I$3&lt;2,0,OFFSET('FPSO1 Base'!I446,-'FPSO1 Otim'!I$3,0))</f>
        <v>358.5</v>
      </c>
      <c r="J449" s="19">
        <f ca="1">IF($A449-J$3&lt;2,0,OFFSET('FPSO1 Base'!J446,-'FPSO1 Otim'!J$3,0))</f>
        <v>177.5085</v>
      </c>
      <c r="K449" s="19">
        <f ca="1">IF($A449-K$3&lt;2,0,OFFSET('FPSO1 Base'!K446,-'FPSO1 Otim'!K$3,0))</f>
        <v>0</v>
      </c>
      <c r="L449" s="19">
        <f ca="1">IF($A449-L$3&lt;2,0,OFFSET('FPSO1 Base'!L446,-'FPSO1 Otim'!L$3,0))</f>
        <v>214.39350000000002</v>
      </c>
      <c r="M449" s="19">
        <f ca="1">IF($A449-M$3&lt;2,0,OFFSET('FPSO1 Base'!M446,-'FPSO1 Otim'!M$3,0))</f>
        <v>0</v>
      </c>
      <c r="N449" s="19">
        <f ca="1">IF($A449-N$3&lt;2,0,OFFSET('FPSO1 Base'!N446,-'FPSO1 Otim'!N$3,0))</f>
        <v>3.9884360654585747</v>
      </c>
      <c r="O449" s="19">
        <f ca="1">IF($A449-O$3&lt;2,0,OFFSET('FPSO1 Base'!O446,-'FPSO1 Otim'!O$3,0))</f>
        <v>85.797199905955381</v>
      </c>
      <c r="P449" s="19">
        <f ca="1">IF($A449-P$3&lt;2,0,OFFSET('FPSO1 Base'!P446,-'FPSO1 Otim'!P$3,0))</f>
        <v>0</v>
      </c>
      <c r="Q449" s="19">
        <f ca="1">IF($A449-Q$3&lt;2,0,OFFSET('FPSO1 Base'!Q446,-'FPSO1 Otim'!Q$3,0))</f>
        <v>325.3005</v>
      </c>
      <c r="R449" s="19">
        <f ca="1">IF($A449-R$3&lt;2,0,OFFSET('FPSO1 Base'!R446,-'FPSO1 Otim'!R$3,0))</f>
        <v>7.0788319841745846</v>
      </c>
      <c r="S449" s="19">
        <f ca="1">IF($A449-S$3&lt;2,0,OFFSET('FPSO1 Base'!S446,-'FPSO1 Otim'!S$3,0))</f>
        <v>254.0745</v>
      </c>
      <c r="T449" s="19">
        <f ca="1">IF($A449-T$3&lt;2,0,OFFSET('FPSO1 Base'!T446,-'FPSO1 Otim'!T$3,0))</f>
        <v>0</v>
      </c>
      <c r="U449" s="19">
        <f ca="1">IF($A449-U$3&lt;2,0,OFFSET('FPSO1 Base'!U446,-'FPSO1 Otim'!U$3,0))</f>
        <v>0</v>
      </c>
      <c r="V449" s="19">
        <f ca="1">IF($A449-V$3&lt;2,0,OFFSET('FPSO1 Base'!V446,-'FPSO1 Otim'!V$3,0))</f>
        <v>364.40250000000003</v>
      </c>
      <c r="W449" s="19">
        <f ca="1">IF($A449-W$3&lt;2,0,OFFSET('FPSO1 Base'!W446,-'FPSO1 Otim'!W$3,0))</f>
        <v>162.9675</v>
      </c>
      <c r="X449" s="19">
        <f ca="1">IF($A449-X$3&lt;2,0,OFFSET('FPSO1 Base'!X446,-'FPSO1 Otim'!X$3,0))</f>
        <v>0</v>
      </c>
      <c r="Y449" s="19">
        <f ca="1">IF($A449-Y$3&lt;2,0,OFFSET('FPSO1 Base'!Y446,-'FPSO1 Otim'!Y$3,0))</f>
        <v>0</v>
      </c>
      <c r="Z449" s="19">
        <f ca="1">IF($A449-Z$3&lt;2,0,OFFSET('FPSO1 Base'!Z446,-'FPSO1 Otim'!Z$3,0))</f>
        <v>148.36245</v>
      </c>
      <c r="AA449" s="20">
        <v>15000</v>
      </c>
      <c r="AB449" s="19">
        <f t="shared" ca="1" si="22"/>
        <v>3492.616025691204</v>
      </c>
      <c r="AC449" s="20">
        <f t="shared" ca="1" si="23"/>
        <v>11507.383974308796</v>
      </c>
      <c r="AD449" s="19">
        <f t="shared" ca="1" si="24"/>
        <v>88.414560273389739</v>
      </c>
    </row>
    <row r="450" spans="1:30" x14ac:dyDescent="0.25">
      <c r="A450" s="19">
        <v>446</v>
      </c>
      <c r="B450" s="31">
        <v>59172</v>
      </c>
      <c r="C450" s="19">
        <f ca="1">IF($A450-C$3&lt;2,0,OFFSET('FPSO1 Base'!C447,-'FPSO1 Otim'!C$3,0))</f>
        <v>361.6275</v>
      </c>
      <c r="D450" s="19">
        <f ca="1">IF($A450-D$3&lt;2,0,OFFSET('FPSO1 Base'!D447,-'FPSO1 Otim'!D$3,0))</f>
        <v>39.746148583358234</v>
      </c>
      <c r="E450" s="19">
        <f ca="1">IF($A450-E$3&lt;2,0,OFFSET('FPSO1 Base'!E447,-'FPSO1 Otim'!E$3,0))</f>
        <v>147.21266060078855</v>
      </c>
      <c r="F450" s="19">
        <f ca="1">IF($A450-F$3&lt;2,0,OFFSET('FPSO1 Base'!F447,-'FPSO1 Otim'!F$3,0))</f>
        <v>234.52499999999998</v>
      </c>
      <c r="G450" s="19">
        <f ca="1">IF($A450-G$3&lt;2,0,OFFSET('FPSO1 Base'!G447,-'FPSO1 Otim'!G$3,0))</f>
        <v>71.254582474112141</v>
      </c>
      <c r="H450" s="19">
        <f ca="1">IF($A450-H$3&lt;2,0,OFFSET('FPSO1 Base'!H447,-'FPSO1 Otim'!H$3,0))</f>
        <v>532.00649999999996</v>
      </c>
      <c r="I450" s="19">
        <f ca="1">IF($A450-I$3&lt;2,0,OFFSET('FPSO1 Base'!I447,-'FPSO1 Otim'!I$3,0))</f>
        <v>358.137</v>
      </c>
      <c r="J450" s="19">
        <f ca="1">IF($A450-J$3&lt;2,0,OFFSET('FPSO1 Base'!J447,-'FPSO1 Otim'!J$3,0))</f>
        <v>177.1455</v>
      </c>
      <c r="K450" s="19">
        <f ca="1">IF($A450-K$3&lt;2,0,OFFSET('FPSO1 Base'!K447,-'FPSO1 Otim'!K$3,0))</f>
        <v>0</v>
      </c>
      <c r="L450" s="19">
        <f ca="1">IF($A450-L$3&lt;2,0,OFFSET('FPSO1 Base'!L447,-'FPSO1 Otim'!L$3,0))</f>
        <v>214.23450000000003</v>
      </c>
      <c r="M450" s="19">
        <f ca="1">IF($A450-M$3&lt;2,0,OFFSET('FPSO1 Base'!M447,-'FPSO1 Otim'!M$3,0))</f>
        <v>0</v>
      </c>
      <c r="N450" s="19">
        <f ca="1">IF($A450-N$3&lt;2,0,OFFSET('FPSO1 Base'!N447,-'FPSO1 Otim'!N$3,0))</f>
        <v>3.9485517048039886</v>
      </c>
      <c r="O450" s="19">
        <f ca="1">IF($A450-O$3&lt;2,0,OFFSET('FPSO1 Base'!O447,-'FPSO1 Otim'!O$3,0))</f>
        <v>84.939227906895823</v>
      </c>
      <c r="P450" s="19">
        <f ca="1">IF($A450-P$3&lt;2,0,OFFSET('FPSO1 Base'!P447,-'FPSO1 Otim'!P$3,0))</f>
        <v>0</v>
      </c>
      <c r="Q450" s="19">
        <f ca="1">IF($A450-Q$3&lt;2,0,OFFSET('FPSO1 Base'!Q447,-'FPSO1 Otim'!Q$3,0))</f>
        <v>0</v>
      </c>
      <c r="R450" s="19">
        <f ca="1">IF($A450-R$3&lt;2,0,OFFSET('FPSO1 Base'!R447,-'FPSO1 Otim'!R$3,0))</f>
        <v>7.0080436643328383</v>
      </c>
      <c r="S450" s="19">
        <f ca="1">IF($A450-S$3&lt;2,0,OFFSET('FPSO1 Base'!S447,-'FPSO1 Otim'!S$3,0))</f>
        <v>253.839</v>
      </c>
      <c r="T450" s="19">
        <f ca="1">IF($A450-T$3&lt;2,0,OFFSET('FPSO1 Base'!T447,-'FPSO1 Otim'!T$3,0))</f>
        <v>0</v>
      </c>
      <c r="U450" s="19">
        <f ca="1">IF($A450-U$3&lt;2,0,OFFSET('FPSO1 Base'!U447,-'FPSO1 Otim'!U$3,0))</f>
        <v>0</v>
      </c>
      <c r="V450" s="19">
        <f ca="1">IF($A450-V$3&lt;2,0,OFFSET('FPSO1 Base'!V447,-'FPSO1 Otim'!V$3,0))</f>
        <v>363.1995</v>
      </c>
      <c r="W450" s="19">
        <f ca="1">IF($A450-W$3&lt;2,0,OFFSET('FPSO1 Base'!W447,-'FPSO1 Otim'!W$3,0))</f>
        <v>162.47549999999998</v>
      </c>
      <c r="X450" s="19">
        <f ca="1">IF($A450-X$3&lt;2,0,OFFSET('FPSO1 Base'!X447,-'FPSO1 Otim'!X$3,0))</f>
        <v>0</v>
      </c>
      <c r="Y450" s="19">
        <f ca="1">IF($A450-Y$3&lt;2,0,OFFSET('FPSO1 Base'!Y447,-'FPSO1 Otim'!Y$3,0))</f>
        <v>0</v>
      </c>
      <c r="Z450" s="19">
        <f ca="1">IF($A450-Z$3&lt;2,0,OFFSET('FPSO1 Base'!Z447,-'FPSO1 Otim'!Z$3,0))</f>
        <v>147.65325000000001</v>
      </c>
      <c r="AA450" s="20">
        <v>15000</v>
      </c>
      <c r="AB450" s="19">
        <f t="shared" ca="1" si="22"/>
        <v>3158.9524649342916</v>
      </c>
      <c r="AC450" s="20">
        <f t="shared" ca="1" si="23"/>
        <v>11841.047535065709</v>
      </c>
      <c r="AD450" s="19">
        <f t="shared" ca="1" si="24"/>
        <v>79.307071878481139</v>
      </c>
    </row>
    <row r="451" spans="1:30" x14ac:dyDescent="0.25">
      <c r="A451" s="19">
        <v>447</v>
      </c>
      <c r="B451" s="31">
        <v>59203</v>
      </c>
      <c r="C451" s="19">
        <f ca="1">IF($A451-C$3&lt;2,0,OFFSET('FPSO1 Base'!C448,-'FPSO1 Otim'!C$3,0))</f>
        <v>360.70499999999998</v>
      </c>
      <c r="D451" s="19">
        <f ca="1">IF($A451-D$3&lt;2,0,OFFSET('FPSO1 Base'!D448,-'FPSO1 Otim'!D$3,0))</f>
        <v>39.348687097524653</v>
      </c>
      <c r="E451" s="19">
        <f ca="1">IF($A451-E$3&lt;2,0,OFFSET('FPSO1 Base'!E448,-'FPSO1 Otim'!E$3,0))</f>
        <v>145.74053399478066</v>
      </c>
      <c r="F451" s="19">
        <f ca="1">IF($A451-F$3&lt;2,0,OFFSET('FPSO1 Base'!F448,-'FPSO1 Otim'!F$3,0))</f>
        <v>233.976</v>
      </c>
      <c r="G451" s="19">
        <f ca="1">IF($A451-G$3&lt;2,0,OFFSET('FPSO1 Base'!G448,-'FPSO1 Otim'!G$3,0))</f>
        <v>70.542036649371013</v>
      </c>
      <c r="H451" s="19">
        <f ca="1">IF($A451-H$3&lt;2,0,OFFSET('FPSO1 Base'!H448,-'FPSO1 Otim'!H$3,0))</f>
        <v>532.02149999999995</v>
      </c>
      <c r="I451" s="19">
        <f ca="1">IF($A451-I$3&lt;2,0,OFFSET('FPSO1 Base'!I448,-'FPSO1 Otim'!I$3,0))</f>
        <v>357.70050000000003</v>
      </c>
      <c r="J451" s="19">
        <f ca="1">IF($A451-J$3&lt;2,0,OFFSET('FPSO1 Base'!J448,-'FPSO1 Otim'!J$3,0))</f>
        <v>176.72549999999998</v>
      </c>
      <c r="K451" s="19">
        <f ca="1">IF($A451-K$3&lt;2,0,OFFSET('FPSO1 Base'!K448,-'FPSO1 Otim'!K$3,0))</f>
        <v>0</v>
      </c>
      <c r="L451" s="19">
        <f ca="1">IF($A451-L$3&lt;2,0,OFFSET('FPSO1 Base'!L448,-'FPSO1 Otim'!L$3,0))</f>
        <v>214.04999999999998</v>
      </c>
      <c r="M451" s="19">
        <f ca="1">IF($A451-M$3&lt;2,0,OFFSET('FPSO1 Base'!M448,-'FPSO1 Otim'!M$3,0))</f>
        <v>0</v>
      </c>
      <c r="N451" s="19">
        <f ca="1">IF($A451-N$3&lt;2,0,OFFSET('FPSO1 Base'!N448,-'FPSO1 Otim'!N$3,0))</f>
        <v>3.9090661877559487</v>
      </c>
      <c r="O451" s="19">
        <f ca="1">IF($A451-O$3&lt;2,0,OFFSET('FPSO1 Base'!O448,-'FPSO1 Otim'!O$3,0))</f>
        <v>84.089835627826858</v>
      </c>
      <c r="P451" s="19">
        <f ca="1">IF($A451-P$3&lt;2,0,OFFSET('FPSO1 Base'!P448,-'FPSO1 Otim'!P$3,0))</f>
        <v>0</v>
      </c>
      <c r="Q451" s="19">
        <f ca="1">IF($A451-Q$3&lt;2,0,OFFSET('FPSO1 Base'!Q448,-'FPSO1 Otim'!Q$3,0))</f>
        <v>0</v>
      </c>
      <c r="R451" s="19">
        <f ca="1">IF($A451-R$3&lt;2,0,OFFSET('FPSO1 Base'!R448,-'FPSO1 Otim'!R$3,0))</f>
        <v>6.9379632276895098</v>
      </c>
      <c r="S451" s="19">
        <f ca="1">IF($A451-S$3&lt;2,0,OFFSET('FPSO1 Base'!S448,-'FPSO1 Otim'!S$3,0))</f>
        <v>253.57500000000002</v>
      </c>
      <c r="T451" s="19">
        <f ca="1">IF($A451-T$3&lt;2,0,OFFSET('FPSO1 Base'!T448,-'FPSO1 Otim'!T$3,0))</f>
        <v>0</v>
      </c>
      <c r="U451" s="19">
        <f ca="1">IF($A451-U$3&lt;2,0,OFFSET('FPSO1 Base'!U448,-'FPSO1 Otim'!U$3,0))</f>
        <v>0</v>
      </c>
      <c r="V451" s="19">
        <f ca="1">IF($A451-V$3&lt;2,0,OFFSET('FPSO1 Base'!V448,-'FPSO1 Otim'!V$3,0))</f>
        <v>361.98450000000003</v>
      </c>
      <c r="W451" s="19">
        <f ca="1">IF($A451-W$3&lt;2,0,OFFSET('FPSO1 Base'!W448,-'FPSO1 Otim'!W$3,0))</f>
        <v>162.0975</v>
      </c>
      <c r="X451" s="19">
        <f ca="1">IF($A451-X$3&lt;2,0,OFFSET('FPSO1 Base'!X448,-'FPSO1 Otim'!X$3,0))</f>
        <v>0</v>
      </c>
      <c r="Y451" s="19">
        <f ca="1">IF($A451-Y$3&lt;2,0,OFFSET('FPSO1 Base'!Y448,-'FPSO1 Otim'!Y$3,0))</f>
        <v>0</v>
      </c>
      <c r="Z451" s="19">
        <f ca="1">IF($A451-Z$3&lt;2,0,OFFSET('FPSO1 Base'!Z448,-'FPSO1 Otim'!Z$3,0))</f>
        <v>146.89994999999999</v>
      </c>
      <c r="AA451" s="20">
        <v>15000</v>
      </c>
      <c r="AB451" s="19">
        <f t="shared" ca="1" si="22"/>
        <v>3150.3035727849483</v>
      </c>
      <c r="AC451" s="20">
        <f t="shared" ca="1" si="23"/>
        <v>11849.696427215051</v>
      </c>
      <c r="AD451" s="19">
        <f t="shared" ca="1" si="24"/>
        <v>78.436301297748514</v>
      </c>
    </row>
    <row r="452" spans="1:30" x14ac:dyDescent="0.25">
      <c r="A452" s="19">
        <v>448</v>
      </c>
      <c r="B452" s="31">
        <v>59231</v>
      </c>
      <c r="C452" s="19">
        <f ca="1">IF($A452-C$3&lt;2,0,OFFSET('FPSO1 Base'!C449,-'FPSO1 Otim'!C$3,0))</f>
        <v>359.92649999999998</v>
      </c>
      <c r="D452" s="19">
        <f ca="1">IF($A452-D$3&lt;2,0,OFFSET('FPSO1 Base'!D449,-'FPSO1 Otim'!D$3,0))</f>
        <v>38.955200226549408</v>
      </c>
      <c r="E452" s="19">
        <f ca="1">IF($A452-E$3&lt;2,0,OFFSET('FPSO1 Base'!E449,-'FPSO1 Otim'!E$3,0))</f>
        <v>0</v>
      </c>
      <c r="F452" s="19">
        <f ca="1">IF($A452-F$3&lt;2,0,OFFSET('FPSO1 Base'!F449,-'FPSO1 Otim'!F$3,0))</f>
        <v>233.46750000000003</v>
      </c>
      <c r="G452" s="19">
        <f ca="1">IF($A452-G$3&lt;2,0,OFFSET('FPSO1 Base'!G449,-'FPSO1 Otim'!G$3,0))</f>
        <v>69.836616282877301</v>
      </c>
      <c r="H452" s="19">
        <f ca="1">IF($A452-H$3&lt;2,0,OFFSET('FPSO1 Base'!H449,-'FPSO1 Otim'!H$3,0))</f>
        <v>532.00649999999996</v>
      </c>
      <c r="I452" s="19">
        <f ca="1">IF($A452-I$3&lt;2,0,OFFSET('FPSO1 Base'!I449,-'FPSO1 Otim'!I$3,0))</f>
        <v>357.315</v>
      </c>
      <c r="J452" s="19">
        <f ca="1">IF($A452-J$3&lt;2,0,OFFSET('FPSO1 Base'!J449,-'FPSO1 Otim'!J$3,0))</f>
        <v>176.4195</v>
      </c>
      <c r="K452" s="19">
        <f ca="1">IF($A452-K$3&lt;2,0,OFFSET('FPSO1 Base'!K449,-'FPSO1 Otim'!K$3,0))</f>
        <v>0</v>
      </c>
      <c r="L452" s="19">
        <f ca="1">IF($A452-L$3&lt;2,0,OFFSET('FPSO1 Base'!L449,-'FPSO1 Otim'!L$3,0))</f>
        <v>213.87149999999997</v>
      </c>
      <c r="M452" s="19">
        <f ca="1">IF($A452-M$3&lt;2,0,OFFSET('FPSO1 Base'!M449,-'FPSO1 Otim'!M$3,0))</f>
        <v>0</v>
      </c>
      <c r="N452" s="19">
        <f ca="1">IF($A452-N$3&lt;2,0,OFFSET('FPSO1 Base'!N449,-'FPSO1 Otim'!N$3,0))</f>
        <v>3.869975525878389</v>
      </c>
      <c r="O452" s="19">
        <f ca="1">IF($A452-O$3&lt;2,0,OFFSET('FPSO1 Base'!O449,-'FPSO1 Otim'!O$3,0))</f>
        <v>83.248937271548584</v>
      </c>
      <c r="P452" s="19">
        <f ca="1">IF($A452-P$3&lt;2,0,OFFSET('FPSO1 Base'!P449,-'FPSO1 Otim'!P$3,0))</f>
        <v>0</v>
      </c>
      <c r="Q452" s="19">
        <f ca="1">IF($A452-Q$3&lt;2,0,OFFSET('FPSO1 Base'!Q449,-'FPSO1 Otim'!Q$3,0))</f>
        <v>0</v>
      </c>
      <c r="R452" s="19">
        <f ca="1">IF($A452-R$3&lt;2,0,OFFSET('FPSO1 Base'!R449,-'FPSO1 Otim'!R$3,0))</f>
        <v>6.8685835954126144</v>
      </c>
      <c r="S452" s="19">
        <f ca="1">IF($A452-S$3&lt;2,0,OFFSET('FPSO1 Base'!S449,-'FPSO1 Otim'!S$3,0))</f>
        <v>253.30650000000003</v>
      </c>
      <c r="T452" s="19">
        <f ca="1">IF($A452-T$3&lt;2,0,OFFSET('FPSO1 Base'!T449,-'FPSO1 Otim'!T$3,0))</f>
        <v>0</v>
      </c>
      <c r="U452" s="19">
        <f ca="1">IF($A452-U$3&lt;2,0,OFFSET('FPSO1 Base'!U449,-'FPSO1 Otim'!U$3,0))</f>
        <v>0</v>
      </c>
      <c r="V452" s="19">
        <f ca="1">IF($A452-V$3&lt;2,0,OFFSET('FPSO1 Base'!V449,-'FPSO1 Otim'!V$3,0))</f>
        <v>360.91949999999997</v>
      </c>
      <c r="W452" s="19">
        <f ca="1">IF($A452-W$3&lt;2,0,OFFSET('FPSO1 Base'!W449,-'FPSO1 Otim'!W$3,0))</f>
        <v>161.59950000000001</v>
      </c>
      <c r="X452" s="19">
        <f ca="1">IF($A452-X$3&lt;2,0,OFFSET('FPSO1 Base'!X449,-'FPSO1 Otim'!X$3,0))</f>
        <v>0</v>
      </c>
      <c r="Y452" s="19">
        <f ca="1">IF($A452-Y$3&lt;2,0,OFFSET('FPSO1 Base'!Y449,-'FPSO1 Otim'!Y$3,0))</f>
        <v>0</v>
      </c>
      <c r="Z452" s="19">
        <f ca="1">IF($A452-Z$3&lt;2,0,OFFSET('FPSO1 Base'!Z449,-'FPSO1 Otim'!Z$3,0))</f>
        <v>146.20155</v>
      </c>
      <c r="AA452" s="20">
        <v>15000</v>
      </c>
      <c r="AB452" s="19">
        <f t="shared" ca="1" si="22"/>
        <v>2997.8128629022658</v>
      </c>
      <c r="AC452" s="20">
        <f t="shared" ca="1" si="23"/>
        <v>12002.187137097735</v>
      </c>
      <c r="AD452" s="19">
        <f t="shared" ca="1" si="24"/>
        <v>74.022729445737312</v>
      </c>
    </row>
    <row r="453" spans="1:30" x14ac:dyDescent="0.25">
      <c r="A453" s="19">
        <v>449</v>
      </c>
      <c r="B453" s="31">
        <v>59262</v>
      </c>
      <c r="C453" s="19">
        <f ca="1">IF($A453-C$3&lt;2,0,OFFSET('FPSO1 Base'!C450,-'FPSO1 Otim'!C$3,0))</f>
        <v>277.48950000000002</v>
      </c>
      <c r="D453" s="19">
        <f ca="1">IF($A453-D$3&lt;2,0,OFFSET('FPSO1 Base'!D450,-'FPSO1 Otim'!D$3,0))</f>
        <v>38.565648224283912</v>
      </c>
      <c r="E453" s="19">
        <f ca="1">IF($A453-E$3&lt;2,0,OFFSET('FPSO1 Base'!E450,-'FPSO1 Otim'!E$3,0))</f>
        <v>0</v>
      </c>
      <c r="F453" s="19">
        <f ca="1">IF($A453-F$3&lt;2,0,OFFSET('FPSO1 Base'!F450,-'FPSO1 Otim'!F$3,0))</f>
        <v>232.86150000000004</v>
      </c>
      <c r="G453" s="19">
        <f ca="1">IF($A453-G$3&lt;2,0,OFFSET('FPSO1 Base'!G450,-'FPSO1 Otim'!G$3,0))</f>
        <v>69.138250120048525</v>
      </c>
      <c r="H453" s="19">
        <f ca="1">IF($A453-H$3&lt;2,0,OFFSET('FPSO1 Base'!H450,-'FPSO1 Otim'!H$3,0))</f>
        <v>531.99750000000006</v>
      </c>
      <c r="I453" s="19">
        <f ca="1">IF($A453-I$3&lt;2,0,OFFSET('FPSO1 Base'!I450,-'FPSO1 Otim'!I$3,0))</f>
        <v>356.952</v>
      </c>
      <c r="J453" s="19">
        <f ca="1">IF($A453-J$3&lt;2,0,OFFSET('FPSO1 Base'!J450,-'FPSO1 Otim'!J$3,0))</f>
        <v>176.0505</v>
      </c>
      <c r="K453" s="19">
        <f ca="1">IF($A453-K$3&lt;2,0,OFFSET('FPSO1 Base'!K450,-'FPSO1 Otim'!K$3,0))</f>
        <v>0</v>
      </c>
      <c r="L453" s="19">
        <f ca="1">IF($A453-L$3&lt;2,0,OFFSET('FPSO1 Base'!L450,-'FPSO1 Otim'!L$3,0))</f>
        <v>213.67499999999998</v>
      </c>
      <c r="M453" s="19">
        <f ca="1">IF($A453-M$3&lt;2,0,OFFSET('FPSO1 Base'!M450,-'FPSO1 Otim'!M$3,0))</f>
        <v>0</v>
      </c>
      <c r="N453" s="19">
        <f ca="1">IF($A453-N$3&lt;2,0,OFFSET('FPSO1 Base'!N450,-'FPSO1 Otim'!N$3,0))</f>
        <v>3.8312757706196052</v>
      </c>
      <c r="O453" s="19">
        <f ca="1">IF($A453-O$3&lt;2,0,OFFSET('FPSO1 Base'!O450,-'FPSO1 Otim'!O$3,0))</f>
        <v>82.416447898833098</v>
      </c>
      <c r="P453" s="19">
        <f ca="1">IF($A453-P$3&lt;2,0,OFFSET('FPSO1 Base'!P450,-'FPSO1 Otim'!P$3,0))</f>
        <v>0</v>
      </c>
      <c r="Q453" s="19">
        <f ca="1">IF($A453-Q$3&lt;2,0,OFFSET('FPSO1 Base'!Q450,-'FPSO1 Otim'!Q$3,0))</f>
        <v>0</v>
      </c>
      <c r="R453" s="19">
        <f ca="1">IF($A453-R$3&lt;2,0,OFFSET('FPSO1 Base'!R450,-'FPSO1 Otim'!R$3,0))</f>
        <v>6.7998977594584886</v>
      </c>
      <c r="S453" s="19">
        <f ca="1">IF($A453-S$3&lt;2,0,OFFSET('FPSO1 Base'!S450,-'FPSO1 Otim'!S$3,0))</f>
        <v>253.041</v>
      </c>
      <c r="T453" s="19">
        <f ca="1">IF($A453-T$3&lt;2,0,OFFSET('FPSO1 Base'!T450,-'FPSO1 Otim'!T$3,0))</f>
        <v>0</v>
      </c>
      <c r="U453" s="19">
        <f ca="1">IF($A453-U$3&lt;2,0,OFFSET('FPSO1 Base'!U450,-'FPSO1 Otim'!U$3,0))</f>
        <v>0</v>
      </c>
      <c r="V453" s="19">
        <f ca="1">IF($A453-V$3&lt;2,0,OFFSET('FPSO1 Base'!V450,-'FPSO1 Otim'!V$3,0))</f>
        <v>359.79300000000001</v>
      </c>
      <c r="W453" s="19">
        <f ca="1">IF($A453-W$3&lt;2,0,OFFSET('FPSO1 Base'!W450,-'FPSO1 Otim'!W$3,0))</f>
        <v>161.1525</v>
      </c>
      <c r="X453" s="19">
        <f ca="1">IF($A453-X$3&lt;2,0,OFFSET('FPSO1 Base'!X450,-'FPSO1 Otim'!X$3,0))</f>
        <v>0</v>
      </c>
      <c r="Y453" s="19">
        <f ca="1">IF($A453-Y$3&lt;2,0,OFFSET('FPSO1 Base'!Y450,-'FPSO1 Otim'!Y$3,0))</f>
        <v>0</v>
      </c>
      <c r="Z453" s="19">
        <f ca="1">IF($A453-Z$3&lt;2,0,OFFSET('FPSO1 Base'!Z450,-'FPSO1 Otim'!Z$3,0))</f>
        <v>145.53629999999998</v>
      </c>
      <c r="AA453" s="20">
        <v>15000</v>
      </c>
      <c r="AB453" s="19">
        <f t="shared" ca="1" si="22"/>
        <v>2909.3003197732442</v>
      </c>
      <c r="AC453" s="20">
        <f t="shared" ca="1" si="23"/>
        <v>12090.699680226757</v>
      </c>
      <c r="AD453" s="19">
        <f t="shared" ca="1" si="24"/>
        <v>71.24346054742773</v>
      </c>
    </row>
    <row r="454" spans="1:30" x14ac:dyDescent="0.25">
      <c r="A454" s="19">
        <v>450</v>
      </c>
      <c r="B454" s="31">
        <v>59292</v>
      </c>
      <c r="C454" s="19">
        <f ca="1">IF($A454-C$3&lt;2,0,OFFSET('FPSO1 Base'!C451,-'FPSO1 Otim'!C$3,0))</f>
        <v>296.41800000000001</v>
      </c>
      <c r="D454" s="19">
        <f ca="1">IF($A454-D$3&lt;2,0,OFFSET('FPSO1 Base'!D451,-'FPSO1 Otim'!D$3,0))</f>
        <v>38.179991742041075</v>
      </c>
      <c r="E454" s="19">
        <f ca="1">IF($A454-E$3&lt;2,0,OFFSET('FPSO1 Base'!E451,-'FPSO1 Otim'!E$3,0))</f>
        <v>0</v>
      </c>
      <c r="F454" s="19">
        <f ca="1">IF($A454-F$3&lt;2,0,OFFSET('FPSO1 Base'!F451,-'FPSO1 Otim'!F$3,0))</f>
        <v>232.3305</v>
      </c>
      <c r="G454" s="19">
        <f ca="1">IF($A454-G$3&lt;2,0,OFFSET('FPSO1 Base'!G451,-'FPSO1 Otim'!G$3,0))</f>
        <v>68.446867618848046</v>
      </c>
      <c r="H454" s="19">
        <f ca="1">IF($A454-H$3&lt;2,0,OFFSET('FPSO1 Base'!H451,-'FPSO1 Otim'!H$3,0))</f>
        <v>532.04549999999995</v>
      </c>
      <c r="I454" s="19">
        <f ca="1">IF($A454-I$3&lt;2,0,OFFSET('FPSO1 Base'!I451,-'FPSO1 Otim'!I$3,0))</f>
        <v>356.51850000000002</v>
      </c>
      <c r="J454" s="19">
        <f ca="1">IF($A454-J$3&lt;2,0,OFFSET('FPSO1 Base'!J451,-'FPSO1 Otim'!J$3,0))</f>
        <v>175.6935</v>
      </c>
      <c r="K454" s="19">
        <f ca="1">IF($A454-K$3&lt;2,0,OFFSET('FPSO1 Base'!K451,-'FPSO1 Otim'!K$3,0))</f>
        <v>0</v>
      </c>
      <c r="L454" s="19">
        <f ca="1">IF($A454-L$3&lt;2,0,OFFSET('FPSO1 Base'!L451,-'FPSO1 Otim'!L$3,0))</f>
        <v>213.5085</v>
      </c>
      <c r="M454" s="19">
        <f ca="1">IF($A454-M$3&lt;2,0,OFFSET('FPSO1 Base'!M451,-'FPSO1 Otim'!M$3,0))</f>
        <v>0</v>
      </c>
      <c r="N454" s="19">
        <f ca="1">IF($A454-N$3&lt;2,0,OFFSET('FPSO1 Base'!N451,-'FPSO1 Otim'!N$3,0))</f>
        <v>3.7929630129134093</v>
      </c>
      <c r="O454" s="19">
        <f ca="1">IF($A454-O$3&lt;2,0,OFFSET('FPSO1 Base'!O451,-'FPSO1 Otim'!O$3,0))</f>
        <v>81.592283419844762</v>
      </c>
      <c r="P454" s="19">
        <f ca="1">IF($A454-P$3&lt;2,0,OFFSET('FPSO1 Base'!P451,-'FPSO1 Otim'!P$3,0))</f>
        <v>0</v>
      </c>
      <c r="Q454" s="19">
        <f ca="1">IF($A454-Q$3&lt;2,0,OFFSET('FPSO1 Base'!Q451,-'FPSO1 Otim'!Q$3,0))</f>
        <v>0</v>
      </c>
      <c r="R454" s="19">
        <f ca="1">IF($A454-R$3&lt;2,0,OFFSET('FPSO1 Base'!R451,-'FPSO1 Otim'!R$3,0))</f>
        <v>6.7318987818639036</v>
      </c>
      <c r="S454" s="19">
        <f ca="1">IF($A454-S$3&lt;2,0,OFFSET('FPSO1 Base'!S451,-'FPSO1 Otim'!S$3,0))</f>
        <v>252.75</v>
      </c>
      <c r="T454" s="19">
        <f ca="1">IF($A454-T$3&lt;2,0,OFFSET('FPSO1 Base'!T451,-'FPSO1 Otim'!T$3,0))</f>
        <v>0</v>
      </c>
      <c r="U454" s="19">
        <f ca="1">IF($A454-U$3&lt;2,0,OFFSET('FPSO1 Base'!U451,-'FPSO1 Otim'!U$3,0))</f>
        <v>0</v>
      </c>
      <c r="V454" s="19">
        <f ca="1">IF($A454-V$3&lt;2,0,OFFSET('FPSO1 Base'!V451,-'FPSO1 Otim'!V$3,0))</f>
        <v>358.69349999999997</v>
      </c>
      <c r="W454" s="19">
        <f ca="1">IF($A454-W$3&lt;2,0,OFFSET('FPSO1 Base'!W451,-'FPSO1 Otim'!W$3,0))</f>
        <v>160.7655</v>
      </c>
      <c r="X454" s="19">
        <f ca="1">IF($A454-X$3&lt;2,0,OFFSET('FPSO1 Base'!X451,-'FPSO1 Otim'!X$3,0))</f>
        <v>0</v>
      </c>
      <c r="Y454" s="19">
        <f ca="1">IF($A454-Y$3&lt;2,0,OFFSET('FPSO1 Base'!Y451,-'FPSO1 Otim'!Y$3,0))</f>
        <v>0</v>
      </c>
      <c r="Z454" s="19">
        <f ca="1">IF($A454-Z$3&lt;2,0,OFFSET('FPSO1 Base'!Z451,-'FPSO1 Otim'!Z$3,0))</f>
        <v>144.77685</v>
      </c>
      <c r="AA454" s="20">
        <v>15000</v>
      </c>
      <c r="AB454" s="19">
        <f t="shared" ca="1" si="22"/>
        <v>2922.2443545755114</v>
      </c>
      <c r="AC454" s="20">
        <f t="shared" ca="1" si="23"/>
        <v>12077.755645424488</v>
      </c>
      <c r="AD454" s="19">
        <f t="shared" ca="1" si="24"/>
        <v>70.969027795001452</v>
      </c>
    </row>
    <row r="455" spans="1:30" x14ac:dyDescent="0.25">
      <c r="A455" s="19">
        <v>451</v>
      </c>
      <c r="B455" s="31">
        <v>59323</v>
      </c>
      <c r="C455" s="19">
        <f ca="1">IF($A455-C$3&lt;2,0,OFFSET('FPSO1 Base'!C452,-'FPSO1 Otim'!C$3,0))</f>
        <v>0</v>
      </c>
      <c r="D455" s="19">
        <f ca="1">IF($A455-D$3&lt;2,0,OFFSET('FPSO1 Base'!D452,-'FPSO1 Otim'!D$3,0))</f>
        <v>37.798191824620666</v>
      </c>
      <c r="E455" s="19">
        <f ca="1">IF($A455-E$3&lt;2,0,OFFSET('FPSO1 Base'!E452,-'FPSO1 Otim'!E$3,0))</f>
        <v>0</v>
      </c>
      <c r="F455" s="19">
        <f ca="1">IF($A455-F$3&lt;2,0,OFFSET('FPSO1 Base'!F452,-'FPSO1 Otim'!F$3,0))</f>
        <v>231.75</v>
      </c>
      <c r="G455" s="19">
        <f ca="1">IF($A455-G$3&lt;2,0,OFFSET('FPSO1 Base'!G452,-'FPSO1 Otim'!G$3,0))</f>
        <v>67.762398942659559</v>
      </c>
      <c r="H455" s="19">
        <f ca="1">IF($A455-H$3&lt;2,0,OFFSET('FPSO1 Base'!H452,-'FPSO1 Otim'!H$3,0))</f>
        <v>532.03199999999993</v>
      </c>
      <c r="I455" s="19">
        <f ca="1">IF($A455-I$3&lt;2,0,OFFSET('FPSO1 Base'!I452,-'FPSO1 Otim'!I$3,0))</f>
        <v>356.12850000000003</v>
      </c>
      <c r="J455" s="19">
        <f ca="1">IF($A455-J$3&lt;2,0,OFFSET('FPSO1 Base'!J452,-'FPSO1 Otim'!J$3,0))</f>
        <v>175.4025</v>
      </c>
      <c r="K455" s="19">
        <f ca="1">IF($A455-K$3&lt;2,0,OFFSET('FPSO1 Base'!K452,-'FPSO1 Otim'!K$3,0))</f>
        <v>0</v>
      </c>
      <c r="L455" s="19">
        <f ca="1">IF($A455-L$3&lt;2,0,OFFSET('FPSO1 Base'!L452,-'FPSO1 Otim'!L$3,0))</f>
        <v>213.339</v>
      </c>
      <c r="M455" s="19">
        <f ca="1">IF($A455-M$3&lt;2,0,OFFSET('FPSO1 Base'!M452,-'FPSO1 Otim'!M$3,0))</f>
        <v>0</v>
      </c>
      <c r="N455" s="19">
        <f ca="1">IF($A455-N$3&lt;2,0,OFFSET('FPSO1 Base'!N452,-'FPSO1 Otim'!N$3,0))</f>
        <v>3.755033382784275</v>
      </c>
      <c r="O455" s="19">
        <f ca="1">IF($A455-O$3&lt;2,0,OFFSET('FPSO1 Base'!O452,-'FPSO1 Otim'!O$3,0))</f>
        <v>80.776360585646316</v>
      </c>
      <c r="P455" s="19">
        <f ca="1">IF($A455-P$3&lt;2,0,OFFSET('FPSO1 Base'!P452,-'FPSO1 Otim'!P$3,0))</f>
        <v>0</v>
      </c>
      <c r="Q455" s="19">
        <f ca="1">IF($A455-Q$3&lt;2,0,OFFSET('FPSO1 Base'!Q452,-'FPSO1 Otim'!Q$3,0))</f>
        <v>0</v>
      </c>
      <c r="R455" s="19">
        <f ca="1">IF($A455-R$3&lt;2,0,OFFSET('FPSO1 Base'!R452,-'FPSO1 Otim'!R$3,0))</f>
        <v>6.6645797940452649</v>
      </c>
      <c r="S455" s="19">
        <f ca="1">IF($A455-S$3&lt;2,0,OFFSET('FPSO1 Base'!S452,-'FPSO1 Otim'!S$3,0))</f>
        <v>252.5085</v>
      </c>
      <c r="T455" s="19">
        <f ca="1">IF($A455-T$3&lt;2,0,OFFSET('FPSO1 Base'!T452,-'FPSO1 Otim'!T$3,0))</f>
        <v>0</v>
      </c>
      <c r="U455" s="19">
        <f ca="1">IF($A455-U$3&lt;2,0,OFFSET('FPSO1 Base'!U452,-'FPSO1 Otim'!U$3,0))</f>
        <v>0</v>
      </c>
      <c r="V455" s="19">
        <f ca="1">IF($A455-V$3&lt;2,0,OFFSET('FPSO1 Base'!V452,-'FPSO1 Otim'!V$3,0))</f>
        <v>357.6</v>
      </c>
      <c r="W455" s="19">
        <f ca="1">IF($A455-W$3&lt;2,0,OFFSET('FPSO1 Base'!W452,-'FPSO1 Otim'!W$3,0))</f>
        <v>160.24200000000002</v>
      </c>
      <c r="X455" s="19">
        <f ca="1">IF($A455-X$3&lt;2,0,OFFSET('FPSO1 Base'!X452,-'FPSO1 Otim'!X$3,0))</f>
        <v>0</v>
      </c>
      <c r="Y455" s="19">
        <f ca="1">IF($A455-Y$3&lt;2,0,OFFSET('FPSO1 Base'!Y452,-'FPSO1 Otim'!Y$3,0))</f>
        <v>0</v>
      </c>
      <c r="Z455" s="19">
        <f ca="1">IF($A455-Z$3&lt;2,0,OFFSET('FPSO1 Base'!Z452,-'FPSO1 Otim'!Z$3,0))</f>
        <v>144.15719999999999</v>
      </c>
      <c r="AA455" s="20">
        <v>15000</v>
      </c>
      <c r="AB455" s="19">
        <f t="shared" ref="AB455:AB485" ca="1" si="25">SUM(C455:Z455)</f>
        <v>2619.9162645297561</v>
      </c>
      <c r="AC455" s="20">
        <f t="shared" ref="AC455:AC485" ca="1" si="26">AA455-AB455</f>
        <v>12380.083735470243</v>
      </c>
      <c r="AD455" s="19">
        <f t="shared" ref="AD455:AD485" ca="1" si="27">AB455/(1+$AD$2)^(A455-2)</f>
        <v>63.100908822973246</v>
      </c>
    </row>
    <row r="456" spans="1:30" x14ac:dyDescent="0.25">
      <c r="A456" s="19">
        <v>452</v>
      </c>
      <c r="B456" s="31">
        <v>59353</v>
      </c>
      <c r="C456" s="19">
        <f ca="1">IF($A456-C$3&lt;2,0,OFFSET('FPSO1 Base'!C453,-'FPSO1 Otim'!C$3,0))</f>
        <v>0</v>
      </c>
      <c r="D456" s="19">
        <f ca="1">IF($A456-D$3&lt;2,0,OFFSET('FPSO1 Base'!D453,-'FPSO1 Otim'!D$3,0))</f>
        <v>37.42020990637446</v>
      </c>
      <c r="E456" s="19">
        <f ca="1">IF($A456-E$3&lt;2,0,OFFSET('FPSO1 Base'!E453,-'FPSO1 Otim'!E$3,0))</f>
        <v>0</v>
      </c>
      <c r="F456" s="19">
        <f ca="1">IF($A456-F$3&lt;2,0,OFFSET('FPSO1 Base'!F453,-'FPSO1 Otim'!F$3,0))</f>
        <v>231.2415</v>
      </c>
      <c r="G456" s="19">
        <f ca="1">IF($A456-G$3&lt;2,0,OFFSET('FPSO1 Base'!G453,-'FPSO1 Otim'!G$3,0))</f>
        <v>67.084774953232966</v>
      </c>
      <c r="H456" s="19">
        <f ca="1">IF($A456-H$3&lt;2,0,OFFSET('FPSO1 Base'!H453,-'FPSO1 Otim'!H$3,0))</f>
        <v>532.04549999999995</v>
      </c>
      <c r="I456" s="19">
        <f ca="1">IF($A456-I$3&lt;2,0,OFFSET('FPSO1 Base'!I453,-'FPSO1 Otim'!I$3,0))</f>
        <v>355.6995</v>
      </c>
      <c r="J456" s="19">
        <f ca="1">IF($A456-J$3&lt;2,0,OFFSET('FPSO1 Base'!J453,-'FPSO1 Otim'!J$3,0))</f>
        <v>175.09800000000001</v>
      </c>
      <c r="K456" s="19">
        <f ca="1">IF($A456-K$3&lt;2,0,OFFSET('FPSO1 Base'!K453,-'FPSO1 Otim'!K$3,0))</f>
        <v>0</v>
      </c>
      <c r="L456" s="19">
        <f ca="1">IF($A456-L$3&lt;2,0,OFFSET('FPSO1 Base'!L453,-'FPSO1 Otim'!L$3,0))</f>
        <v>213.14999999999998</v>
      </c>
      <c r="M456" s="19">
        <f ca="1">IF($A456-M$3&lt;2,0,OFFSET('FPSO1 Base'!M453,-'FPSO1 Otim'!M$3,0))</f>
        <v>0</v>
      </c>
      <c r="N456" s="19">
        <f ca="1">IF($A456-N$3&lt;2,0,OFFSET('FPSO1 Base'!N453,-'FPSO1 Otim'!N$3,0))</f>
        <v>3.7174830489564323</v>
      </c>
      <c r="O456" s="19">
        <f ca="1">IF($A456-O$3&lt;2,0,OFFSET('FPSO1 Base'!O453,-'FPSO1 Otim'!O$3,0))</f>
        <v>79.968596979789851</v>
      </c>
      <c r="P456" s="19">
        <f ca="1">IF($A456-P$3&lt;2,0,OFFSET('FPSO1 Base'!P453,-'FPSO1 Otim'!P$3,0))</f>
        <v>0</v>
      </c>
      <c r="Q456" s="19">
        <f ca="1">IF($A456-Q$3&lt;2,0,OFFSET('FPSO1 Base'!Q453,-'FPSO1 Otim'!Q$3,0))</f>
        <v>0</v>
      </c>
      <c r="R456" s="19">
        <f ca="1">IF($A456-R$3&lt;2,0,OFFSET('FPSO1 Base'!R453,-'FPSO1 Otim'!R$3,0))</f>
        <v>6.5979339961048122</v>
      </c>
      <c r="S456" s="19">
        <f ca="1">IF($A456-S$3&lt;2,0,OFFSET('FPSO1 Base'!S453,-'FPSO1 Otim'!S$3,0))</f>
        <v>252.1755</v>
      </c>
      <c r="T456" s="19">
        <f ca="1">IF($A456-T$3&lt;2,0,OFFSET('FPSO1 Base'!T453,-'FPSO1 Otim'!T$3,0))</f>
        <v>0</v>
      </c>
      <c r="U456" s="19">
        <f ca="1">IF($A456-U$3&lt;2,0,OFFSET('FPSO1 Base'!U453,-'FPSO1 Otim'!U$3,0))</f>
        <v>0</v>
      </c>
      <c r="V456" s="19">
        <f ca="1">IF($A456-V$3&lt;2,0,OFFSET('FPSO1 Base'!V453,-'FPSO1 Otim'!V$3,0))</f>
        <v>356.613</v>
      </c>
      <c r="W456" s="19">
        <f ca="1">IF($A456-W$3&lt;2,0,OFFSET('FPSO1 Base'!W453,-'FPSO1 Otim'!W$3,0))</f>
        <v>159.8475</v>
      </c>
      <c r="X456" s="19">
        <f ca="1">IF($A456-X$3&lt;2,0,OFFSET('FPSO1 Base'!X453,-'FPSO1 Otim'!X$3,0))</f>
        <v>0</v>
      </c>
      <c r="Y456" s="19">
        <f ca="1">IF($A456-Y$3&lt;2,0,OFFSET('FPSO1 Base'!Y453,-'FPSO1 Otim'!Y$3,0))</f>
        <v>0</v>
      </c>
      <c r="Z456" s="19">
        <f ca="1">IF($A456-Z$3&lt;2,0,OFFSET('FPSO1 Base'!Z453,-'FPSO1 Otim'!Z$3,0))</f>
        <v>143.46254999999999</v>
      </c>
      <c r="AA456" s="20">
        <v>15000</v>
      </c>
      <c r="AB456" s="19">
        <f t="shared" ca="1" si="25"/>
        <v>2614.1220488844583</v>
      </c>
      <c r="AC456" s="20">
        <f t="shared" ca="1" si="26"/>
        <v>12385.877951115541</v>
      </c>
      <c r="AD456" s="19">
        <f t="shared" ca="1" si="27"/>
        <v>62.441012866350469</v>
      </c>
    </row>
    <row r="457" spans="1:30" x14ac:dyDescent="0.25">
      <c r="A457" s="19">
        <v>453</v>
      </c>
      <c r="B457" s="31">
        <v>59384</v>
      </c>
      <c r="C457" s="19">
        <f ca="1">IF($A457-C$3&lt;2,0,OFFSET('FPSO1 Base'!C454,-'FPSO1 Otim'!C$3,0))</f>
        <v>0</v>
      </c>
      <c r="D457" s="19">
        <f ca="1">IF($A457-D$3&lt;2,0,OFFSET('FPSO1 Base'!D454,-'FPSO1 Otim'!D$3,0))</f>
        <v>37.046007807310716</v>
      </c>
      <c r="E457" s="19">
        <f ca="1">IF($A457-E$3&lt;2,0,OFFSET('FPSO1 Base'!E454,-'FPSO1 Otim'!E$3,0))</f>
        <v>0</v>
      </c>
      <c r="F457" s="19">
        <f ca="1">IF($A457-F$3&lt;2,0,OFFSET('FPSO1 Base'!F454,-'FPSO1 Otim'!F$3,0))</f>
        <v>0</v>
      </c>
      <c r="G457" s="19">
        <f ca="1">IF($A457-G$3&lt;2,0,OFFSET('FPSO1 Base'!G454,-'FPSO1 Otim'!G$3,0))</f>
        <v>66.413927203700638</v>
      </c>
      <c r="H457" s="19">
        <f ca="1">IF($A457-H$3&lt;2,0,OFFSET('FPSO1 Base'!H454,-'FPSO1 Otim'!H$3,0))</f>
        <v>532.03199999999993</v>
      </c>
      <c r="I457" s="19">
        <f ca="1">IF($A457-I$3&lt;2,0,OFFSET('FPSO1 Base'!I454,-'FPSO1 Otim'!I$3,0))</f>
        <v>355.35449999999997</v>
      </c>
      <c r="J457" s="19">
        <f ca="1">IF($A457-J$3&lt;2,0,OFFSET('FPSO1 Base'!J454,-'FPSO1 Otim'!J$3,0))</f>
        <v>174.8475</v>
      </c>
      <c r="K457" s="19">
        <f ca="1">IF($A457-K$3&lt;2,0,OFFSET('FPSO1 Base'!K454,-'FPSO1 Otim'!K$3,0))</f>
        <v>0</v>
      </c>
      <c r="L457" s="19">
        <f ca="1">IF($A457-L$3&lt;2,0,OFFSET('FPSO1 Base'!L454,-'FPSO1 Otim'!L$3,0))</f>
        <v>212.976</v>
      </c>
      <c r="M457" s="19">
        <f ca="1">IF($A457-M$3&lt;2,0,OFFSET('FPSO1 Base'!M454,-'FPSO1 Otim'!M$3,0))</f>
        <v>0</v>
      </c>
      <c r="N457" s="19">
        <f ca="1">IF($A457-N$3&lt;2,0,OFFSET('FPSO1 Base'!N454,-'FPSO1 Otim'!N$3,0))</f>
        <v>3.6803082184668678</v>
      </c>
      <c r="O457" s="19">
        <f ca="1">IF($A457-O$3&lt;2,0,OFFSET('FPSO1 Base'!O454,-'FPSO1 Otim'!O$3,0))</f>
        <v>79.168911009991945</v>
      </c>
      <c r="P457" s="19">
        <f ca="1">IF($A457-P$3&lt;2,0,OFFSET('FPSO1 Base'!P454,-'FPSO1 Otim'!P$3,0))</f>
        <v>0</v>
      </c>
      <c r="Q457" s="19">
        <f ca="1">IF($A457-Q$3&lt;2,0,OFFSET('FPSO1 Base'!Q454,-'FPSO1 Otim'!Q$3,0))</f>
        <v>0</v>
      </c>
      <c r="R457" s="19">
        <f ca="1">IF($A457-R$3&lt;2,0,OFFSET('FPSO1 Base'!R454,-'FPSO1 Otim'!R$3,0))</f>
        <v>6.531954656143764</v>
      </c>
      <c r="S457" s="19">
        <f ca="1">IF($A457-S$3&lt;2,0,OFFSET('FPSO1 Base'!S454,-'FPSO1 Otim'!S$3,0))</f>
        <v>251.9025</v>
      </c>
      <c r="T457" s="19">
        <f ca="1">IF($A457-T$3&lt;2,0,OFFSET('FPSO1 Base'!T454,-'FPSO1 Otim'!T$3,0))</f>
        <v>0</v>
      </c>
      <c r="U457" s="19">
        <f ca="1">IF($A457-U$3&lt;2,0,OFFSET('FPSO1 Base'!U454,-'FPSO1 Otim'!U$3,0))</f>
        <v>0</v>
      </c>
      <c r="V457" s="19">
        <f ca="1">IF($A457-V$3&lt;2,0,OFFSET('FPSO1 Base'!V454,-'FPSO1 Otim'!V$3,0))</f>
        <v>0</v>
      </c>
      <c r="W457" s="19">
        <f ca="1">IF($A457-W$3&lt;2,0,OFFSET('FPSO1 Base'!W454,-'FPSO1 Otim'!W$3,0))</f>
        <v>159.375</v>
      </c>
      <c r="X457" s="19">
        <f ca="1">IF($A457-X$3&lt;2,0,OFFSET('FPSO1 Base'!X454,-'FPSO1 Otim'!X$3,0))</f>
        <v>0</v>
      </c>
      <c r="Y457" s="19">
        <f ca="1">IF($A457-Y$3&lt;2,0,OFFSET('FPSO1 Base'!Y454,-'FPSO1 Otim'!Y$3,0))</f>
        <v>0</v>
      </c>
      <c r="Z457" s="19">
        <f ca="1">IF($A457-Z$3&lt;2,0,OFFSET('FPSO1 Base'!Z454,-'FPSO1 Otim'!Z$3,0))</f>
        <v>142.80240000000001</v>
      </c>
      <c r="AA457" s="20">
        <v>15000</v>
      </c>
      <c r="AB457" s="19">
        <f t="shared" ca="1" si="25"/>
        <v>2022.1310088956138</v>
      </c>
      <c r="AC457" s="20">
        <f t="shared" ca="1" si="26"/>
        <v>12977.868991104386</v>
      </c>
      <c r="AD457" s="19">
        <f t="shared" ca="1" si="27"/>
        <v>47.901514400442963</v>
      </c>
    </row>
    <row r="458" spans="1:30" x14ac:dyDescent="0.25">
      <c r="A458" s="19">
        <v>454</v>
      </c>
      <c r="B458" s="31">
        <v>59415</v>
      </c>
      <c r="C458" s="19">
        <f ca="1">IF($A458-C$3&lt;2,0,OFFSET('FPSO1 Base'!C455,-'FPSO1 Otim'!C$3,0))</f>
        <v>0</v>
      </c>
      <c r="D458" s="19">
        <f ca="1">IF($A458-D$3&lt;2,0,OFFSET('FPSO1 Base'!D455,-'FPSO1 Otim'!D$3,0))</f>
        <v>36.675547729237607</v>
      </c>
      <c r="E458" s="19">
        <f ca="1">IF($A458-E$3&lt;2,0,OFFSET('FPSO1 Base'!E455,-'FPSO1 Otim'!E$3,0))</f>
        <v>0</v>
      </c>
      <c r="F458" s="19">
        <f ca="1">IF($A458-F$3&lt;2,0,OFFSET('FPSO1 Base'!F455,-'FPSO1 Otim'!F$3,0))</f>
        <v>0</v>
      </c>
      <c r="G458" s="19">
        <f ca="1">IF($A458-G$3&lt;2,0,OFFSET('FPSO1 Base'!G455,-'FPSO1 Otim'!G$3,0))</f>
        <v>65.749787931663633</v>
      </c>
      <c r="H458" s="19">
        <f ca="1">IF($A458-H$3&lt;2,0,OFFSET('FPSO1 Base'!H455,-'FPSO1 Otim'!H$3,0))</f>
        <v>532.04549999999995</v>
      </c>
      <c r="I458" s="19">
        <f ca="1">IF($A458-I$3&lt;2,0,OFFSET('FPSO1 Base'!I455,-'FPSO1 Otim'!I$3,0))</f>
        <v>354.87450000000001</v>
      </c>
      <c r="J458" s="19">
        <f ca="1">IF($A458-J$3&lt;2,0,OFFSET('FPSO1 Base'!J455,-'FPSO1 Otim'!J$3,0))</f>
        <v>174.52499999999998</v>
      </c>
      <c r="K458" s="19">
        <f ca="1">IF($A458-K$3&lt;2,0,OFFSET('FPSO1 Base'!K455,-'FPSO1 Otim'!K$3,0))</f>
        <v>0</v>
      </c>
      <c r="L458" s="19">
        <f ca="1">IF($A458-L$3&lt;2,0,OFFSET('FPSO1 Base'!L455,-'FPSO1 Otim'!L$3,0))</f>
        <v>212.77499999999998</v>
      </c>
      <c r="M458" s="19">
        <f ca="1">IF($A458-M$3&lt;2,0,OFFSET('FPSO1 Base'!M455,-'FPSO1 Otim'!M$3,0))</f>
        <v>0</v>
      </c>
      <c r="N458" s="19">
        <f ca="1">IF($A458-N$3&lt;2,0,OFFSET('FPSO1 Base'!N455,-'FPSO1 Otim'!N$3,0))</f>
        <v>3.6435051362821991</v>
      </c>
      <c r="O458" s="19">
        <f ca="1">IF($A458-O$3&lt;2,0,OFFSET('FPSO1 Base'!O455,-'FPSO1 Otim'!O$3,0))</f>
        <v>78.377221899892021</v>
      </c>
      <c r="P458" s="19">
        <f ca="1">IF($A458-P$3&lt;2,0,OFFSET('FPSO1 Base'!P455,-'FPSO1 Otim'!P$3,0))</f>
        <v>0</v>
      </c>
      <c r="Q458" s="19">
        <f ca="1">IF($A458-Q$3&lt;2,0,OFFSET('FPSO1 Base'!Q455,-'FPSO1 Otim'!Q$3,0))</f>
        <v>0</v>
      </c>
      <c r="R458" s="19">
        <f ca="1">IF($A458-R$3&lt;2,0,OFFSET('FPSO1 Base'!R455,-'FPSO1 Otim'!R$3,0))</f>
        <v>6.4666351095823265</v>
      </c>
      <c r="S458" s="19">
        <f ca="1">IF($A458-S$3&lt;2,0,OFFSET('FPSO1 Base'!S455,-'FPSO1 Otim'!S$3,0))</f>
        <v>251.661</v>
      </c>
      <c r="T458" s="19">
        <f ca="1">IF($A458-T$3&lt;2,0,OFFSET('FPSO1 Base'!T455,-'FPSO1 Otim'!T$3,0))</f>
        <v>0</v>
      </c>
      <c r="U458" s="19">
        <f ca="1">IF($A458-U$3&lt;2,0,OFFSET('FPSO1 Base'!U455,-'FPSO1 Otim'!U$3,0))</f>
        <v>0</v>
      </c>
      <c r="V458" s="19">
        <f ca="1">IF($A458-V$3&lt;2,0,OFFSET('FPSO1 Base'!V455,-'FPSO1 Otim'!V$3,0))</f>
        <v>0</v>
      </c>
      <c r="W458" s="19">
        <f ca="1">IF($A458-W$3&lt;2,0,OFFSET('FPSO1 Base'!W455,-'FPSO1 Otim'!W$3,0))</f>
        <v>158.9025</v>
      </c>
      <c r="X458" s="19">
        <f ca="1">IF($A458-X$3&lt;2,0,OFFSET('FPSO1 Base'!X455,-'FPSO1 Otim'!X$3,0))</f>
        <v>0</v>
      </c>
      <c r="Y458" s="19">
        <f ca="1">IF($A458-Y$3&lt;2,0,OFFSET('FPSO1 Base'!Y455,-'FPSO1 Otim'!Y$3,0))</f>
        <v>0</v>
      </c>
      <c r="Z458" s="19">
        <f ca="1">IF($A458-Z$3&lt;2,0,OFFSET('FPSO1 Base'!Z455,-'FPSO1 Otim'!Z$3,0))</f>
        <v>142.08749999999998</v>
      </c>
      <c r="AA458" s="20">
        <v>15000</v>
      </c>
      <c r="AB458" s="19">
        <f t="shared" ca="1" si="25"/>
        <v>2017.7836978066575</v>
      </c>
      <c r="AC458" s="20">
        <f t="shared" ca="1" si="26"/>
        <v>12982.216302193343</v>
      </c>
      <c r="AD458" s="19">
        <f t="shared" ca="1" si="27"/>
        <v>47.403503359493236</v>
      </c>
    </row>
    <row r="459" spans="1:30" x14ac:dyDescent="0.25">
      <c r="A459" s="19">
        <v>455</v>
      </c>
      <c r="B459" s="31">
        <v>59445</v>
      </c>
      <c r="C459" s="19">
        <f ca="1">IF($A459-C$3&lt;2,0,OFFSET('FPSO1 Base'!C456,-'FPSO1 Otim'!C$3,0))</f>
        <v>0</v>
      </c>
      <c r="D459" s="19">
        <f ca="1">IF($A459-D$3&lt;2,0,OFFSET('FPSO1 Base'!D456,-'FPSO1 Otim'!D$3,0))</f>
        <v>36.308792251945228</v>
      </c>
      <c r="E459" s="19">
        <f ca="1">IF($A459-E$3&lt;2,0,OFFSET('FPSO1 Base'!E456,-'FPSO1 Otim'!E$3,0))</f>
        <v>0</v>
      </c>
      <c r="F459" s="19">
        <f ca="1">IF($A459-F$3&lt;2,0,OFFSET('FPSO1 Base'!F456,-'FPSO1 Otim'!F$3,0))</f>
        <v>0</v>
      </c>
      <c r="G459" s="19">
        <f ca="1">IF($A459-G$3&lt;2,0,OFFSET('FPSO1 Base'!G456,-'FPSO1 Otim'!G$3,0))</f>
        <v>65.092290052346996</v>
      </c>
      <c r="H459" s="19">
        <f ca="1">IF($A459-H$3&lt;2,0,OFFSET('FPSO1 Base'!H456,-'FPSO1 Otim'!H$3,0))</f>
        <v>532.06950000000006</v>
      </c>
      <c r="I459" s="19">
        <f ca="1">IF($A459-I$3&lt;2,0,OFFSET('FPSO1 Base'!I456,-'FPSO1 Otim'!I$3,0))</f>
        <v>354.435</v>
      </c>
      <c r="J459" s="19">
        <f ca="1">IF($A459-J$3&lt;2,0,OFFSET('FPSO1 Base'!J456,-'FPSO1 Otim'!J$3,0))</f>
        <v>174.2415</v>
      </c>
      <c r="K459" s="19">
        <f ca="1">IF($A459-K$3&lt;2,0,OFFSET('FPSO1 Base'!K456,-'FPSO1 Otim'!K$3,0))</f>
        <v>0</v>
      </c>
      <c r="L459" s="19">
        <f ca="1">IF($A459-L$3&lt;2,0,OFFSET('FPSO1 Base'!L456,-'FPSO1 Otim'!L$3,0))</f>
        <v>212.78249999999997</v>
      </c>
      <c r="M459" s="19">
        <f ca="1">IF($A459-M$3&lt;2,0,OFFSET('FPSO1 Base'!M456,-'FPSO1 Otim'!M$3,0))</f>
        <v>0</v>
      </c>
      <c r="N459" s="19">
        <f ca="1">IF($A459-N$3&lt;2,0,OFFSET('FPSO1 Base'!N456,-'FPSO1 Otim'!N$3,0))</f>
        <v>3.6070700849193771</v>
      </c>
      <c r="O459" s="19">
        <f ca="1">IF($A459-O$3&lt;2,0,OFFSET('FPSO1 Base'!O456,-'FPSO1 Otim'!O$3,0))</f>
        <v>77.593449680893102</v>
      </c>
      <c r="P459" s="19">
        <f ca="1">IF($A459-P$3&lt;2,0,OFFSET('FPSO1 Base'!P456,-'FPSO1 Otim'!P$3,0))</f>
        <v>0</v>
      </c>
      <c r="Q459" s="19">
        <f ca="1">IF($A459-Q$3&lt;2,0,OFFSET('FPSO1 Base'!Q456,-'FPSO1 Otim'!Q$3,0))</f>
        <v>0</v>
      </c>
      <c r="R459" s="19">
        <f ca="1">IF($A459-R$3&lt;2,0,OFFSET('FPSO1 Base'!R456,-'FPSO1 Otim'!R$3,0))</f>
        <v>6.401968758486503</v>
      </c>
      <c r="S459" s="19">
        <f ca="1">IF($A459-S$3&lt;2,0,OFFSET('FPSO1 Base'!S456,-'FPSO1 Otim'!S$3,0))</f>
        <v>251.33100000000002</v>
      </c>
      <c r="T459" s="19">
        <f ca="1">IF($A459-T$3&lt;2,0,OFFSET('FPSO1 Base'!T456,-'FPSO1 Otim'!T$3,0))</f>
        <v>0</v>
      </c>
      <c r="U459" s="19">
        <f ca="1">IF($A459-U$3&lt;2,0,OFFSET('FPSO1 Base'!U456,-'FPSO1 Otim'!U$3,0))</f>
        <v>0</v>
      </c>
      <c r="V459" s="19">
        <f ca="1">IF($A459-V$3&lt;2,0,OFFSET('FPSO1 Base'!V456,-'FPSO1 Otim'!V$3,0))</f>
        <v>0</v>
      </c>
      <c r="W459" s="19">
        <f ca="1">IF($A459-W$3&lt;2,0,OFFSET('FPSO1 Base'!W456,-'FPSO1 Otim'!W$3,0))</f>
        <v>0</v>
      </c>
      <c r="X459" s="19">
        <f ca="1">IF($A459-X$3&lt;2,0,OFFSET('FPSO1 Base'!X456,-'FPSO1 Otim'!X$3,0))</f>
        <v>0</v>
      </c>
      <c r="Y459" s="19">
        <f ca="1">IF($A459-Y$3&lt;2,0,OFFSET('FPSO1 Base'!Y456,-'FPSO1 Otim'!Y$3,0))</f>
        <v>0</v>
      </c>
      <c r="Z459" s="19">
        <f ca="1">IF($A459-Z$3&lt;2,0,OFFSET('FPSO1 Base'!Z456,-'FPSO1 Otim'!Z$3,0))</f>
        <v>141.41129999999998</v>
      </c>
      <c r="AA459" s="20">
        <v>15000</v>
      </c>
      <c r="AB459" s="19">
        <f t="shared" ca="1" si="25"/>
        <v>1855.2743708285914</v>
      </c>
      <c r="AC459" s="20">
        <f t="shared" ca="1" si="26"/>
        <v>13144.725629171409</v>
      </c>
      <c r="AD459" s="19">
        <f t="shared" ca="1" si="27"/>
        <v>43.225482665163696</v>
      </c>
    </row>
    <row r="460" spans="1:30" x14ac:dyDescent="0.25">
      <c r="A460" s="19">
        <v>456</v>
      </c>
      <c r="B460" s="31">
        <v>59476</v>
      </c>
      <c r="C460" s="19">
        <f ca="1">IF($A460-C$3&lt;2,0,OFFSET('FPSO1 Base'!C457,-'FPSO1 Otim'!C$3,0))</f>
        <v>0</v>
      </c>
      <c r="D460" s="19">
        <f ca="1">IF($A460-D$3&lt;2,0,OFFSET('FPSO1 Base'!D457,-'FPSO1 Otim'!D$3,0))</f>
        <v>35.945704329425773</v>
      </c>
      <c r="E460" s="19">
        <f ca="1">IF($A460-E$3&lt;2,0,OFFSET('FPSO1 Base'!E457,-'FPSO1 Otim'!E$3,0))</f>
        <v>0</v>
      </c>
      <c r="F460" s="19">
        <f ca="1">IF($A460-F$3&lt;2,0,OFFSET('FPSO1 Base'!F457,-'FPSO1 Otim'!F$3,0))</f>
        <v>0</v>
      </c>
      <c r="G460" s="19">
        <f ca="1">IF($A460-G$3&lt;2,0,OFFSET('FPSO1 Base'!G457,-'FPSO1 Otim'!G$3,0))</f>
        <v>64.441367151823528</v>
      </c>
      <c r="H460" s="19">
        <f ca="1">IF($A460-H$3&lt;2,0,OFFSET('FPSO1 Base'!H457,-'FPSO1 Otim'!H$3,0))</f>
        <v>532.07849999999996</v>
      </c>
      <c r="I460" s="19">
        <f ca="1">IF($A460-I$3&lt;2,0,OFFSET('FPSO1 Base'!I457,-'FPSO1 Otim'!I$3,0))</f>
        <v>354.048</v>
      </c>
      <c r="J460" s="19">
        <f ca="1">IF($A460-J$3&lt;2,0,OFFSET('FPSO1 Base'!J457,-'FPSO1 Otim'!J$3,0))</f>
        <v>173.95050000000001</v>
      </c>
      <c r="K460" s="19">
        <f ca="1">IF($A460-K$3&lt;2,0,OFFSET('FPSO1 Base'!K457,-'FPSO1 Otim'!K$3,0))</f>
        <v>0</v>
      </c>
      <c r="L460" s="19">
        <f ca="1">IF($A460-L$3&lt;2,0,OFFSET('FPSO1 Base'!L457,-'FPSO1 Otim'!L$3,0))</f>
        <v>212.80650000000003</v>
      </c>
      <c r="M460" s="19">
        <f ca="1">IF($A460-M$3&lt;2,0,OFFSET('FPSO1 Base'!M457,-'FPSO1 Otim'!M$3,0))</f>
        <v>0</v>
      </c>
      <c r="N460" s="19">
        <f ca="1">IF($A460-N$3&lt;2,0,OFFSET('FPSO1 Base'!N457,-'FPSO1 Otim'!N$3,0))</f>
        <v>3.5709993840701832</v>
      </c>
      <c r="O460" s="19">
        <f ca="1">IF($A460-O$3&lt;2,0,OFFSET('FPSO1 Base'!O457,-'FPSO1 Otim'!O$3,0))</f>
        <v>76.817515184084172</v>
      </c>
      <c r="P460" s="19">
        <f ca="1">IF($A460-P$3&lt;2,0,OFFSET('FPSO1 Base'!P457,-'FPSO1 Otim'!P$3,0))</f>
        <v>0</v>
      </c>
      <c r="Q460" s="19">
        <f ca="1">IF($A460-Q$3&lt;2,0,OFFSET('FPSO1 Base'!Q457,-'FPSO1 Otim'!Q$3,0))</f>
        <v>0</v>
      </c>
      <c r="R460" s="19">
        <f ca="1">IF($A460-R$3&lt;2,0,OFFSET('FPSO1 Base'!R457,-'FPSO1 Otim'!R$3,0))</f>
        <v>6.3379490709016384</v>
      </c>
      <c r="S460" s="19">
        <f ca="1">IF($A460-S$3&lt;2,0,OFFSET('FPSO1 Base'!S457,-'FPSO1 Otim'!S$3,0))</f>
        <v>251.05650000000003</v>
      </c>
      <c r="T460" s="19">
        <f ca="1">IF($A460-T$3&lt;2,0,OFFSET('FPSO1 Base'!T457,-'FPSO1 Otim'!T$3,0))</f>
        <v>0</v>
      </c>
      <c r="U460" s="19">
        <f ca="1">IF($A460-U$3&lt;2,0,OFFSET('FPSO1 Base'!U457,-'FPSO1 Otim'!U$3,0))</f>
        <v>0</v>
      </c>
      <c r="V460" s="19">
        <f ca="1">IF($A460-V$3&lt;2,0,OFFSET('FPSO1 Base'!V457,-'FPSO1 Otim'!V$3,0))</f>
        <v>0</v>
      </c>
      <c r="W460" s="19">
        <f ca="1">IF($A460-W$3&lt;2,0,OFFSET('FPSO1 Base'!W457,-'FPSO1 Otim'!W$3,0))</f>
        <v>0</v>
      </c>
      <c r="X460" s="19">
        <f ca="1">IF($A460-X$3&lt;2,0,OFFSET('FPSO1 Base'!X457,-'FPSO1 Otim'!X$3,0))</f>
        <v>0</v>
      </c>
      <c r="Y460" s="19">
        <f ca="1">IF($A460-Y$3&lt;2,0,OFFSET('FPSO1 Base'!Y457,-'FPSO1 Otim'!Y$3,0))</f>
        <v>0</v>
      </c>
      <c r="Z460" s="19">
        <f ca="1">IF($A460-Z$3&lt;2,0,OFFSET('FPSO1 Base'!Z457,-'FPSO1 Otim'!Z$3,0))</f>
        <v>140.75805</v>
      </c>
      <c r="AA460" s="20">
        <v>15000</v>
      </c>
      <c r="AB460" s="19">
        <f t="shared" ca="1" si="25"/>
        <v>1851.8115851203052</v>
      </c>
      <c r="AC460" s="20">
        <f t="shared" ca="1" si="26"/>
        <v>13148.188414879694</v>
      </c>
      <c r="AD460" s="19">
        <f t="shared" ca="1" si="27"/>
        <v>42.788235626423329</v>
      </c>
    </row>
    <row r="461" spans="1:30" x14ac:dyDescent="0.25">
      <c r="A461" s="19">
        <v>457</v>
      </c>
      <c r="B461" s="31">
        <v>59506</v>
      </c>
      <c r="C461" s="19">
        <f ca="1">IF($A461-C$3&lt;2,0,OFFSET('FPSO1 Base'!C458,-'FPSO1 Otim'!C$3,0))</f>
        <v>0</v>
      </c>
      <c r="D461" s="19">
        <f ca="1">IF($A461-D$3&lt;2,0,OFFSET('FPSO1 Base'!D458,-'FPSO1 Otim'!D$3,0))</f>
        <v>35.586247286131517</v>
      </c>
      <c r="E461" s="19">
        <f ca="1">IF($A461-E$3&lt;2,0,OFFSET('FPSO1 Base'!E458,-'FPSO1 Otim'!E$3,0))</f>
        <v>0</v>
      </c>
      <c r="F461" s="19">
        <f ca="1">IF($A461-F$3&lt;2,0,OFFSET('FPSO1 Base'!F458,-'FPSO1 Otim'!F$3,0))</f>
        <v>0</v>
      </c>
      <c r="G461" s="19">
        <f ca="1">IF($A461-G$3&lt;2,0,OFFSET('FPSO1 Base'!G458,-'FPSO1 Otim'!G$3,0))</f>
        <v>63.796953480305291</v>
      </c>
      <c r="H461" s="19">
        <f ca="1">IF($A461-H$3&lt;2,0,OFFSET('FPSO1 Base'!H458,-'FPSO1 Otim'!H$3,0))</f>
        <v>532.09199999999998</v>
      </c>
      <c r="I461" s="19">
        <f ca="1">IF($A461-I$3&lt;2,0,OFFSET('FPSO1 Base'!I458,-'FPSO1 Otim'!I$3,0))</f>
        <v>353.59950000000003</v>
      </c>
      <c r="J461" s="19">
        <f ca="1">IF($A461-J$3&lt;2,0,OFFSET('FPSO1 Base'!J458,-'FPSO1 Otim'!J$3,0))</f>
        <v>173.661</v>
      </c>
      <c r="K461" s="19">
        <f ca="1">IF($A461-K$3&lt;2,0,OFFSET('FPSO1 Base'!K458,-'FPSO1 Otim'!K$3,0))</f>
        <v>0</v>
      </c>
      <c r="L461" s="19">
        <f ca="1">IF($A461-L$3&lt;2,0,OFFSET('FPSO1 Base'!L458,-'FPSO1 Otim'!L$3,0))</f>
        <v>212.81849999999997</v>
      </c>
      <c r="M461" s="19">
        <f ca="1">IF($A461-M$3&lt;2,0,OFFSET('FPSO1 Base'!M458,-'FPSO1 Otim'!M$3,0))</f>
        <v>0</v>
      </c>
      <c r="N461" s="19">
        <f ca="1">IF($A461-N$3&lt;2,0,OFFSET('FPSO1 Base'!N458,-'FPSO1 Otim'!N$3,0))</f>
        <v>3.5352893902294813</v>
      </c>
      <c r="O461" s="19">
        <f ca="1">IF($A461-O$3&lt;2,0,OFFSET('FPSO1 Base'!O458,-'FPSO1 Otim'!O$3,0))</f>
        <v>76.049340032243336</v>
      </c>
      <c r="P461" s="19">
        <f ca="1">IF($A461-P$3&lt;2,0,OFFSET('FPSO1 Base'!P458,-'FPSO1 Otim'!P$3,0))</f>
        <v>0</v>
      </c>
      <c r="Q461" s="19">
        <f ca="1">IF($A461-Q$3&lt;2,0,OFFSET('FPSO1 Base'!Q458,-'FPSO1 Otim'!Q$3,0))</f>
        <v>0</v>
      </c>
      <c r="R461" s="19">
        <f ca="1">IF($A461-R$3&lt;2,0,OFFSET('FPSO1 Base'!R458,-'FPSO1 Otim'!R$3,0))</f>
        <v>6.2745695801926216</v>
      </c>
      <c r="S461" s="19">
        <f ca="1">IF($A461-S$3&lt;2,0,OFFSET('FPSO1 Base'!S458,-'FPSO1 Otim'!S$3,0))</f>
        <v>250.72500000000002</v>
      </c>
      <c r="T461" s="19">
        <f ca="1">IF($A461-T$3&lt;2,0,OFFSET('FPSO1 Base'!T458,-'FPSO1 Otim'!T$3,0))</f>
        <v>0</v>
      </c>
      <c r="U461" s="19">
        <f ca="1">IF($A461-U$3&lt;2,0,OFFSET('FPSO1 Base'!U458,-'FPSO1 Otim'!U$3,0))</f>
        <v>0</v>
      </c>
      <c r="V461" s="19">
        <f ca="1">IF($A461-V$3&lt;2,0,OFFSET('FPSO1 Base'!V458,-'FPSO1 Otim'!V$3,0))</f>
        <v>0</v>
      </c>
      <c r="W461" s="19">
        <f ca="1">IF($A461-W$3&lt;2,0,OFFSET('FPSO1 Base'!W458,-'FPSO1 Otim'!W$3,0))</f>
        <v>0</v>
      </c>
      <c r="X461" s="19">
        <f ca="1">IF($A461-X$3&lt;2,0,OFFSET('FPSO1 Base'!X458,-'FPSO1 Otim'!X$3,0))</f>
        <v>0</v>
      </c>
      <c r="Y461" s="19">
        <f ca="1">IF($A461-Y$3&lt;2,0,OFFSET('FPSO1 Base'!Y458,-'FPSO1 Otim'!Y$3,0))</f>
        <v>0</v>
      </c>
      <c r="Z461" s="19">
        <f ca="1">IF($A461-Z$3&lt;2,0,OFFSET('FPSO1 Base'!Z458,-'FPSO1 Otim'!Z$3,0))</f>
        <v>140.05005</v>
      </c>
      <c r="AA461" s="20">
        <v>15000</v>
      </c>
      <c r="AB461" s="19">
        <f t="shared" ca="1" si="25"/>
        <v>1848.1884497691024</v>
      </c>
      <c r="AC461" s="20">
        <f t="shared" ca="1" si="26"/>
        <v>13151.811550230897</v>
      </c>
      <c r="AD461" s="19">
        <f t="shared" ca="1" si="27"/>
        <v>42.351589010343389</v>
      </c>
    </row>
    <row r="462" spans="1:30" x14ac:dyDescent="0.25">
      <c r="A462" s="19">
        <v>458</v>
      </c>
      <c r="B462" s="31">
        <v>59537</v>
      </c>
      <c r="C462" s="19">
        <f ca="1">IF($A462-C$3&lt;2,0,OFFSET('FPSO1 Base'!C459,-'FPSO1 Otim'!C$3,0))</f>
        <v>0</v>
      </c>
      <c r="D462" s="19">
        <f ca="1">IF($A462-D$3&lt;2,0,OFFSET('FPSO1 Base'!D459,-'FPSO1 Otim'!D$3,0))</f>
        <v>35.230384813270199</v>
      </c>
      <c r="E462" s="19">
        <f ca="1">IF($A462-E$3&lt;2,0,OFFSET('FPSO1 Base'!E459,-'FPSO1 Otim'!E$3,0))</f>
        <v>0</v>
      </c>
      <c r="F462" s="19">
        <f ca="1">IF($A462-F$3&lt;2,0,OFFSET('FPSO1 Base'!F459,-'FPSO1 Otim'!F$3,0))</f>
        <v>0</v>
      </c>
      <c r="G462" s="19">
        <f ca="1">IF($A462-G$3&lt;2,0,OFFSET('FPSO1 Base'!G459,-'FPSO1 Otim'!G$3,0))</f>
        <v>63.158983945502236</v>
      </c>
      <c r="H462" s="19">
        <f ca="1">IF($A462-H$3&lt;2,0,OFFSET('FPSO1 Base'!H459,-'FPSO1 Otim'!H$3,0))</f>
        <v>532.05600000000004</v>
      </c>
      <c r="I462" s="19">
        <f ca="1">IF($A462-I$3&lt;2,0,OFFSET('FPSO1 Base'!I459,-'FPSO1 Otim'!I$3,0))</f>
        <v>353.178</v>
      </c>
      <c r="J462" s="19">
        <f ca="1">IF($A462-J$3&lt;2,0,OFFSET('FPSO1 Base'!J459,-'FPSO1 Otim'!J$3,0))</f>
        <v>173.298</v>
      </c>
      <c r="K462" s="19">
        <f ca="1">IF($A462-K$3&lt;2,0,OFFSET('FPSO1 Base'!K459,-'FPSO1 Otim'!K$3,0))</f>
        <v>0</v>
      </c>
      <c r="L462" s="19">
        <f ca="1">IF($A462-L$3&lt;2,0,OFFSET('FPSO1 Base'!L459,-'FPSO1 Otim'!L$3,0))</f>
        <v>212.73450000000003</v>
      </c>
      <c r="M462" s="19">
        <f ca="1">IF($A462-M$3&lt;2,0,OFFSET('FPSO1 Base'!M459,-'FPSO1 Otim'!M$3,0))</f>
        <v>0</v>
      </c>
      <c r="N462" s="19">
        <f ca="1">IF($A462-N$3&lt;2,0,OFFSET('FPSO1 Base'!N459,-'FPSO1 Otim'!N$3,0))</f>
        <v>3.4999364963271864</v>
      </c>
      <c r="O462" s="19">
        <f ca="1">IF($A462-O$3&lt;2,0,OFFSET('FPSO1 Base'!O459,-'FPSO1 Otim'!O$3,0))</f>
        <v>75.288846631920904</v>
      </c>
      <c r="P462" s="19">
        <f ca="1">IF($A462-P$3&lt;2,0,OFFSET('FPSO1 Base'!P459,-'FPSO1 Otim'!P$3,0))</f>
        <v>0</v>
      </c>
      <c r="Q462" s="19">
        <f ca="1">IF($A462-Q$3&lt;2,0,OFFSET('FPSO1 Base'!Q459,-'FPSO1 Otim'!Q$3,0))</f>
        <v>0</v>
      </c>
      <c r="R462" s="19">
        <f ca="1">IF($A462-R$3&lt;2,0,OFFSET('FPSO1 Base'!R459,-'FPSO1 Otim'!R$3,0))</f>
        <v>6.2118238843906957</v>
      </c>
      <c r="S462" s="19">
        <f ca="1">IF($A462-S$3&lt;2,0,OFFSET('FPSO1 Base'!S459,-'FPSO1 Otim'!S$3,0))</f>
        <v>250.476</v>
      </c>
      <c r="T462" s="19">
        <f ca="1">IF($A462-T$3&lt;2,0,OFFSET('FPSO1 Base'!T459,-'FPSO1 Otim'!T$3,0))</f>
        <v>0</v>
      </c>
      <c r="U462" s="19">
        <f ca="1">IF($A462-U$3&lt;2,0,OFFSET('FPSO1 Base'!U459,-'FPSO1 Otim'!U$3,0))</f>
        <v>0</v>
      </c>
      <c r="V462" s="19">
        <f ca="1">IF($A462-V$3&lt;2,0,OFFSET('FPSO1 Base'!V459,-'FPSO1 Otim'!V$3,0))</f>
        <v>0</v>
      </c>
      <c r="W462" s="19">
        <f ca="1">IF($A462-W$3&lt;2,0,OFFSET('FPSO1 Base'!W459,-'FPSO1 Otim'!W$3,0))</f>
        <v>0</v>
      </c>
      <c r="X462" s="19">
        <f ca="1">IF($A462-X$3&lt;2,0,OFFSET('FPSO1 Base'!X459,-'FPSO1 Otim'!X$3,0))</f>
        <v>0</v>
      </c>
      <c r="Y462" s="19">
        <f ca="1">IF($A462-Y$3&lt;2,0,OFFSET('FPSO1 Base'!Y459,-'FPSO1 Otim'!Y$3,0))</f>
        <v>0</v>
      </c>
      <c r="Z462" s="19">
        <f ca="1">IF($A462-Z$3&lt;2,0,OFFSET('FPSO1 Base'!Z459,-'FPSO1 Otim'!Z$3,0))</f>
        <v>139.41540000000001</v>
      </c>
      <c r="AA462" s="20">
        <v>15000</v>
      </c>
      <c r="AB462" s="19">
        <f t="shared" ca="1" si="25"/>
        <v>1844.5478757714116</v>
      </c>
      <c r="AC462" s="20">
        <f t="shared" ca="1" si="26"/>
        <v>13155.452124228588</v>
      </c>
      <c r="AD462" s="19">
        <f t="shared" ca="1" si="27"/>
        <v>41.918840892304303</v>
      </c>
    </row>
    <row r="463" spans="1:30" x14ac:dyDescent="0.25">
      <c r="A463" s="19">
        <v>459</v>
      </c>
      <c r="B463" s="31">
        <v>59568</v>
      </c>
      <c r="C463" s="19">
        <f ca="1">IF($A463-C$3&lt;2,0,OFFSET('FPSO1 Base'!C460,-'FPSO1 Otim'!C$3,0))</f>
        <v>0</v>
      </c>
      <c r="D463" s="19">
        <f ca="1">IF($A463-D$3&lt;2,0,OFFSET('FPSO1 Base'!D460,-'FPSO1 Otim'!D$3,0))</f>
        <v>34.878080965137499</v>
      </c>
      <c r="E463" s="19">
        <f ca="1">IF($A463-E$3&lt;2,0,OFFSET('FPSO1 Base'!E460,-'FPSO1 Otim'!E$3,0))</f>
        <v>0</v>
      </c>
      <c r="F463" s="19">
        <f ca="1">IF($A463-F$3&lt;2,0,OFFSET('FPSO1 Base'!F460,-'FPSO1 Otim'!F$3,0))</f>
        <v>0</v>
      </c>
      <c r="G463" s="19">
        <f ca="1">IF($A463-G$3&lt;2,0,OFFSET('FPSO1 Base'!G460,-'FPSO1 Otim'!G$3,0))</f>
        <v>62.527394106047211</v>
      </c>
      <c r="H463" s="19">
        <f ca="1">IF($A463-H$3&lt;2,0,OFFSET('FPSO1 Base'!H460,-'FPSO1 Otim'!H$3,0))</f>
        <v>532.09199999999998</v>
      </c>
      <c r="I463" s="19">
        <f ca="1">IF($A463-I$3&lt;2,0,OFFSET('FPSO1 Base'!I460,-'FPSO1 Otim'!I$3,0))</f>
        <v>352.77449999999999</v>
      </c>
      <c r="J463" s="19">
        <f ca="1">IF($A463-J$3&lt;2,0,OFFSET('FPSO1 Base'!J460,-'FPSO1 Otim'!J$3,0))</f>
        <v>172.99950000000001</v>
      </c>
      <c r="K463" s="19">
        <f ca="1">IF($A463-K$3&lt;2,0,OFFSET('FPSO1 Base'!K460,-'FPSO1 Otim'!K$3,0))</f>
        <v>0</v>
      </c>
      <c r="L463" s="19">
        <f ca="1">IF($A463-L$3&lt;2,0,OFFSET('FPSO1 Base'!L460,-'FPSO1 Otim'!L$3,0))</f>
        <v>212.625</v>
      </c>
      <c r="M463" s="19">
        <f ca="1">IF($A463-M$3&lt;2,0,OFFSET('FPSO1 Base'!M460,-'FPSO1 Otim'!M$3,0))</f>
        <v>0</v>
      </c>
      <c r="N463" s="19">
        <f ca="1">IF($A463-N$3&lt;2,0,OFFSET('FPSO1 Base'!N460,-'FPSO1 Otim'!N$3,0))</f>
        <v>3.4649371313639143</v>
      </c>
      <c r="O463" s="19">
        <f ca="1">IF($A463-O$3&lt;2,0,OFFSET('FPSO1 Base'!O460,-'FPSO1 Otim'!O$3,0))</f>
        <v>74.535958165601699</v>
      </c>
      <c r="P463" s="19">
        <f ca="1">IF($A463-P$3&lt;2,0,OFFSET('FPSO1 Base'!P460,-'FPSO1 Otim'!P$3,0))</f>
        <v>0</v>
      </c>
      <c r="Q463" s="19">
        <f ca="1">IF($A463-Q$3&lt;2,0,OFFSET('FPSO1 Base'!Q460,-'FPSO1 Otim'!Q$3,0))</f>
        <v>0</v>
      </c>
      <c r="R463" s="19">
        <f ca="1">IF($A463-R$3&lt;2,0,OFFSET('FPSO1 Base'!R460,-'FPSO1 Otim'!R$3,0))</f>
        <v>6.1497056455467884</v>
      </c>
      <c r="S463" s="19">
        <f ca="1">IF($A463-S$3&lt;2,0,OFFSET('FPSO1 Base'!S460,-'FPSO1 Otim'!S$3,0))</f>
        <v>250.15049999999999</v>
      </c>
      <c r="T463" s="19">
        <f ca="1">IF($A463-T$3&lt;2,0,OFFSET('FPSO1 Base'!T460,-'FPSO1 Otim'!T$3,0))</f>
        <v>0</v>
      </c>
      <c r="U463" s="19">
        <f ca="1">IF($A463-U$3&lt;2,0,OFFSET('FPSO1 Base'!U460,-'FPSO1 Otim'!U$3,0))</f>
        <v>0</v>
      </c>
      <c r="V463" s="19">
        <f ca="1">IF($A463-V$3&lt;2,0,OFFSET('FPSO1 Base'!V460,-'FPSO1 Otim'!V$3,0))</f>
        <v>0</v>
      </c>
      <c r="W463" s="19">
        <f ca="1">IF($A463-W$3&lt;2,0,OFFSET('FPSO1 Base'!W460,-'FPSO1 Otim'!W$3,0))</f>
        <v>0</v>
      </c>
      <c r="X463" s="19">
        <f ca="1">IF($A463-X$3&lt;2,0,OFFSET('FPSO1 Base'!X460,-'FPSO1 Otim'!X$3,0))</f>
        <v>0</v>
      </c>
      <c r="Y463" s="19">
        <f ca="1">IF($A463-Y$3&lt;2,0,OFFSET('FPSO1 Base'!Y460,-'FPSO1 Otim'!Y$3,0))</f>
        <v>0</v>
      </c>
      <c r="Z463" s="19">
        <f ca="1">IF($A463-Z$3&lt;2,0,OFFSET('FPSO1 Base'!Z460,-'FPSO1 Otim'!Z$3,0))</f>
        <v>138.73755</v>
      </c>
      <c r="AA463" s="20">
        <v>15000</v>
      </c>
      <c r="AB463" s="19">
        <f t="shared" ca="1" si="25"/>
        <v>1840.9351260136973</v>
      </c>
      <c r="AC463" s="20">
        <f t="shared" ca="1" si="26"/>
        <v>13159.064873986303</v>
      </c>
      <c r="AD463" s="19">
        <f t="shared" ca="1" si="27"/>
        <v>41.490980067687147</v>
      </c>
    </row>
    <row r="464" spans="1:30" x14ac:dyDescent="0.25">
      <c r="A464" s="19">
        <v>460</v>
      </c>
      <c r="B464" s="31">
        <v>59596</v>
      </c>
      <c r="C464" s="19">
        <f ca="1">IF($A464-C$3&lt;2,0,OFFSET('FPSO1 Base'!C461,-'FPSO1 Otim'!C$3,0))</f>
        <v>0</v>
      </c>
      <c r="D464" s="19">
        <f ca="1">IF($A464-D$3&lt;2,0,OFFSET('FPSO1 Base'!D461,-'FPSO1 Otim'!D$3,0))</f>
        <v>34.529300155486126</v>
      </c>
      <c r="E464" s="19">
        <f ca="1">IF($A464-E$3&lt;2,0,OFFSET('FPSO1 Base'!E461,-'FPSO1 Otim'!E$3,0))</f>
        <v>0</v>
      </c>
      <c r="F464" s="19">
        <f ca="1">IF($A464-F$3&lt;2,0,OFFSET('FPSO1 Base'!F461,-'FPSO1 Otim'!F$3,0))</f>
        <v>0</v>
      </c>
      <c r="G464" s="19">
        <f ca="1">IF($A464-G$3&lt;2,0,OFFSET('FPSO1 Base'!G461,-'FPSO1 Otim'!G$3,0))</f>
        <v>61.902120164986741</v>
      </c>
      <c r="H464" s="19">
        <f ca="1">IF($A464-H$3&lt;2,0,OFFSET('FPSO1 Base'!H461,-'FPSO1 Otim'!H$3,0))</f>
        <v>532.12950000000001</v>
      </c>
      <c r="I464" s="19">
        <f ca="1">IF($A464-I$3&lt;2,0,OFFSET('FPSO1 Base'!I461,-'FPSO1 Otim'!I$3,0))</f>
        <v>352.33050000000003</v>
      </c>
      <c r="J464" s="19">
        <f ca="1">IF($A464-J$3&lt;2,0,OFFSET('FPSO1 Base'!J461,-'FPSO1 Otim'!J$3,0))</f>
        <v>172.6935</v>
      </c>
      <c r="K464" s="19">
        <f ca="1">IF($A464-K$3&lt;2,0,OFFSET('FPSO1 Base'!K461,-'FPSO1 Otim'!K$3,0))</f>
        <v>0</v>
      </c>
      <c r="L464" s="19">
        <f ca="1">IF($A464-L$3&lt;2,0,OFFSET('FPSO1 Base'!L461,-'FPSO1 Otim'!L$3,0))</f>
        <v>212.44349999999997</v>
      </c>
      <c r="M464" s="19">
        <f ca="1">IF($A464-M$3&lt;2,0,OFFSET('FPSO1 Base'!M461,-'FPSO1 Otim'!M$3,0))</f>
        <v>0</v>
      </c>
      <c r="N464" s="19">
        <f ca="1">IF($A464-N$3&lt;2,0,OFFSET('FPSO1 Base'!N461,-'FPSO1 Otim'!N$3,0))</f>
        <v>3.430287760050275</v>
      </c>
      <c r="O464" s="19">
        <f ca="1">IF($A464-O$3&lt;2,0,OFFSET('FPSO1 Base'!O461,-'FPSO1 Otim'!O$3,0))</f>
        <v>73.79059858394568</v>
      </c>
      <c r="P464" s="19">
        <f ca="1">IF($A464-P$3&lt;2,0,OFFSET('FPSO1 Base'!P461,-'FPSO1 Otim'!P$3,0))</f>
        <v>0</v>
      </c>
      <c r="Q464" s="19">
        <f ca="1">IF($A464-Q$3&lt;2,0,OFFSET('FPSO1 Base'!Q461,-'FPSO1 Otim'!Q$3,0))</f>
        <v>0</v>
      </c>
      <c r="R464" s="19">
        <f ca="1">IF($A464-R$3&lt;2,0,OFFSET('FPSO1 Base'!R461,-'FPSO1 Otim'!R$3,0))</f>
        <v>6.0882085890913205</v>
      </c>
      <c r="S464" s="19">
        <f ca="1">IF($A464-S$3&lt;2,0,OFFSET('FPSO1 Base'!S461,-'FPSO1 Otim'!S$3,0))</f>
        <v>249.822</v>
      </c>
      <c r="T464" s="19">
        <f ca="1">IF($A464-T$3&lt;2,0,OFFSET('FPSO1 Base'!T461,-'FPSO1 Otim'!T$3,0))</f>
        <v>0</v>
      </c>
      <c r="U464" s="19">
        <f ca="1">IF($A464-U$3&lt;2,0,OFFSET('FPSO1 Base'!U461,-'FPSO1 Otim'!U$3,0))</f>
        <v>0</v>
      </c>
      <c r="V464" s="19">
        <f ca="1">IF($A464-V$3&lt;2,0,OFFSET('FPSO1 Base'!V461,-'FPSO1 Otim'!V$3,0))</f>
        <v>0</v>
      </c>
      <c r="W464" s="19">
        <f ca="1">IF($A464-W$3&lt;2,0,OFFSET('FPSO1 Base'!W461,-'FPSO1 Otim'!W$3,0))</f>
        <v>0</v>
      </c>
      <c r="X464" s="19">
        <f ca="1">IF($A464-X$3&lt;2,0,OFFSET('FPSO1 Base'!X461,-'FPSO1 Otim'!X$3,0))</f>
        <v>0</v>
      </c>
      <c r="Y464" s="19">
        <f ca="1">IF($A464-Y$3&lt;2,0,OFFSET('FPSO1 Base'!Y461,-'FPSO1 Otim'!Y$3,0))</f>
        <v>0</v>
      </c>
      <c r="Z464" s="19">
        <f ca="1">IF($A464-Z$3&lt;2,0,OFFSET('FPSO1 Base'!Z461,-'FPSO1 Otim'!Z$3,0))</f>
        <v>138.12090000000001</v>
      </c>
      <c r="AA464" s="20">
        <v>15000</v>
      </c>
      <c r="AB464" s="19">
        <f t="shared" ca="1" si="25"/>
        <v>1837.28041525356</v>
      </c>
      <c r="AC464" s="20">
        <f t="shared" ca="1" si="26"/>
        <v>13162.719584746439</v>
      </c>
      <c r="AD464" s="19">
        <f t="shared" ca="1" si="27"/>
        <v>41.066390308707625</v>
      </c>
    </row>
    <row r="465" spans="1:30" x14ac:dyDescent="0.25">
      <c r="A465" s="19">
        <v>461</v>
      </c>
      <c r="B465" s="31">
        <v>59627</v>
      </c>
      <c r="C465" s="19">
        <f ca="1">IF($A465-C$3&lt;2,0,OFFSET('FPSO1 Base'!C462,-'FPSO1 Otim'!C$3,0))</f>
        <v>0</v>
      </c>
      <c r="D465" s="19">
        <f ca="1">IF($A465-D$3&lt;2,0,OFFSET('FPSO1 Base'!D462,-'FPSO1 Otim'!D$3,0))</f>
        <v>34.184007153931262</v>
      </c>
      <c r="E465" s="19">
        <f ca="1">IF($A465-E$3&lt;2,0,OFFSET('FPSO1 Base'!E462,-'FPSO1 Otim'!E$3,0))</f>
        <v>0</v>
      </c>
      <c r="F465" s="19">
        <f ca="1">IF($A465-F$3&lt;2,0,OFFSET('FPSO1 Base'!F462,-'FPSO1 Otim'!F$3,0))</f>
        <v>0</v>
      </c>
      <c r="G465" s="19">
        <f ca="1">IF($A465-G$3&lt;2,0,OFFSET('FPSO1 Base'!G462,-'FPSO1 Otim'!G$3,0))</f>
        <v>61.283098963336876</v>
      </c>
      <c r="H465" s="19">
        <f ca="1">IF($A465-H$3&lt;2,0,OFFSET('FPSO1 Base'!H462,-'FPSO1 Otim'!H$3,0))</f>
        <v>532.11599999999999</v>
      </c>
      <c r="I465" s="19">
        <f ca="1">IF($A465-I$3&lt;2,0,OFFSET('FPSO1 Base'!I462,-'FPSO1 Otim'!I$3,0))</f>
        <v>351.96750000000003</v>
      </c>
      <c r="J465" s="19">
        <f ca="1">IF($A465-J$3&lt;2,0,OFFSET('FPSO1 Base'!J462,-'FPSO1 Otim'!J$3,0))</f>
        <v>172.35000000000002</v>
      </c>
      <c r="K465" s="19">
        <f ca="1">IF($A465-K$3&lt;2,0,OFFSET('FPSO1 Base'!K462,-'FPSO1 Otim'!K$3,0))</f>
        <v>0</v>
      </c>
      <c r="L465" s="19">
        <f ca="1">IF($A465-L$3&lt;2,0,OFFSET('FPSO1 Base'!L462,-'FPSO1 Otim'!L$3,0))</f>
        <v>0</v>
      </c>
      <c r="M465" s="19">
        <f ca="1">IF($A465-M$3&lt;2,0,OFFSET('FPSO1 Base'!M462,-'FPSO1 Otim'!M$3,0))</f>
        <v>0</v>
      </c>
      <c r="N465" s="19">
        <f ca="1">IF($A465-N$3&lt;2,0,OFFSET('FPSO1 Base'!N462,-'FPSO1 Otim'!N$3,0))</f>
        <v>3.3959848824497723</v>
      </c>
      <c r="O465" s="19">
        <f ca="1">IF($A465-O$3&lt;2,0,OFFSET('FPSO1 Base'!O462,-'FPSO1 Otim'!O$3,0))</f>
        <v>73.052692598106219</v>
      </c>
      <c r="P465" s="19">
        <f ca="1">IF($A465-P$3&lt;2,0,OFFSET('FPSO1 Base'!P462,-'FPSO1 Otim'!P$3,0))</f>
        <v>0</v>
      </c>
      <c r="Q465" s="19">
        <f ca="1">IF($A465-Q$3&lt;2,0,OFFSET('FPSO1 Base'!Q462,-'FPSO1 Otim'!Q$3,0))</f>
        <v>0</v>
      </c>
      <c r="R465" s="19">
        <f ca="1">IF($A465-R$3&lt;2,0,OFFSET('FPSO1 Base'!R462,-'FPSO1 Otim'!R$3,0))</f>
        <v>6.0273265032004071</v>
      </c>
      <c r="S465" s="19">
        <f ca="1">IF($A465-S$3&lt;2,0,OFFSET('FPSO1 Base'!S462,-'FPSO1 Otim'!S$3,0))</f>
        <v>249.53249999999997</v>
      </c>
      <c r="T465" s="19">
        <f ca="1">IF($A465-T$3&lt;2,0,OFFSET('FPSO1 Base'!T462,-'FPSO1 Otim'!T$3,0))</f>
        <v>0</v>
      </c>
      <c r="U465" s="19">
        <f ca="1">IF($A465-U$3&lt;2,0,OFFSET('FPSO1 Base'!U462,-'FPSO1 Otim'!U$3,0))</f>
        <v>0</v>
      </c>
      <c r="V465" s="19">
        <f ca="1">IF($A465-V$3&lt;2,0,OFFSET('FPSO1 Base'!V462,-'FPSO1 Otim'!V$3,0))</f>
        <v>0</v>
      </c>
      <c r="W465" s="19">
        <f ca="1">IF($A465-W$3&lt;2,0,OFFSET('FPSO1 Base'!W462,-'FPSO1 Otim'!W$3,0))</f>
        <v>0</v>
      </c>
      <c r="X465" s="19">
        <f ca="1">IF($A465-X$3&lt;2,0,OFFSET('FPSO1 Base'!X462,-'FPSO1 Otim'!X$3,0))</f>
        <v>0</v>
      </c>
      <c r="Y465" s="19">
        <f ca="1">IF($A465-Y$3&lt;2,0,OFFSET('FPSO1 Base'!Y462,-'FPSO1 Otim'!Y$3,0))</f>
        <v>0</v>
      </c>
      <c r="Z465" s="19">
        <f ca="1">IF($A465-Z$3&lt;2,0,OFFSET('FPSO1 Base'!Z462,-'FPSO1 Otim'!Z$3,0))</f>
        <v>137.50409999999999</v>
      </c>
      <c r="AA465" s="20">
        <v>15000</v>
      </c>
      <c r="AB465" s="19">
        <f t="shared" ca="1" si="25"/>
        <v>1621.4132101010246</v>
      </c>
      <c r="AC465" s="20">
        <f t="shared" ca="1" si="26"/>
        <v>13378.586789898975</v>
      </c>
      <c r="AD465" s="19">
        <f t="shared" ca="1" si="27"/>
        <v>35.941869883294366</v>
      </c>
    </row>
    <row r="466" spans="1:30" x14ac:dyDescent="0.25">
      <c r="A466" s="19">
        <v>462</v>
      </c>
      <c r="B466" s="31">
        <v>59657</v>
      </c>
      <c r="C466" s="19">
        <f ca="1">IF($A466-C$3&lt;2,0,OFFSET('FPSO1 Base'!C463,-'FPSO1 Otim'!C$3,0))</f>
        <v>0</v>
      </c>
      <c r="D466" s="19">
        <f ca="1">IF($A466-D$3&lt;2,0,OFFSET('FPSO1 Base'!D463,-'FPSO1 Otim'!D$3,0))</f>
        <v>33.842167082391946</v>
      </c>
      <c r="E466" s="19">
        <f ca="1">IF($A466-E$3&lt;2,0,OFFSET('FPSO1 Base'!E463,-'FPSO1 Otim'!E$3,0))</f>
        <v>0</v>
      </c>
      <c r="F466" s="19">
        <f ca="1">IF($A466-F$3&lt;2,0,OFFSET('FPSO1 Base'!F463,-'FPSO1 Otim'!F$3,0))</f>
        <v>0</v>
      </c>
      <c r="G466" s="19">
        <f ca="1">IF($A466-G$3&lt;2,0,OFFSET('FPSO1 Base'!G463,-'FPSO1 Otim'!G$3,0))</f>
        <v>60.67026797370351</v>
      </c>
      <c r="H466" s="19">
        <f ca="1">IF($A466-H$3&lt;2,0,OFFSET('FPSO1 Base'!H463,-'FPSO1 Otim'!H$3,0))</f>
        <v>532.14</v>
      </c>
      <c r="I466" s="19">
        <f ca="1">IF($A466-I$3&lt;2,0,OFFSET('FPSO1 Base'!I463,-'FPSO1 Otim'!I$3,0))</f>
        <v>351.46500000000003</v>
      </c>
      <c r="J466" s="19">
        <f ca="1">IF($A466-J$3&lt;2,0,OFFSET('FPSO1 Base'!J463,-'FPSO1 Otim'!J$3,0))</f>
        <v>172.065</v>
      </c>
      <c r="K466" s="19">
        <f ca="1">IF($A466-K$3&lt;2,0,OFFSET('FPSO1 Base'!K463,-'FPSO1 Otim'!K$3,0))</f>
        <v>0</v>
      </c>
      <c r="L466" s="19">
        <f ca="1">IF($A466-L$3&lt;2,0,OFFSET('FPSO1 Base'!L463,-'FPSO1 Otim'!L$3,0))</f>
        <v>0</v>
      </c>
      <c r="M466" s="19">
        <f ca="1">IF($A466-M$3&lt;2,0,OFFSET('FPSO1 Base'!M463,-'FPSO1 Otim'!M$3,0))</f>
        <v>0</v>
      </c>
      <c r="N466" s="19">
        <f ca="1">IF($A466-N$3&lt;2,0,OFFSET('FPSO1 Base'!N463,-'FPSO1 Otim'!N$3,0))</f>
        <v>3.3620250336252746</v>
      </c>
      <c r="O466" s="19">
        <f ca="1">IF($A466-O$3&lt;2,0,OFFSET('FPSO1 Base'!O463,-'FPSO1 Otim'!O$3,0))</f>
        <v>72.322165672125152</v>
      </c>
      <c r="P466" s="19">
        <f ca="1">IF($A466-P$3&lt;2,0,OFFSET('FPSO1 Base'!P463,-'FPSO1 Otim'!P$3,0))</f>
        <v>0</v>
      </c>
      <c r="Q466" s="19">
        <f ca="1">IF($A466-Q$3&lt;2,0,OFFSET('FPSO1 Base'!Q463,-'FPSO1 Otim'!Q$3,0))</f>
        <v>0</v>
      </c>
      <c r="R466" s="19">
        <f ca="1">IF($A466-R$3&lt;2,0,OFFSET('FPSO1 Base'!R463,-'FPSO1 Otim'!R$3,0))</f>
        <v>5.9670532381684032</v>
      </c>
      <c r="S466" s="19">
        <f ca="1">IF($A466-S$3&lt;2,0,OFFSET('FPSO1 Base'!S463,-'FPSO1 Otim'!S$3,0))</f>
        <v>249.1755</v>
      </c>
      <c r="T466" s="19">
        <f ca="1">IF($A466-T$3&lt;2,0,OFFSET('FPSO1 Base'!T463,-'FPSO1 Otim'!T$3,0))</f>
        <v>0</v>
      </c>
      <c r="U466" s="19">
        <f ca="1">IF($A466-U$3&lt;2,0,OFFSET('FPSO1 Base'!U463,-'FPSO1 Otim'!U$3,0))</f>
        <v>0</v>
      </c>
      <c r="V466" s="19">
        <f ca="1">IF($A466-V$3&lt;2,0,OFFSET('FPSO1 Base'!V463,-'FPSO1 Otim'!V$3,0))</f>
        <v>0</v>
      </c>
      <c r="W466" s="19">
        <f ca="1">IF($A466-W$3&lt;2,0,OFFSET('FPSO1 Base'!W463,-'FPSO1 Otim'!W$3,0))</f>
        <v>0</v>
      </c>
      <c r="X466" s="19">
        <f ca="1">IF($A466-X$3&lt;2,0,OFFSET('FPSO1 Base'!X463,-'FPSO1 Otim'!X$3,0))</f>
        <v>0</v>
      </c>
      <c r="Y466" s="19">
        <f ca="1">IF($A466-Y$3&lt;2,0,OFFSET('FPSO1 Base'!Y463,-'FPSO1 Otim'!Y$3,0))</f>
        <v>0</v>
      </c>
      <c r="Z466" s="19">
        <f ca="1">IF($A466-Z$3&lt;2,0,OFFSET('FPSO1 Base'!Z463,-'FPSO1 Otim'!Z$3,0))</f>
        <v>136.82145</v>
      </c>
      <c r="AA466" s="20">
        <v>15000</v>
      </c>
      <c r="AB466" s="19">
        <f t="shared" ca="1" si="25"/>
        <v>1617.8306290000144</v>
      </c>
      <c r="AC466" s="20">
        <f t="shared" ca="1" si="26"/>
        <v>13382.169370999985</v>
      </c>
      <c r="AD466" s="19">
        <f t="shared" ca="1" si="27"/>
        <v>35.566070876862391</v>
      </c>
    </row>
    <row r="467" spans="1:30" x14ac:dyDescent="0.25">
      <c r="A467" s="19">
        <v>463</v>
      </c>
      <c r="B467" s="31">
        <v>59688</v>
      </c>
      <c r="C467" s="19">
        <f ca="1">IF($A467-C$3&lt;2,0,OFFSET('FPSO1 Base'!C464,-'FPSO1 Otim'!C$3,0))</f>
        <v>0</v>
      </c>
      <c r="D467" s="19">
        <f ca="1">IF($A467-D$3&lt;2,0,OFFSET('FPSO1 Base'!D464,-'FPSO1 Otim'!D$3,0))</f>
        <v>33.503745411568026</v>
      </c>
      <c r="E467" s="19">
        <f ca="1">IF($A467-E$3&lt;2,0,OFFSET('FPSO1 Base'!E464,-'FPSO1 Otim'!E$3,0))</f>
        <v>0</v>
      </c>
      <c r="F467" s="19">
        <f ca="1">IF($A467-F$3&lt;2,0,OFFSET('FPSO1 Base'!F464,-'FPSO1 Otim'!F$3,0))</f>
        <v>0</v>
      </c>
      <c r="G467" s="19">
        <f ca="1">IF($A467-G$3&lt;2,0,OFFSET('FPSO1 Base'!G464,-'FPSO1 Otim'!G$3,0))</f>
        <v>60.063565293966477</v>
      </c>
      <c r="H467" s="19">
        <f ca="1">IF($A467-H$3&lt;2,0,OFFSET('FPSO1 Base'!H464,-'FPSO1 Otim'!H$3,0))</f>
        <v>532.12950000000001</v>
      </c>
      <c r="I467" s="19">
        <f ca="1">IF($A467-I$3&lt;2,0,OFFSET('FPSO1 Base'!I464,-'FPSO1 Otim'!I$3,0))</f>
        <v>351.12149999999997</v>
      </c>
      <c r="J467" s="19">
        <f ca="1">IF($A467-J$3&lt;2,0,OFFSET('FPSO1 Base'!J464,-'FPSO1 Otim'!J$3,0))</f>
        <v>171.75</v>
      </c>
      <c r="K467" s="19">
        <f ca="1">IF($A467-K$3&lt;2,0,OFFSET('FPSO1 Base'!K464,-'FPSO1 Otim'!K$3,0))</f>
        <v>0</v>
      </c>
      <c r="L467" s="19">
        <f ca="1">IF($A467-L$3&lt;2,0,OFFSET('FPSO1 Base'!L464,-'FPSO1 Otim'!L$3,0))</f>
        <v>0</v>
      </c>
      <c r="M467" s="19">
        <f ca="1">IF($A467-M$3&lt;2,0,OFFSET('FPSO1 Base'!M464,-'FPSO1 Otim'!M$3,0))</f>
        <v>0</v>
      </c>
      <c r="N467" s="19">
        <f ca="1">IF($A467-N$3&lt;2,0,OFFSET('FPSO1 Base'!N464,-'FPSO1 Otim'!N$3,0))</f>
        <v>3.328404783289022</v>
      </c>
      <c r="O467" s="19">
        <f ca="1">IF($A467-O$3&lt;2,0,OFFSET('FPSO1 Base'!O464,-'FPSO1 Otim'!O$3,0))</f>
        <v>71.598944015403902</v>
      </c>
      <c r="P467" s="19">
        <f ca="1">IF($A467-P$3&lt;2,0,OFFSET('FPSO1 Base'!P464,-'FPSO1 Otim'!P$3,0))</f>
        <v>0</v>
      </c>
      <c r="Q467" s="19">
        <f ca="1">IF($A467-Q$3&lt;2,0,OFFSET('FPSO1 Base'!Q464,-'FPSO1 Otim'!Q$3,0))</f>
        <v>0</v>
      </c>
      <c r="R467" s="19">
        <f ca="1">IF($A467-R$3&lt;2,0,OFFSET('FPSO1 Base'!R464,-'FPSO1 Otim'!R$3,0))</f>
        <v>5.907382705786719</v>
      </c>
      <c r="S467" s="19">
        <f ca="1">IF($A467-S$3&lt;2,0,OFFSET('FPSO1 Base'!S464,-'FPSO1 Otim'!S$3,0))</f>
        <v>248.87850000000003</v>
      </c>
      <c r="T467" s="19">
        <f ca="1">IF($A467-T$3&lt;2,0,OFFSET('FPSO1 Base'!T464,-'FPSO1 Otim'!T$3,0))</f>
        <v>0</v>
      </c>
      <c r="U467" s="19">
        <f ca="1">IF($A467-U$3&lt;2,0,OFFSET('FPSO1 Base'!U464,-'FPSO1 Otim'!U$3,0))</f>
        <v>0</v>
      </c>
      <c r="V467" s="19">
        <f ca="1">IF($A467-V$3&lt;2,0,OFFSET('FPSO1 Base'!V464,-'FPSO1 Otim'!V$3,0))</f>
        <v>0</v>
      </c>
      <c r="W467" s="19">
        <f ca="1">IF($A467-W$3&lt;2,0,OFFSET('FPSO1 Base'!W464,-'FPSO1 Otim'!W$3,0))</f>
        <v>0</v>
      </c>
      <c r="X467" s="19">
        <f ca="1">IF($A467-X$3&lt;2,0,OFFSET('FPSO1 Base'!X464,-'FPSO1 Otim'!X$3,0))</f>
        <v>0</v>
      </c>
      <c r="Y467" s="19">
        <f ca="1">IF($A467-Y$3&lt;2,0,OFFSET('FPSO1 Base'!Y464,-'FPSO1 Otim'!Y$3,0))</f>
        <v>0</v>
      </c>
      <c r="Z467" s="19">
        <f ca="1">IF($A467-Z$3&lt;2,0,OFFSET('FPSO1 Base'!Z464,-'FPSO1 Otim'!Z$3,0))</f>
        <v>136.27019999999999</v>
      </c>
      <c r="AA467" s="20">
        <v>15000</v>
      </c>
      <c r="AB467" s="19">
        <f t="shared" ca="1" si="25"/>
        <v>1614.551742210014</v>
      </c>
      <c r="AC467" s="20">
        <f t="shared" ca="1" si="26"/>
        <v>13385.448257789985</v>
      </c>
      <c r="AD467" s="19">
        <f t="shared" ca="1" si="27"/>
        <v>35.200649725785901</v>
      </c>
    </row>
    <row r="468" spans="1:30" x14ac:dyDescent="0.25">
      <c r="A468" s="19">
        <v>464</v>
      </c>
      <c r="B468" s="31">
        <v>59718</v>
      </c>
      <c r="C468" s="19">
        <f ca="1">IF($A468-C$3&lt;2,0,OFFSET('FPSO1 Base'!C465,-'FPSO1 Otim'!C$3,0))</f>
        <v>0</v>
      </c>
      <c r="D468" s="19">
        <f ca="1">IF($A468-D$3&lt;2,0,OFFSET('FPSO1 Base'!D465,-'FPSO1 Otim'!D$3,0))</f>
        <v>33.168707957452348</v>
      </c>
      <c r="E468" s="19">
        <f ca="1">IF($A468-E$3&lt;2,0,OFFSET('FPSO1 Base'!E465,-'FPSO1 Otim'!E$3,0))</f>
        <v>0</v>
      </c>
      <c r="F468" s="19">
        <f ca="1">IF($A468-F$3&lt;2,0,OFFSET('FPSO1 Base'!F465,-'FPSO1 Otim'!F$3,0))</f>
        <v>0</v>
      </c>
      <c r="G468" s="19">
        <f ca="1">IF($A468-G$3&lt;2,0,OFFSET('FPSO1 Base'!G465,-'FPSO1 Otim'!G$3,0))</f>
        <v>59.462929641026811</v>
      </c>
      <c r="H468" s="19">
        <f ca="1">IF($A468-H$3&lt;2,0,OFFSET('FPSO1 Base'!H465,-'FPSO1 Otim'!H$3,0))</f>
        <v>532.16399999999999</v>
      </c>
      <c r="I468" s="19">
        <f ca="1">IF($A468-I$3&lt;2,0,OFFSET('FPSO1 Base'!I465,-'FPSO1 Otim'!I$3,0))</f>
        <v>350.65049999999997</v>
      </c>
      <c r="J468" s="19">
        <f ca="1">IF($A468-J$3&lt;2,0,OFFSET('FPSO1 Base'!J465,-'FPSO1 Otim'!J$3,0))</f>
        <v>171.465</v>
      </c>
      <c r="K468" s="19">
        <f ca="1">IF($A468-K$3&lt;2,0,OFFSET('FPSO1 Base'!K465,-'FPSO1 Otim'!K$3,0))</f>
        <v>0</v>
      </c>
      <c r="L468" s="19">
        <f ca="1">IF($A468-L$3&lt;2,0,OFFSET('FPSO1 Base'!L465,-'FPSO1 Otim'!L$3,0))</f>
        <v>0</v>
      </c>
      <c r="M468" s="19">
        <f ca="1">IF($A468-M$3&lt;2,0,OFFSET('FPSO1 Base'!M465,-'FPSO1 Otim'!M$3,0))</f>
        <v>0</v>
      </c>
      <c r="N468" s="19">
        <f ca="1">IF($A468-N$3&lt;2,0,OFFSET('FPSO1 Base'!N465,-'FPSO1 Otim'!N$3,0))</f>
        <v>3.2951207354561318</v>
      </c>
      <c r="O468" s="19">
        <f ca="1">IF($A468-O$3&lt;2,0,OFFSET('FPSO1 Base'!O465,-'FPSO1 Otim'!O$3,0))</f>
        <v>70.882954575249869</v>
      </c>
      <c r="P468" s="19">
        <f ca="1">IF($A468-P$3&lt;2,0,OFFSET('FPSO1 Base'!P465,-'FPSO1 Otim'!P$3,0))</f>
        <v>0</v>
      </c>
      <c r="Q468" s="19">
        <f ca="1">IF($A468-Q$3&lt;2,0,OFFSET('FPSO1 Base'!Q465,-'FPSO1 Otim'!Q$3,0))</f>
        <v>0</v>
      </c>
      <c r="R468" s="19">
        <f ca="1">IF($A468-R$3&lt;2,0,OFFSET('FPSO1 Base'!R465,-'FPSO1 Otim'!R$3,0))</f>
        <v>5.8483088787288517</v>
      </c>
      <c r="S468" s="19">
        <f ca="1">IF($A468-S$3&lt;2,0,OFFSET('FPSO1 Base'!S465,-'FPSO1 Otim'!S$3,0))</f>
        <v>248.54999999999998</v>
      </c>
      <c r="T468" s="19">
        <f ca="1">IF($A468-T$3&lt;2,0,OFFSET('FPSO1 Base'!T465,-'FPSO1 Otim'!T$3,0))</f>
        <v>0</v>
      </c>
      <c r="U468" s="19">
        <f ca="1">IF($A468-U$3&lt;2,0,OFFSET('FPSO1 Base'!U465,-'FPSO1 Otim'!U$3,0))</f>
        <v>0</v>
      </c>
      <c r="V468" s="19">
        <f ca="1">IF($A468-V$3&lt;2,0,OFFSET('FPSO1 Base'!V465,-'FPSO1 Otim'!V$3,0))</f>
        <v>0</v>
      </c>
      <c r="W468" s="19">
        <f ca="1">IF($A468-W$3&lt;2,0,OFFSET('FPSO1 Base'!W465,-'FPSO1 Otim'!W$3,0))</f>
        <v>0</v>
      </c>
      <c r="X468" s="19">
        <f ca="1">IF($A468-X$3&lt;2,0,OFFSET('FPSO1 Base'!X465,-'FPSO1 Otim'!X$3,0))</f>
        <v>0</v>
      </c>
      <c r="Y468" s="19">
        <f ca="1">IF($A468-Y$3&lt;2,0,OFFSET('FPSO1 Base'!Y465,-'FPSO1 Otim'!Y$3,0))</f>
        <v>0</v>
      </c>
      <c r="Z468" s="19">
        <f ca="1">IF($A468-Z$3&lt;2,0,OFFSET('FPSO1 Base'!Z465,-'FPSO1 Otim'!Z$3,0))</f>
        <v>135.61245</v>
      </c>
      <c r="AA468" s="20">
        <v>15000</v>
      </c>
      <c r="AB468" s="19">
        <f t="shared" ca="1" si="25"/>
        <v>1611.099971787914</v>
      </c>
      <c r="AC468" s="20">
        <f t="shared" ca="1" si="26"/>
        <v>13388.900028212087</v>
      </c>
      <c r="AD468" s="19">
        <f t="shared" ca="1" si="27"/>
        <v>34.83510130432191</v>
      </c>
    </row>
    <row r="469" spans="1:30" x14ac:dyDescent="0.25">
      <c r="A469" s="19">
        <v>465</v>
      </c>
      <c r="B469" s="31">
        <v>59749</v>
      </c>
      <c r="C469" s="19">
        <f ca="1">IF($A469-C$3&lt;2,0,OFFSET('FPSO1 Base'!C466,-'FPSO1 Otim'!C$3,0))</f>
        <v>0</v>
      </c>
      <c r="D469" s="19">
        <f ca="1">IF($A469-D$3&lt;2,0,OFFSET('FPSO1 Base'!D466,-'FPSO1 Otim'!D$3,0))</f>
        <v>32.837020877877826</v>
      </c>
      <c r="E469" s="19">
        <f ca="1">IF($A469-E$3&lt;2,0,OFFSET('FPSO1 Base'!E466,-'FPSO1 Otim'!E$3,0))</f>
        <v>0</v>
      </c>
      <c r="F469" s="19">
        <f ca="1">IF($A469-F$3&lt;2,0,OFFSET('FPSO1 Base'!F466,-'FPSO1 Otim'!F$3,0))</f>
        <v>0</v>
      </c>
      <c r="G469" s="19">
        <f ca="1">IF($A469-G$3&lt;2,0,OFFSET('FPSO1 Base'!G466,-'FPSO1 Otim'!G$3,0))</f>
        <v>58.868300344616543</v>
      </c>
      <c r="H469" s="19">
        <f ca="1">IF($A469-H$3&lt;2,0,OFFSET('FPSO1 Base'!H466,-'FPSO1 Otim'!H$3,0))</f>
        <v>532.15350000000001</v>
      </c>
      <c r="I469" s="19">
        <f ca="1">IF($A469-I$3&lt;2,0,OFFSET('FPSO1 Base'!I466,-'FPSO1 Otim'!I$3,0))</f>
        <v>350.274</v>
      </c>
      <c r="J469" s="19">
        <f ca="1">IF($A469-J$3&lt;2,0,OFFSET('FPSO1 Base'!J466,-'FPSO1 Otim'!J$3,0))</f>
        <v>171.291</v>
      </c>
      <c r="K469" s="19">
        <f ca="1">IF($A469-K$3&lt;2,0,OFFSET('FPSO1 Base'!K466,-'FPSO1 Otim'!K$3,0))</f>
        <v>0</v>
      </c>
      <c r="L469" s="19">
        <f ca="1">IF($A469-L$3&lt;2,0,OFFSET('FPSO1 Base'!L466,-'FPSO1 Otim'!L$3,0))</f>
        <v>0</v>
      </c>
      <c r="M469" s="19">
        <f ca="1">IF($A469-M$3&lt;2,0,OFFSET('FPSO1 Base'!M466,-'FPSO1 Otim'!M$3,0))</f>
        <v>0</v>
      </c>
      <c r="N469" s="19">
        <f ca="1">IF($A469-N$3&lt;2,0,OFFSET('FPSO1 Base'!N466,-'FPSO1 Otim'!N$3,0))</f>
        <v>3.2621695281015706</v>
      </c>
      <c r="O469" s="19">
        <f ca="1">IF($A469-O$3&lt;2,0,OFFSET('FPSO1 Base'!O466,-'FPSO1 Otim'!O$3,0))</f>
        <v>70.174125029497375</v>
      </c>
      <c r="P469" s="19">
        <f ca="1">IF($A469-P$3&lt;2,0,OFFSET('FPSO1 Base'!P466,-'FPSO1 Otim'!P$3,0))</f>
        <v>0</v>
      </c>
      <c r="Q469" s="19">
        <f ca="1">IF($A469-Q$3&lt;2,0,OFFSET('FPSO1 Base'!Q466,-'FPSO1 Otim'!Q$3,0))</f>
        <v>0</v>
      </c>
      <c r="R469" s="19">
        <f ca="1">IF($A469-R$3&lt;2,0,OFFSET('FPSO1 Base'!R466,-'FPSO1 Otim'!R$3,0))</f>
        <v>5.7898257899415633</v>
      </c>
      <c r="S469" s="19">
        <f ca="1">IF($A469-S$3&lt;2,0,OFFSET('FPSO1 Base'!S466,-'FPSO1 Otim'!S$3,0))</f>
        <v>248.178</v>
      </c>
      <c r="T469" s="19">
        <f ca="1">IF($A469-T$3&lt;2,0,OFFSET('FPSO1 Base'!T466,-'FPSO1 Otim'!T$3,0))</f>
        <v>0</v>
      </c>
      <c r="U469" s="19">
        <f ca="1">IF($A469-U$3&lt;2,0,OFFSET('FPSO1 Base'!U466,-'FPSO1 Otim'!U$3,0))</f>
        <v>0</v>
      </c>
      <c r="V469" s="19">
        <f ca="1">IF($A469-V$3&lt;2,0,OFFSET('FPSO1 Base'!V466,-'FPSO1 Otim'!V$3,0))</f>
        <v>0</v>
      </c>
      <c r="W469" s="19">
        <f ca="1">IF($A469-W$3&lt;2,0,OFFSET('FPSO1 Base'!W466,-'FPSO1 Otim'!W$3,0))</f>
        <v>0</v>
      </c>
      <c r="X469" s="19">
        <f ca="1">IF($A469-X$3&lt;2,0,OFFSET('FPSO1 Base'!X466,-'FPSO1 Otim'!X$3,0))</f>
        <v>0</v>
      </c>
      <c r="Y469" s="19">
        <f ca="1">IF($A469-Y$3&lt;2,0,OFFSET('FPSO1 Base'!Y466,-'FPSO1 Otim'!Y$3,0))</f>
        <v>0</v>
      </c>
      <c r="Z469" s="19">
        <f ca="1">IF($A469-Z$3&lt;2,0,OFFSET('FPSO1 Base'!Z466,-'FPSO1 Otim'!Z$3,0))</f>
        <v>135.03629999999998</v>
      </c>
      <c r="AA469" s="20">
        <v>15000</v>
      </c>
      <c r="AB469" s="19">
        <f t="shared" ca="1" si="25"/>
        <v>1607.8642415700349</v>
      </c>
      <c r="AC469" s="20">
        <f t="shared" ca="1" si="26"/>
        <v>13392.135758429966</v>
      </c>
      <c r="AD469" s="19">
        <f t="shared" ca="1" si="27"/>
        <v>34.477823356345084</v>
      </c>
    </row>
    <row r="470" spans="1:30" x14ac:dyDescent="0.25">
      <c r="A470" s="19">
        <v>466</v>
      </c>
      <c r="B470" s="31">
        <v>59780</v>
      </c>
      <c r="C470" s="19">
        <f ca="1">IF($A470-C$3&lt;2,0,OFFSET('FPSO1 Base'!C467,-'FPSO1 Otim'!C$3,0))</f>
        <v>0</v>
      </c>
      <c r="D470" s="19">
        <f ca="1">IF($A470-D$3&lt;2,0,OFFSET('FPSO1 Base'!D467,-'FPSO1 Otim'!D$3,0))</f>
        <v>32.508650669099048</v>
      </c>
      <c r="E470" s="19">
        <f ca="1">IF($A470-E$3&lt;2,0,OFFSET('FPSO1 Base'!E467,-'FPSO1 Otim'!E$3,0))</f>
        <v>0</v>
      </c>
      <c r="F470" s="19">
        <f ca="1">IF($A470-F$3&lt;2,0,OFFSET('FPSO1 Base'!F467,-'FPSO1 Otim'!F$3,0))</f>
        <v>0</v>
      </c>
      <c r="G470" s="19">
        <f ca="1">IF($A470-G$3&lt;2,0,OFFSET('FPSO1 Base'!G467,-'FPSO1 Otim'!G$3,0))</f>
        <v>58.279617341170379</v>
      </c>
      <c r="H470" s="19">
        <f ca="1">IF($A470-H$3&lt;2,0,OFFSET('FPSO1 Base'!H467,-'FPSO1 Otim'!H$3,0))</f>
        <v>532.18650000000002</v>
      </c>
      <c r="I470" s="19">
        <f ca="1">IF($A470-I$3&lt;2,0,OFFSET('FPSO1 Base'!I467,-'FPSO1 Otim'!I$3,0))</f>
        <v>349.82550000000003</v>
      </c>
      <c r="J470" s="19">
        <f ca="1">IF($A470-J$3&lt;2,0,OFFSET('FPSO1 Base'!J467,-'FPSO1 Otim'!J$3,0))</f>
        <v>170.95050000000001</v>
      </c>
      <c r="K470" s="19">
        <f ca="1">IF($A470-K$3&lt;2,0,OFFSET('FPSO1 Base'!K467,-'FPSO1 Otim'!K$3,0))</f>
        <v>0</v>
      </c>
      <c r="L470" s="19">
        <f ca="1">IF($A470-L$3&lt;2,0,OFFSET('FPSO1 Base'!L467,-'FPSO1 Otim'!L$3,0))</f>
        <v>0</v>
      </c>
      <c r="M470" s="19">
        <f ca="1">IF($A470-M$3&lt;2,0,OFFSET('FPSO1 Base'!M467,-'FPSO1 Otim'!M$3,0))</f>
        <v>0</v>
      </c>
      <c r="N470" s="19">
        <f ca="1">IF($A470-N$3&lt;2,0,OFFSET('FPSO1 Base'!N467,-'FPSO1 Otim'!N$3,0))</f>
        <v>3.2295478328205549</v>
      </c>
      <c r="O470" s="19">
        <f ca="1">IF($A470-O$3&lt;2,0,OFFSET('FPSO1 Base'!O467,-'FPSO1 Otim'!O$3,0))</f>
        <v>69.472383779202403</v>
      </c>
      <c r="P470" s="19">
        <f ca="1">IF($A470-P$3&lt;2,0,OFFSET('FPSO1 Base'!P467,-'FPSO1 Otim'!P$3,0))</f>
        <v>0</v>
      </c>
      <c r="Q470" s="19">
        <f ca="1">IF($A470-Q$3&lt;2,0,OFFSET('FPSO1 Base'!Q467,-'FPSO1 Otim'!Q$3,0))</f>
        <v>0</v>
      </c>
      <c r="R470" s="19">
        <f ca="1">IF($A470-R$3&lt;2,0,OFFSET('FPSO1 Base'!R467,-'FPSO1 Otim'!R$3,0))</f>
        <v>5.7319275320421479</v>
      </c>
      <c r="S470" s="19">
        <f ca="1">IF($A470-S$3&lt;2,0,OFFSET('FPSO1 Base'!S467,-'FPSO1 Otim'!S$3,0))</f>
        <v>247.911</v>
      </c>
      <c r="T470" s="19">
        <f ca="1">IF($A470-T$3&lt;2,0,OFFSET('FPSO1 Base'!T467,-'FPSO1 Otim'!T$3,0))</f>
        <v>0</v>
      </c>
      <c r="U470" s="19">
        <f ca="1">IF($A470-U$3&lt;2,0,OFFSET('FPSO1 Base'!U467,-'FPSO1 Otim'!U$3,0))</f>
        <v>0</v>
      </c>
      <c r="V470" s="19">
        <f ca="1">IF($A470-V$3&lt;2,0,OFFSET('FPSO1 Base'!V467,-'FPSO1 Otim'!V$3,0))</f>
        <v>0</v>
      </c>
      <c r="W470" s="19">
        <f ca="1">IF($A470-W$3&lt;2,0,OFFSET('FPSO1 Base'!W467,-'FPSO1 Otim'!W$3,0))</f>
        <v>0</v>
      </c>
      <c r="X470" s="19">
        <f ca="1">IF($A470-X$3&lt;2,0,OFFSET('FPSO1 Base'!X467,-'FPSO1 Otim'!X$3,0))</f>
        <v>0</v>
      </c>
      <c r="Y470" s="19">
        <f ca="1">IF($A470-Y$3&lt;2,0,OFFSET('FPSO1 Base'!Y467,-'FPSO1 Otim'!Y$3,0))</f>
        <v>0</v>
      </c>
      <c r="Z470" s="19">
        <f ca="1">IF($A470-Z$3&lt;2,0,OFFSET('FPSO1 Base'!Z467,-'FPSO1 Otim'!Z$3,0))</f>
        <v>134.39999999999998</v>
      </c>
      <c r="AA470" s="20">
        <v>15000</v>
      </c>
      <c r="AB470" s="19">
        <f t="shared" ca="1" si="25"/>
        <v>1604.4956271543347</v>
      </c>
      <c r="AC470" s="20">
        <f t="shared" ca="1" si="26"/>
        <v>13395.504372845666</v>
      </c>
      <c r="AD470" s="19">
        <f t="shared" ca="1" si="27"/>
        <v>34.121245625907257</v>
      </c>
    </row>
    <row r="471" spans="1:30" x14ac:dyDescent="0.25">
      <c r="A471" s="19">
        <v>467</v>
      </c>
      <c r="B471" s="31">
        <v>59810</v>
      </c>
      <c r="C471" s="19">
        <f ca="1">IF($A471-C$3&lt;2,0,OFFSET('FPSO1 Base'!C468,-'FPSO1 Otim'!C$3,0))</f>
        <v>0</v>
      </c>
      <c r="D471" s="19">
        <f ca="1">IF($A471-D$3&lt;2,0,OFFSET('FPSO1 Base'!D468,-'FPSO1 Otim'!D$3,0))</f>
        <v>32.183564162408054</v>
      </c>
      <c r="E471" s="19">
        <f ca="1">IF($A471-E$3&lt;2,0,OFFSET('FPSO1 Base'!E468,-'FPSO1 Otim'!E$3,0))</f>
        <v>0</v>
      </c>
      <c r="F471" s="19">
        <f ca="1">IF($A471-F$3&lt;2,0,OFFSET('FPSO1 Base'!F468,-'FPSO1 Otim'!F$3,0))</f>
        <v>0</v>
      </c>
      <c r="G471" s="19">
        <f ca="1">IF($A471-G$3&lt;2,0,OFFSET('FPSO1 Base'!G468,-'FPSO1 Otim'!G$3,0))</f>
        <v>57.696821167758678</v>
      </c>
      <c r="H471" s="19">
        <f ca="1">IF($A471-H$3&lt;2,0,OFFSET('FPSO1 Base'!H468,-'FPSO1 Otim'!H$3,0))</f>
        <v>532.21050000000002</v>
      </c>
      <c r="I471" s="19">
        <f ca="1">IF($A471-I$3&lt;2,0,OFFSET('FPSO1 Base'!I468,-'FPSO1 Otim'!I$3,0))</f>
        <v>349.40250000000003</v>
      </c>
      <c r="J471" s="19">
        <f ca="1">IF($A471-J$3&lt;2,0,OFFSET('FPSO1 Base'!J468,-'FPSO1 Otim'!J$3,0))</f>
        <v>170.709</v>
      </c>
      <c r="K471" s="19">
        <f ca="1">IF($A471-K$3&lt;2,0,OFFSET('FPSO1 Base'!K468,-'FPSO1 Otim'!K$3,0))</f>
        <v>0</v>
      </c>
      <c r="L471" s="19">
        <f ca="1">IF($A471-L$3&lt;2,0,OFFSET('FPSO1 Base'!L468,-'FPSO1 Otim'!L$3,0))</f>
        <v>0</v>
      </c>
      <c r="M471" s="19">
        <f ca="1">IF($A471-M$3&lt;2,0,OFFSET('FPSO1 Base'!M468,-'FPSO1 Otim'!M$3,0))</f>
        <v>0</v>
      </c>
      <c r="N471" s="19">
        <f ca="1">IF($A471-N$3&lt;2,0,OFFSET('FPSO1 Base'!N468,-'FPSO1 Otim'!N$3,0))</f>
        <v>3.1972523544923495</v>
      </c>
      <c r="O471" s="19">
        <f ca="1">IF($A471-O$3&lt;2,0,OFFSET('FPSO1 Base'!O468,-'FPSO1 Otim'!O$3,0))</f>
        <v>68.777659941410377</v>
      </c>
      <c r="P471" s="19">
        <f ca="1">IF($A471-P$3&lt;2,0,OFFSET('FPSO1 Base'!P468,-'FPSO1 Otim'!P$3,0))</f>
        <v>0</v>
      </c>
      <c r="Q471" s="19">
        <f ca="1">IF($A471-Q$3&lt;2,0,OFFSET('FPSO1 Base'!Q468,-'FPSO1 Otim'!Q$3,0))</f>
        <v>0</v>
      </c>
      <c r="R471" s="19">
        <f ca="1">IF($A471-R$3&lt;2,0,OFFSET('FPSO1 Base'!R468,-'FPSO1 Otim'!R$3,0))</f>
        <v>5.6746082567217266</v>
      </c>
      <c r="S471" s="19">
        <f ca="1">IF($A471-S$3&lt;2,0,OFFSET('FPSO1 Base'!S468,-'FPSO1 Otim'!S$3,0))</f>
        <v>247.5</v>
      </c>
      <c r="T471" s="19">
        <f ca="1">IF($A471-T$3&lt;2,0,OFFSET('FPSO1 Base'!T468,-'FPSO1 Otim'!T$3,0))</f>
        <v>0</v>
      </c>
      <c r="U471" s="19">
        <f ca="1">IF($A471-U$3&lt;2,0,OFFSET('FPSO1 Base'!U468,-'FPSO1 Otim'!U$3,0))</f>
        <v>0</v>
      </c>
      <c r="V471" s="19">
        <f ca="1">IF($A471-V$3&lt;2,0,OFFSET('FPSO1 Base'!V468,-'FPSO1 Otim'!V$3,0))</f>
        <v>0</v>
      </c>
      <c r="W471" s="19">
        <f ca="1">IF($A471-W$3&lt;2,0,OFFSET('FPSO1 Base'!W468,-'FPSO1 Otim'!W$3,0))</f>
        <v>0</v>
      </c>
      <c r="X471" s="19">
        <f ca="1">IF($A471-X$3&lt;2,0,OFFSET('FPSO1 Base'!X468,-'FPSO1 Otim'!X$3,0))</f>
        <v>0</v>
      </c>
      <c r="Y471" s="19">
        <f ca="1">IF($A471-Y$3&lt;2,0,OFFSET('FPSO1 Base'!Y468,-'FPSO1 Otim'!Y$3,0))</f>
        <v>0</v>
      </c>
      <c r="Z471" s="19">
        <f ca="1">IF($A471-Z$3&lt;2,0,OFFSET('FPSO1 Base'!Z468,-'FPSO1 Otim'!Z$3,0))</f>
        <v>133.81455</v>
      </c>
      <c r="AA471" s="20">
        <v>15000</v>
      </c>
      <c r="AB471" s="19">
        <f t="shared" ca="1" si="25"/>
        <v>1601.1664558827913</v>
      </c>
      <c r="AC471" s="20">
        <f t="shared" ca="1" si="26"/>
        <v>13398.833544117209</v>
      </c>
      <c r="AD471" s="19">
        <f t="shared" ca="1" si="27"/>
        <v>33.769038727231333</v>
      </c>
    </row>
    <row r="472" spans="1:30" x14ac:dyDescent="0.25">
      <c r="A472" s="19">
        <v>468</v>
      </c>
      <c r="B472" s="31">
        <v>59841</v>
      </c>
      <c r="C472" s="19">
        <f ca="1">IF($A472-C$3&lt;2,0,OFFSET('FPSO1 Base'!C469,-'FPSO1 Otim'!C$3,0))</f>
        <v>0</v>
      </c>
      <c r="D472" s="19">
        <f ca="1">IF($A472-D$3&lt;2,0,OFFSET('FPSO1 Base'!D469,-'FPSO1 Otim'!D$3,0))</f>
        <v>31.861728520783974</v>
      </c>
      <c r="E472" s="19">
        <f ca="1">IF($A472-E$3&lt;2,0,OFFSET('FPSO1 Base'!E469,-'FPSO1 Otim'!E$3,0))</f>
        <v>0</v>
      </c>
      <c r="F472" s="19">
        <f ca="1">IF($A472-F$3&lt;2,0,OFFSET('FPSO1 Base'!F469,-'FPSO1 Otim'!F$3,0))</f>
        <v>0</v>
      </c>
      <c r="G472" s="19">
        <f ca="1">IF($A472-G$3&lt;2,0,OFFSET('FPSO1 Base'!G469,-'FPSO1 Otim'!G$3,0))</f>
        <v>57.11985295608109</v>
      </c>
      <c r="H472" s="19">
        <f ca="1">IF($A472-H$3&lt;2,0,OFFSET('FPSO1 Base'!H469,-'FPSO1 Otim'!H$3,0))</f>
        <v>532.20899999999995</v>
      </c>
      <c r="I472" s="19">
        <f ca="1">IF($A472-I$3&lt;2,0,OFFSET('FPSO1 Base'!I469,-'FPSO1 Otim'!I$3,0))</f>
        <v>348.99149999999997</v>
      </c>
      <c r="J472" s="19">
        <f ca="1">IF($A472-J$3&lt;2,0,OFFSET('FPSO1 Base'!J469,-'FPSO1 Otim'!J$3,0))</f>
        <v>170.4255</v>
      </c>
      <c r="K472" s="19">
        <f ca="1">IF($A472-K$3&lt;2,0,OFFSET('FPSO1 Base'!K469,-'FPSO1 Otim'!K$3,0))</f>
        <v>0</v>
      </c>
      <c r="L472" s="19">
        <f ca="1">IF($A472-L$3&lt;2,0,OFFSET('FPSO1 Base'!L469,-'FPSO1 Otim'!L$3,0))</f>
        <v>0</v>
      </c>
      <c r="M472" s="19">
        <f ca="1">IF($A472-M$3&lt;2,0,OFFSET('FPSO1 Base'!M469,-'FPSO1 Otim'!M$3,0))</f>
        <v>0</v>
      </c>
      <c r="N472" s="19">
        <f ca="1">IF($A472-N$3&lt;2,0,OFFSET('FPSO1 Base'!N469,-'FPSO1 Otim'!N$3,0))</f>
        <v>3.1652798309474259</v>
      </c>
      <c r="O472" s="19">
        <f ca="1">IF($A472-O$3&lt;2,0,OFFSET('FPSO1 Base'!O469,-'FPSO1 Otim'!O$3,0))</f>
        <v>68.08988334199627</v>
      </c>
      <c r="P472" s="19">
        <f ca="1">IF($A472-P$3&lt;2,0,OFFSET('FPSO1 Base'!P469,-'FPSO1 Otim'!P$3,0))</f>
        <v>0</v>
      </c>
      <c r="Q472" s="19">
        <f ca="1">IF($A472-Q$3&lt;2,0,OFFSET('FPSO1 Base'!Q469,-'FPSO1 Otim'!Q$3,0))</f>
        <v>0</v>
      </c>
      <c r="R472" s="19">
        <f ca="1">IF($A472-R$3&lt;2,0,OFFSET('FPSO1 Base'!R469,-'FPSO1 Otim'!R$3,0))</f>
        <v>5.6178621741545092</v>
      </c>
      <c r="S472" s="19">
        <f ca="1">IF($A472-S$3&lt;2,0,OFFSET('FPSO1 Base'!S469,-'FPSO1 Otim'!S$3,0))</f>
        <v>247.209</v>
      </c>
      <c r="T472" s="19">
        <f ca="1">IF($A472-T$3&lt;2,0,OFFSET('FPSO1 Base'!T469,-'FPSO1 Otim'!T$3,0))</f>
        <v>0</v>
      </c>
      <c r="U472" s="19">
        <f ca="1">IF($A472-U$3&lt;2,0,OFFSET('FPSO1 Base'!U469,-'FPSO1 Otim'!U$3,0))</f>
        <v>0</v>
      </c>
      <c r="V472" s="19">
        <f ca="1">IF($A472-V$3&lt;2,0,OFFSET('FPSO1 Base'!V469,-'FPSO1 Otim'!V$3,0))</f>
        <v>0</v>
      </c>
      <c r="W472" s="19">
        <f ca="1">IF($A472-W$3&lt;2,0,OFFSET('FPSO1 Base'!W469,-'FPSO1 Otim'!W$3,0))</f>
        <v>0</v>
      </c>
      <c r="X472" s="19">
        <f ca="1">IF($A472-X$3&lt;2,0,OFFSET('FPSO1 Base'!X469,-'FPSO1 Otim'!X$3,0))</f>
        <v>0</v>
      </c>
      <c r="Y472" s="19">
        <f ca="1">IF($A472-Y$3&lt;2,0,OFFSET('FPSO1 Base'!Y469,-'FPSO1 Otim'!Y$3,0))</f>
        <v>0</v>
      </c>
      <c r="Z472" s="19">
        <f ca="1">IF($A472-Z$3&lt;2,0,OFFSET('FPSO1 Base'!Z469,-'FPSO1 Otim'!Z$3,0))</f>
        <v>133.23390000000001</v>
      </c>
      <c r="AA472" s="20">
        <v>15000</v>
      </c>
      <c r="AB472" s="19">
        <f t="shared" ca="1" si="25"/>
        <v>1597.923506823963</v>
      </c>
      <c r="AC472" s="20">
        <f t="shared" ca="1" si="26"/>
        <v>13402.076493176037</v>
      </c>
      <c r="AD472" s="19">
        <f t="shared" ca="1" si="27"/>
        <v>33.422126324747467</v>
      </c>
    </row>
    <row r="473" spans="1:30" x14ac:dyDescent="0.25">
      <c r="A473" s="19">
        <v>469</v>
      </c>
      <c r="B473" s="31">
        <v>59871</v>
      </c>
      <c r="C473" s="19">
        <f ca="1">IF($A473-C$3&lt;2,0,OFFSET('FPSO1 Base'!C470,-'FPSO1 Otim'!C$3,0))</f>
        <v>0</v>
      </c>
      <c r="D473" s="19">
        <f ca="1">IF($A473-D$3&lt;2,0,OFFSET('FPSO1 Base'!D470,-'FPSO1 Otim'!D$3,0))</f>
        <v>31.543111235576134</v>
      </c>
      <c r="E473" s="19">
        <f ca="1">IF($A473-E$3&lt;2,0,OFFSET('FPSO1 Base'!E470,-'FPSO1 Otim'!E$3,0))</f>
        <v>0</v>
      </c>
      <c r="F473" s="19">
        <f ca="1">IF($A473-F$3&lt;2,0,OFFSET('FPSO1 Base'!F470,-'FPSO1 Otim'!F$3,0))</f>
        <v>0</v>
      </c>
      <c r="G473" s="19">
        <f ca="1">IF($A473-G$3&lt;2,0,OFFSET('FPSO1 Base'!G470,-'FPSO1 Otim'!G$3,0))</f>
        <v>56.54865442652028</v>
      </c>
      <c r="H473" s="19">
        <f ca="1">IF($A473-H$3&lt;2,0,OFFSET('FPSO1 Base'!H470,-'FPSO1 Otim'!H$3,0))</f>
        <v>532.23450000000003</v>
      </c>
      <c r="I473" s="19">
        <f ca="1">IF($A473-I$3&lt;2,0,OFFSET('FPSO1 Base'!I470,-'FPSO1 Otim'!I$3,0))</f>
        <v>348.5745</v>
      </c>
      <c r="J473" s="19">
        <f ca="1">IF($A473-J$3&lt;2,0,OFFSET('FPSO1 Base'!J470,-'FPSO1 Otim'!J$3,0))</f>
        <v>170.1525</v>
      </c>
      <c r="K473" s="19">
        <f ca="1">IF($A473-K$3&lt;2,0,OFFSET('FPSO1 Base'!K470,-'FPSO1 Otim'!K$3,0))</f>
        <v>0</v>
      </c>
      <c r="L473" s="19">
        <f ca="1">IF($A473-L$3&lt;2,0,OFFSET('FPSO1 Base'!L470,-'FPSO1 Otim'!L$3,0))</f>
        <v>0</v>
      </c>
      <c r="M473" s="19">
        <f ca="1">IF($A473-M$3&lt;2,0,OFFSET('FPSO1 Base'!M470,-'FPSO1 Otim'!M$3,0))</f>
        <v>0</v>
      </c>
      <c r="N473" s="19">
        <f ca="1">IF($A473-N$3&lt;2,0,OFFSET('FPSO1 Base'!N470,-'FPSO1 Otim'!N$3,0))</f>
        <v>3.1336270326379516</v>
      </c>
      <c r="O473" s="19">
        <f ca="1">IF($A473-O$3&lt;2,0,OFFSET('FPSO1 Base'!O470,-'FPSO1 Otim'!O$3,0))</f>
        <v>67.40898450857631</v>
      </c>
      <c r="P473" s="19">
        <f ca="1">IF($A473-P$3&lt;2,0,OFFSET('FPSO1 Base'!P470,-'FPSO1 Otim'!P$3,0))</f>
        <v>0</v>
      </c>
      <c r="Q473" s="19">
        <f ca="1">IF($A473-Q$3&lt;2,0,OFFSET('FPSO1 Base'!Q470,-'FPSO1 Otim'!Q$3,0))</f>
        <v>0</v>
      </c>
      <c r="R473" s="19">
        <f ca="1">IF($A473-R$3&lt;2,0,OFFSET('FPSO1 Base'!R470,-'FPSO1 Otim'!R$3,0))</f>
        <v>5.5616835524129637</v>
      </c>
      <c r="S473" s="19">
        <f ca="1">IF($A473-S$3&lt;2,0,OFFSET('FPSO1 Base'!S470,-'FPSO1 Otim'!S$3,0))</f>
        <v>246.85050000000001</v>
      </c>
      <c r="T473" s="19">
        <f ca="1">IF($A473-T$3&lt;2,0,OFFSET('FPSO1 Base'!T470,-'FPSO1 Otim'!T$3,0))</f>
        <v>0</v>
      </c>
      <c r="U473" s="19">
        <f ca="1">IF($A473-U$3&lt;2,0,OFFSET('FPSO1 Base'!U470,-'FPSO1 Otim'!U$3,0))</f>
        <v>0</v>
      </c>
      <c r="V473" s="19">
        <f ca="1">IF($A473-V$3&lt;2,0,OFFSET('FPSO1 Base'!V470,-'FPSO1 Otim'!V$3,0))</f>
        <v>0</v>
      </c>
      <c r="W473" s="19">
        <f ca="1">IF($A473-W$3&lt;2,0,OFFSET('FPSO1 Base'!W470,-'FPSO1 Otim'!W$3,0))</f>
        <v>0</v>
      </c>
      <c r="X473" s="19">
        <f ca="1">IF($A473-X$3&lt;2,0,OFFSET('FPSO1 Base'!X470,-'FPSO1 Otim'!X$3,0))</f>
        <v>0</v>
      </c>
      <c r="Y473" s="19">
        <f ca="1">IF($A473-Y$3&lt;2,0,OFFSET('FPSO1 Base'!Y470,-'FPSO1 Otim'!Y$3,0))</f>
        <v>0</v>
      </c>
      <c r="Z473" s="19">
        <f ca="1">IF($A473-Z$3&lt;2,0,OFFSET('FPSO1 Base'!Z470,-'FPSO1 Otim'!Z$3,0))</f>
        <v>132.61245</v>
      </c>
      <c r="AA473" s="20">
        <v>15000</v>
      </c>
      <c r="AB473" s="19">
        <f t="shared" ca="1" si="25"/>
        <v>1594.6205107557237</v>
      </c>
      <c r="AC473" s="20">
        <f t="shared" ca="1" si="26"/>
        <v>13405.379489244277</v>
      </c>
      <c r="AD473" s="19">
        <f t="shared" ca="1" si="27"/>
        <v>33.077395978781453</v>
      </c>
    </row>
    <row r="474" spans="1:30" x14ac:dyDescent="0.25">
      <c r="A474" s="19">
        <v>470</v>
      </c>
      <c r="B474" s="31">
        <v>59902</v>
      </c>
      <c r="C474" s="19">
        <f ca="1">IF($A474-C$3&lt;2,0,OFFSET('FPSO1 Base'!C471,-'FPSO1 Otim'!C$3,0))</f>
        <v>0</v>
      </c>
      <c r="D474" s="19">
        <f ca="1">IF($A474-D$3&lt;2,0,OFFSET('FPSO1 Base'!D471,-'FPSO1 Otim'!D$3,0))</f>
        <v>31.227680123220374</v>
      </c>
      <c r="E474" s="19">
        <f ca="1">IF($A474-E$3&lt;2,0,OFFSET('FPSO1 Base'!E471,-'FPSO1 Otim'!E$3,0))</f>
        <v>0</v>
      </c>
      <c r="F474" s="19">
        <f ca="1">IF($A474-F$3&lt;2,0,OFFSET('FPSO1 Base'!F471,-'FPSO1 Otim'!F$3,0))</f>
        <v>0</v>
      </c>
      <c r="G474" s="19">
        <f ca="1">IF($A474-G$3&lt;2,0,OFFSET('FPSO1 Base'!G471,-'FPSO1 Otim'!G$3,0))</f>
        <v>55.983167882255074</v>
      </c>
      <c r="H474" s="19">
        <f ca="1">IF($A474-H$3&lt;2,0,OFFSET('FPSO1 Base'!H471,-'FPSO1 Otim'!H$3,0))</f>
        <v>532.22699999999998</v>
      </c>
      <c r="I474" s="19">
        <f ca="1">IF($A474-I$3&lt;2,0,OFFSET('FPSO1 Base'!I471,-'FPSO1 Otim'!I$3,0))</f>
        <v>348.19349999999997</v>
      </c>
      <c r="J474" s="19">
        <f ca="1">IF($A474-J$3&lt;2,0,OFFSET('FPSO1 Base'!J471,-'FPSO1 Otim'!J$3,0))</f>
        <v>169.911</v>
      </c>
      <c r="K474" s="19">
        <f ca="1">IF($A474-K$3&lt;2,0,OFFSET('FPSO1 Base'!K471,-'FPSO1 Otim'!K$3,0))</f>
        <v>0</v>
      </c>
      <c r="L474" s="19">
        <f ca="1">IF($A474-L$3&lt;2,0,OFFSET('FPSO1 Base'!L471,-'FPSO1 Otim'!L$3,0))</f>
        <v>0</v>
      </c>
      <c r="M474" s="19">
        <f ca="1">IF($A474-M$3&lt;2,0,OFFSET('FPSO1 Base'!M471,-'FPSO1 Otim'!M$3,0))</f>
        <v>0</v>
      </c>
      <c r="N474" s="19">
        <f ca="1">IF($A474-N$3&lt;2,0,OFFSET('FPSO1 Base'!N471,-'FPSO1 Otim'!N$3,0))</f>
        <v>3.1022907623115721</v>
      </c>
      <c r="O474" s="19">
        <f ca="1">IF($A474-O$3&lt;2,0,OFFSET('FPSO1 Base'!O471,-'FPSO1 Otim'!O$3,0))</f>
        <v>66.73489466349055</v>
      </c>
      <c r="P474" s="19">
        <f ca="1">IF($A474-P$3&lt;2,0,OFFSET('FPSO1 Base'!P471,-'FPSO1 Otim'!P$3,0))</f>
        <v>0</v>
      </c>
      <c r="Q474" s="19">
        <f ca="1">IF($A474-Q$3&lt;2,0,OFFSET('FPSO1 Base'!Q471,-'FPSO1 Otim'!Q$3,0))</f>
        <v>0</v>
      </c>
      <c r="R474" s="19">
        <f ca="1">IF($A474-R$3&lt;2,0,OFFSET('FPSO1 Base'!R471,-'FPSO1 Otim'!R$3,0))</f>
        <v>5.5060667168888342</v>
      </c>
      <c r="S474" s="19">
        <f ca="1">IF($A474-S$3&lt;2,0,OFFSET('FPSO1 Base'!S471,-'FPSO1 Otim'!S$3,0))</f>
        <v>246.5085</v>
      </c>
      <c r="T474" s="19">
        <f ca="1">IF($A474-T$3&lt;2,0,OFFSET('FPSO1 Base'!T471,-'FPSO1 Otim'!T$3,0))</f>
        <v>0</v>
      </c>
      <c r="U474" s="19">
        <f ca="1">IF($A474-U$3&lt;2,0,OFFSET('FPSO1 Base'!U471,-'FPSO1 Otim'!U$3,0))</f>
        <v>0</v>
      </c>
      <c r="V474" s="19">
        <f ca="1">IF($A474-V$3&lt;2,0,OFFSET('FPSO1 Base'!V471,-'FPSO1 Otim'!V$3,0))</f>
        <v>0</v>
      </c>
      <c r="W474" s="19">
        <f ca="1">IF($A474-W$3&lt;2,0,OFFSET('FPSO1 Base'!W471,-'FPSO1 Otim'!W$3,0))</f>
        <v>0</v>
      </c>
      <c r="X474" s="19">
        <f ca="1">IF($A474-X$3&lt;2,0,OFFSET('FPSO1 Base'!X471,-'FPSO1 Otim'!X$3,0))</f>
        <v>0</v>
      </c>
      <c r="Y474" s="19">
        <f ca="1">IF($A474-Y$3&lt;2,0,OFFSET('FPSO1 Base'!Y471,-'FPSO1 Otim'!Y$3,0))</f>
        <v>0</v>
      </c>
      <c r="Z474" s="19">
        <f ca="1">IF($A474-Z$3&lt;2,0,OFFSET('FPSO1 Base'!Z471,-'FPSO1 Otim'!Z$3,0))</f>
        <v>132.07259999999999</v>
      </c>
      <c r="AA474" s="20">
        <v>15000</v>
      </c>
      <c r="AB474" s="19">
        <f t="shared" ca="1" si="25"/>
        <v>1591.4667001481664</v>
      </c>
      <c r="AC474" s="20">
        <f t="shared" ca="1" si="26"/>
        <v>13408.533299851833</v>
      </c>
      <c r="AD474" s="19">
        <f t="shared" ca="1" si="27"/>
        <v>32.739149875002092</v>
      </c>
    </row>
    <row r="475" spans="1:30" x14ac:dyDescent="0.25">
      <c r="A475" s="19">
        <v>471</v>
      </c>
      <c r="B475" s="31">
        <v>59933</v>
      </c>
      <c r="C475" s="19">
        <f ca="1">IF($A475-C$3&lt;2,0,OFFSET('FPSO1 Base'!C472,-'FPSO1 Otim'!C$3,0))</f>
        <v>0</v>
      </c>
      <c r="D475" s="19">
        <f ca="1">IF($A475-D$3&lt;2,0,OFFSET('FPSO1 Base'!D472,-'FPSO1 Otim'!D$3,0))</f>
        <v>30.915403321988169</v>
      </c>
      <c r="E475" s="19">
        <f ca="1">IF($A475-E$3&lt;2,0,OFFSET('FPSO1 Base'!E472,-'FPSO1 Otim'!E$3,0))</f>
        <v>0</v>
      </c>
      <c r="F475" s="19">
        <f ca="1">IF($A475-F$3&lt;2,0,OFFSET('FPSO1 Base'!F472,-'FPSO1 Otim'!F$3,0))</f>
        <v>0</v>
      </c>
      <c r="G475" s="19">
        <f ca="1">IF($A475-G$3&lt;2,0,OFFSET('FPSO1 Base'!G472,-'FPSO1 Otim'!G$3,0))</f>
        <v>55.42333620343252</v>
      </c>
      <c r="H475" s="19">
        <f ca="1">IF($A475-H$3&lt;2,0,OFFSET('FPSO1 Base'!H472,-'FPSO1 Otim'!H$3,0))</f>
        <v>532.28099999999995</v>
      </c>
      <c r="I475" s="19">
        <f ca="1">IF($A475-I$3&lt;2,0,OFFSET('FPSO1 Base'!I472,-'FPSO1 Otim'!I$3,0))</f>
        <v>347.70000000000005</v>
      </c>
      <c r="J475" s="19">
        <f ca="1">IF($A475-J$3&lt;2,0,OFFSET('FPSO1 Base'!J472,-'FPSO1 Otim'!J$3,0))</f>
        <v>169.62450000000001</v>
      </c>
      <c r="K475" s="19">
        <f ca="1">IF($A475-K$3&lt;2,0,OFFSET('FPSO1 Base'!K472,-'FPSO1 Otim'!K$3,0))</f>
        <v>0</v>
      </c>
      <c r="L475" s="19">
        <f ca="1">IF($A475-L$3&lt;2,0,OFFSET('FPSO1 Base'!L472,-'FPSO1 Otim'!L$3,0))</f>
        <v>0</v>
      </c>
      <c r="M475" s="19">
        <f ca="1">IF($A475-M$3&lt;2,0,OFFSET('FPSO1 Base'!M472,-'FPSO1 Otim'!M$3,0))</f>
        <v>0</v>
      </c>
      <c r="N475" s="19">
        <f ca="1">IF($A475-N$3&lt;2,0,OFFSET('FPSO1 Base'!N472,-'FPSO1 Otim'!N$3,0))</f>
        <v>3.0712678546884562</v>
      </c>
      <c r="O475" s="19">
        <f ca="1">IF($A475-O$3&lt;2,0,OFFSET('FPSO1 Base'!O472,-'FPSO1 Otim'!O$3,0))</f>
        <v>66.067545716855648</v>
      </c>
      <c r="P475" s="19">
        <f ca="1">IF($A475-P$3&lt;2,0,OFFSET('FPSO1 Base'!P472,-'FPSO1 Otim'!P$3,0))</f>
        <v>0</v>
      </c>
      <c r="Q475" s="19">
        <f ca="1">IF($A475-Q$3&lt;2,0,OFFSET('FPSO1 Base'!Q472,-'FPSO1 Otim'!Q$3,0))</f>
        <v>0</v>
      </c>
      <c r="R475" s="19">
        <f ca="1">IF($A475-R$3&lt;2,0,OFFSET('FPSO1 Base'!R472,-'FPSO1 Otim'!R$3,0))</f>
        <v>5.451006049719946</v>
      </c>
      <c r="S475" s="19">
        <f ca="1">IF($A475-S$3&lt;2,0,OFFSET('FPSO1 Base'!S472,-'FPSO1 Otim'!S$3,0))</f>
        <v>246.14999999999998</v>
      </c>
      <c r="T475" s="19">
        <f ca="1">IF($A475-T$3&lt;2,0,OFFSET('FPSO1 Base'!T472,-'FPSO1 Otim'!T$3,0))</f>
        <v>0</v>
      </c>
      <c r="U475" s="19">
        <f ca="1">IF($A475-U$3&lt;2,0,OFFSET('FPSO1 Base'!U472,-'FPSO1 Otim'!U$3,0))</f>
        <v>0</v>
      </c>
      <c r="V475" s="19">
        <f ca="1">IF($A475-V$3&lt;2,0,OFFSET('FPSO1 Base'!V472,-'FPSO1 Otim'!V$3,0))</f>
        <v>0</v>
      </c>
      <c r="W475" s="19">
        <f ca="1">IF($A475-W$3&lt;2,0,OFFSET('FPSO1 Base'!W472,-'FPSO1 Otim'!W$3,0))</f>
        <v>0</v>
      </c>
      <c r="X475" s="19">
        <f ca="1">IF($A475-X$3&lt;2,0,OFFSET('FPSO1 Base'!X472,-'FPSO1 Otim'!X$3,0))</f>
        <v>0</v>
      </c>
      <c r="Y475" s="19">
        <f ca="1">IF($A475-Y$3&lt;2,0,OFFSET('FPSO1 Base'!Y472,-'FPSO1 Otim'!Y$3,0))</f>
        <v>0</v>
      </c>
      <c r="Z475" s="19">
        <f ca="1">IF($A475-Z$3&lt;2,0,OFFSET('FPSO1 Base'!Z472,-'FPSO1 Otim'!Z$3,0))</f>
        <v>132.01245</v>
      </c>
      <c r="AA475" s="20">
        <v>15000</v>
      </c>
      <c r="AB475" s="19">
        <f t="shared" ca="1" si="25"/>
        <v>1588.6965091466848</v>
      </c>
      <c r="AC475" s="20">
        <f t="shared" ca="1" si="26"/>
        <v>13411.303490853315</v>
      </c>
      <c r="AD475" s="19">
        <f t="shared" ca="1" si="27"/>
        <v>32.412061865859179</v>
      </c>
    </row>
    <row r="476" spans="1:30" x14ac:dyDescent="0.25">
      <c r="A476" s="19">
        <v>472</v>
      </c>
      <c r="B476" s="31">
        <v>59962</v>
      </c>
      <c r="C476" s="19">
        <f ca="1">IF($A476-C$3&lt;2,0,OFFSET('FPSO1 Base'!C473,-'FPSO1 Otim'!C$3,0))</f>
        <v>0</v>
      </c>
      <c r="D476" s="19">
        <f ca="1">IF($A476-D$3&lt;2,0,OFFSET('FPSO1 Base'!D473,-'FPSO1 Otim'!D$3,0))</f>
        <v>30.606249288768286</v>
      </c>
      <c r="E476" s="19">
        <f ca="1">IF($A476-E$3&lt;2,0,OFFSET('FPSO1 Base'!E473,-'FPSO1 Otim'!E$3,0))</f>
        <v>0</v>
      </c>
      <c r="F476" s="19">
        <f ca="1">IF($A476-F$3&lt;2,0,OFFSET('FPSO1 Base'!F473,-'FPSO1 Otim'!F$3,0))</f>
        <v>0</v>
      </c>
      <c r="G476" s="19">
        <f ca="1">IF($A476-G$3&lt;2,0,OFFSET('FPSO1 Base'!G473,-'FPSO1 Otim'!G$3,0))</f>
        <v>54.869102841398195</v>
      </c>
      <c r="H476" s="19">
        <f ca="1">IF($A476-H$3&lt;2,0,OFFSET('FPSO1 Base'!H473,-'FPSO1 Otim'!H$3,0))</f>
        <v>532.27500000000009</v>
      </c>
      <c r="I476" s="19">
        <f ca="1">IF($A476-I$3&lt;2,0,OFFSET('FPSO1 Base'!I473,-'FPSO1 Otim'!I$3,0))</f>
        <v>347.34749999999997</v>
      </c>
      <c r="J476" s="19">
        <f ca="1">IF($A476-J$3&lt;2,0,OFFSET('FPSO1 Base'!J473,-'FPSO1 Otim'!J$3,0))</f>
        <v>169.3305</v>
      </c>
      <c r="K476" s="19">
        <f ca="1">IF($A476-K$3&lt;2,0,OFFSET('FPSO1 Base'!K473,-'FPSO1 Otim'!K$3,0))</f>
        <v>0</v>
      </c>
      <c r="L476" s="19">
        <f ca="1">IF($A476-L$3&lt;2,0,OFFSET('FPSO1 Base'!L473,-'FPSO1 Otim'!L$3,0))</f>
        <v>0</v>
      </c>
      <c r="M476" s="19">
        <f ca="1">IF($A476-M$3&lt;2,0,OFFSET('FPSO1 Base'!M473,-'FPSO1 Otim'!M$3,0))</f>
        <v>0</v>
      </c>
      <c r="N476" s="19">
        <f ca="1">IF($A476-N$3&lt;2,0,OFFSET('FPSO1 Base'!N473,-'FPSO1 Otim'!N$3,0))</f>
        <v>3.0405551761415714</v>
      </c>
      <c r="O476" s="19">
        <f ca="1">IF($A476-O$3&lt;2,0,OFFSET('FPSO1 Base'!O473,-'FPSO1 Otim'!O$3,0))</f>
        <v>65.406870259687096</v>
      </c>
      <c r="P476" s="19">
        <f ca="1">IF($A476-P$3&lt;2,0,OFFSET('FPSO1 Base'!P473,-'FPSO1 Otim'!P$3,0))</f>
        <v>0</v>
      </c>
      <c r="Q476" s="19">
        <f ca="1">IF($A476-Q$3&lt;2,0,OFFSET('FPSO1 Base'!Q473,-'FPSO1 Otim'!Q$3,0))</f>
        <v>0</v>
      </c>
      <c r="R476" s="19">
        <f ca="1">IF($A476-R$3&lt;2,0,OFFSET('FPSO1 Base'!R473,-'FPSO1 Otim'!R$3,0))</f>
        <v>5.3964959892227462</v>
      </c>
      <c r="S476" s="19">
        <f ca="1">IF($A476-S$3&lt;2,0,OFFSET('FPSO1 Base'!S473,-'FPSO1 Otim'!S$3,0))</f>
        <v>245.78249999999997</v>
      </c>
      <c r="T476" s="19">
        <f ca="1">IF($A476-T$3&lt;2,0,OFFSET('FPSO1 Base'!T473,-'FPSO1 Otim'!T$3,0))</f>
        <v>0</v>
      </c>
      <c r="U476" s="19">
        <f ca="1">IF($A476-U$3&lt;2,0,OFFSET('FPSO1 Base'!U473,-'FPSO1 Otim'!U$3,0))</f>
        <v>0</v>
      </c>
      <c r="V476" s="19">
        <f ca="1">IF($A476-V$3&lt;2,0,OFFSET('FPSO1 Base'!V473,-'FPSO1 Otim'!V$3,0))</f>
        <v>0</v>
      </c>
      <c r="W476" s="19">
        <f ca="1">IF($A476-W$3&lt;2,0,OFFSET('FPSO1 Base'!W473,-'FPSO1 Otim'!W$3,0))</f>
        <v>0</v>
      </c>
      <c r="X476" s="19">
        <f ca="1">IF($A476-X$3&lt;2,0,OFFSET('FPSO1 Base'!X473,-'FPSO1 Otim'!X$3,0))</f>
        <v>0</v>
      </c>
      <c r="Y476" s="19">
        <f ca="1">IF($A476-Y$3&lt;2,0,OFFSET('FPSO1 Base'!Y473,-'FPSO1 Otim'!Y$3,0))</f>
        <v>0</v>
      </c>
      <c r="Z476" s="19">
        <f ca="1">IF($A476-Z$3&lt;2,0,OFFSET('FPSO1 Base'!Z473,-'FPSO1 Otim'!Z$3,0))</f>
        <v>131.86695</v>
      </c>
      <c r="AA476" s="20">
        <v>15000</v>
      </c>
      <c r="AB476" s="19">
        <f t="shared" ca="1" si="25"/>
        <v>1585.9217235552183</v>
      </c>
      <c r="AC476" s="20">
        <f t="shared" ca="1" si="26"/>
        <v>13414.078276444781</v>
      </c>
      <c r="AD476" s="19">
        <f t="shared" ca="1" si="27"/>
        <v>32.088051179482314</v>
      </c>
    </row>
    <row r="477" spans="1:30" x14ac:dyDescent="0.25">
      <c r="A477" s="19">
        <v>473</v>
      </c>
      <c r="B477" s="31">
        <v>59993</v>
      </c>
      <c r="C477" s="19">
        <f ca="1">IF($A477-C$3&lt;2,0,OFFSET('FPSO1 Base'!C474,-'FPSO1 Otim'!C$3,0))</f>
        <v>0</v>
      </c>
      <c r="D477" s="19">
        <f ca="1">IF($A477-D$3&lt;2,0,OFFSET('FPSO1 Base'!D474,-'FPSO1 Otim'!D$3,0))</f>
        <v>30.300186795880602</v>
      </c>
      <c r="E477" s="19">
        <f ca="1">IF($A477-E$3&lt;2,0,OFFSET('FPSO1 Base'!E474,-'FPSO1 Otim'!E$3,0))</f>
        <v>0</v>
      </c>
      <c r="F477" s="19">
        <f ca="1">IF($A477-F$3&lt;2,0,OFFSET('FPSO1 Base'!F474,-'FPSO1 Otim'!F$3,0))</f>
        <v>0</v>
      </c>
      <c r="G477" s="19">
        <f ca="1">IF($A477-G$3&lt;2,0,OFFSET('FPSO1 Base'!G474,-'FPSO1 Otim'!G$3,0))</f>
        <v>54.320411812984212</v>
      </c>
      <c r="H477" s="19">
        <f ca="1">IF($A477-H$3&lt;2,0,OFFSET('FPSO1 Base'!H474,-'FPSO1 Otim'!H$3,0))</f>
        <v>532.30500000000006</v>
      </c>
      <c r="I477" s="19">
        <f ca="1">IF($A477-I$3&lt;2,0,OFFSET('FPSO1 Base'!I474,-'FPSO1 Otim'!I$3,0))</f>
        <v>346.959</v>
      </c>
      <c r="J477" s="19">
        <f ca="1">IF($A477-J$3&lt;2,0,OFFSET('FPSO1 Base'!J474,-'FPSO1 Otim'!J$3,0))</f>
        <v>169.07550000000001</v>
      </c>
      <c r="K477" s="19">
        <f ca="1">IF($A477-K$3&lt;2,0,OFFSET('FPSO1 Base'!K474,-'FPSO1 Otim'!K$3,0))</f>
        <v>0</v>
      </c>
      <c r="L477" s="19">
        <f ca="1">IF($A477-L$3&lt;2,0,OFFSET('FPSO1 Base'!L474,-'FPSO1 Otim'!L$3,0))</f>
        <v>0</v>
      </c>
      <c r="M477" s="19">
        <f ca="1">IF($A477-M$3&lt;2,0,OFFSET('FPSO1 Base'!M474,-'FPSO1 Otim'!M$3,0))</f>
        <v>0</v>
      </c>
      <c r="N477" s="19">
        <f ca="1">IF($A477-N$3&lt;2,0,OFFSET('FPSO1 Base'!N474,-'FPSO1 Otim'!N$3,0))</f>
        <v>3.0101496243801558</v>
      </c>
      <c r="O477" s="19">
        <f ca="1">IF($A477-O$3&lt;2,0,OFFSET('FPSO1 Base'!O474,-'FPSO1 Otim'!O$3,0))</f>
        <v>64.752801557090223</v>
      </c>
      <c r="P477" s="19">
        <f ca="1">IF($A477-P$3&lt;2,0,OFFSET('FPSO1 Base'!P474,-'FPSO1 Otim'!P$3,0))</f>
        <v>0</v>
      </c>
      <c r="Q477" s="19">
        <f ca="1">IF($A477-Q$3&lt;2,0,OFFSET('FPSO1 Base'!Q474,-'FPSO1 Otim'!Q$3,0))</f>
        <v>0</v>
      </c>
      <c r="R477" s="19">
        <f ca="1">IF($A477-R$3&lt;2,0,OFFSET('FPSO1 Base'!R474,-'FPSO1 Otim'!R$3,0))</f>
        <v>5.3425310293305186</v>
      </c>
      <c r="S477" s="19">
        <f ca="1">IF($A477-S$3&lt;2,0,OFFSET('FPSO1 Base'!S474,-'FPSO1 Otim'!S$3,0))</f>
        <v>245.46750000000003</v>
      </c>
      <c r="T477" s="19">
        <f ca="1">IF($A477-T$3&lt;2,0,OFFSET('FPSO1 Base'!T474,-'FPSO1 Otim'!T$3,0))</f>
        <v>0</v>
      </c>
      <c r="U477" s="19">
        <f ca="1">IF($A477-U$3&lt;2,0,OFFSET('FPSO1 Base'!U474,-'FPSO1 Otim'!U$3,0))</f>
        <v>0</v>
      </c>
      <c r="V477" s="19">
        <f ca="1">IF($A477-V$3&lt;2,0,OFFSET('FPSO1 Base'!V474,-'FPSO1 Otim'!V$3,0))</f>
        <v>0</v>
      </c>
      <c r="W477" s="19">
        <f ca="1">IF($A477-W$3&lt;2,0,OFFSET('FPSO1 Base'!W474,-'FPSO1 Otim'!W$3,0))</f>
        <v>0</v>
      </c>
      <c r="X477" s="19">
        <f ca="1">IF($A477-X$3&lt;2,0,OFFSET('FPSO1 Base'!X474,-'FPSO1 Otim'!X$3,0))</f>
        <v>0</v>
      </c>
      <c r="Y477" s="19">
        <f ca="1">IF($A477-Y$3&lt;2,0,OFFSET('FPSO1 Base'!Y474,-'FPSO1 Otim'!Y$3,0))</f>
        <v>0</v>
      </c>
      <c r="Z477" s="19">
        <f ca="1">IF($A477-Z$3&lt;2,0,OFFSET('FPSO1 Base'!Z474,-'FPSO1 Otim'!Z$3,0))</f>
        <v>131.47980000000001</v>
      </c>
      <c r="AA477" s="20">
        <v>15000</v>
      </c>
      <c r="AB477" s="19">
        <f t="shared" ca="1" si="25"/>
        <v>1583.0128808196657</v>
      </c>
      <c r="AC477" s="20">
        <f t="shared" ca="1" si="26"/>
        <v>13416.987119180334</v>
      </c>
      <c r="AD477" s="19">
        <f t="shared" ca="1" si="27"/>
        <v>31.764492284228869</v>
      </c>
    </row>
    <row r="478" spans="1:30" x14ac:dyDescent="0.25">
      <c r="A478" s="19">
        <v>474</v>
      </c>
      <c r="B478" s="31">
        <v>60023</v>
      </c>
      <c r="C478" s="19">
        <f ca="1">IF($A478-C$3&lt;2,0,OFFSET('FPSO1 Base'!C475,-'FPSO1 Otim'!C$3,0))</f>
        <v>0</v>
      </c>
      <c r="D478" s="19">
        <f ca="1">IF($A478-D$3&lt;2,0,OFFSET('FPSO1 Base'!D475,-'FPSO1 Otim'!D$3,0))</f>
        <v>29.997184927921797</v>
      </c>
      <c r="E478" s="19">
        <f ca="1">IF($A478-E$3&lt;2,0,OFFSET('FPSO1 Base'!E475,-'FPSO1 Otim'!E$3,0))</f>
        <v>0</v>
      </c>
      <c r="F478" s="19">
        <f ca="1">IF($A478-F$3&lt;2,0,OFFSET('FPSO1 Base'!F475,-'FPSO1 Otim'!F$3,0))</f>
        <v>0</v>
      </c>
      <c r="G478" s="19">
        <f ca="1">IF($A478-G$3&lt;2,0,OFFSET('FPSO1 Base'!G475,-'FPSO1 Otim'!G$3,0))</f>
        <v>53.777207694854368</v>
      </c>
      <c r="H478" s="19">
        <f ca="1">IF($A478-H$3&lt;2,0,OFFSET('FPSO1 Base'!H475,-'FPSO1 Otim'!H$3,0))</f>
        <v>532.30500000000006</v>
      </c>
      <c r="I478" s="19">
        <f ca="1">IF($A478-I$3&lt;2,0,OFFSET('FPSO1 Base'!I475,-'FPSO1 Otim'!I$3,0))</f>
        <v>346.52699999999999</v>
      </c>
      <c r="J478" s="19">
        <f ca="1">IF($A478-J$3&lt;2,0,OFFSET('FPSO1 Base'!J475,-'FPSO1 Otim'!J$3,0))</f>
        <v>168.8475</v>
      </c>
      <c r="K478" s="19">
        <f ca="1">IF($A478-K$3&lt;2,0,OFFSET('FPSO1 Base'!K475,-'FPSO1 Otim'!K$3,0))</f>
        <v>0</v>
      </c>
      <c r="L478" s="19">
        <f ca="1">IF($A478-L$3&lt;2,0,OFFSET('FPSO1 Base'!L475,-'FPSO1 Otim'!L$3,0))</f>
        <v>0</v>
      </c>
      <c r="M478" s="19">
        <f ca="1">IF($A478-M$3&lt;2,0,OFFSET('FPSO1 Base'!M475,-'FPSO1 Otim'!M$3,0))</f>
        <v>0</v>
      </c>
      <c r="N478" s="19">
        <f ca="1">IF($A478-N$3&lt;2,0,OFFSET('FPSO1 Base'!N475,-'FPSO1 Otim'!N$3,0))</f>
        <v>2.980048128136354</v>
      </c>
      <c r="O478" s="19">
        <f ca="1">IF($A478-O$3&lt;2,0,OFFSET('FPSO1 Base'!O475,-'FPSO1 Otim'!O$3,0))</f>
        <v>64.105273541519324</v>
      </c>
      <c r="P478" s="19">
        <f ca="1">IF($A478-P$3&lt;2,0,OFFSET('FPSO1 Base'!P475,-'FPSO1 Otim'!P$3,0))</f>
        <v>0</v>
      </c>
      <c r="Q478" s="19">
        <f ca="1">IF($A478-Q$3&lt;2,0,OFFSET('FPSO1 Base'!Q475,-'FPSO1 Otim'!Q$3,0))</f>
        <v>0</v>
      </c>
      <c r="R478" s="19">
        <f ca="1">IF($A478-R$3&lt;2,0,OFFSET('FPSO1 Base'!R475,-'FPSO1 Otim'!R$3,0))</f>
        <v>5.289105719037213</v>
      </c>
      <c r="S478" s="19">
        <f ca="1">IF($A478-S$3&lt;2,0,OFFSET('FPSO1 Base'!S475,-'FPSO1 Otim'!S$3,0))</f>
        <v>245.0745</v>
      </c>
      <c r="T478" s="19">
        <f ca="1">IF($A478-T$3&lt;2,0,OFFSET('FPSO1 Base'!T475,-'FPSO1 Otim'!T$3,0))</f>
        <v>0</v>
      </c>
      <c r="U478" s="19">
        <f ca="1">IF($A478-U$3&lt;2,0,OFFSET('FPSO1 Base'!U475,-'FPSO1 Otim'!U$3,0))</f>
        <v>0</v>
      </c>
      <c r="V478" s="19">
        <f ca="1">IF($A478-V$3&lt;2,0,OFFSET('FPSO1 Base'!V475,-'FPSO1 Otim'!V$3,0))</f>
        <v>0</v>
      </c>
      <c r="W478" s="19">
        <f ca="1">IF($A478-W$3&lt;2,0,OFFSET('FPSO1 Base'!W475,-'FPSO1 Otim'!W$3,0))</f>
        <v>0</v>
      </c>
      <c r="X478" s="19">
        <f ca="1">IF($A478-X$3&lt;2,0,OFFSET('FPSO1 Base'!X475,-'FPSO1 Otim'!X$3,0))</f>
        <v>0</v>
      </c>
      <c r="Y478" s="19">
        <f ca="1">IF($A478-Y$3&lt;2,0,OFFSET('FPSO1 Base'!Y475,-'FPSO1 Otim'!Y$3,0))</f>
        <v>0</v>
      </c>
      <c r="Z478" s="19">
        <f ca="1">IF($A478-Z$3&lt;2,0,OFFSET('FPSO1 Base'!Z475,-'FPSO1 Otim'!Z$3,0))</f>
        <v>130.9008</v>
      </c>
      <c r="AA478" s="20">
        <v>15000</v>
      </c>
      <c r="AB478" s="19">
        <f t="shared" ca="1" si="25"/>
        <v>1579.8036200114693</v>
      </c>
      <c r="AC478" s="20">
        <f t="shared" ca="1" si="26"/>
        <v>13420.196379988531</v>
      </c>
      <c r="AD478" s="19">
        <f t="shared" ca="1" si="27"/>
        <v>31.438111489473002</v>
      </c>
    </row>
    <row r="479" spans="1:30" x14ac:dyDescent="0.25">
      <c r="A479" s="19">
        <v>475</v>
      </c>
      <c r="B479" s="31">
        <v>60054</v>
      </c>
      <c r="C479" s="19">
        <f ca="1">IF($A479-C$3&lt;2,0,OFFSET('FPSO1 Base'!C476,-'FPSO1 Otim'!C$3,0))</f>
        <v>0</v>
      </c>
      <c r="D479" s="19">
        <f ca="1">IF($A479-D$3&lt;2,0,OFFSET('FPSO1 Base'!D476,-'FPSO1 Otim'!D$3,0))</f>
        <v>29.69721307864258</v>
      </c>
      <c r="E479" s="19">
        <f ca="1">IF($A479-E$3&lt;2,0,OFFSET('FPSO1 Base'!E476,-'FPSO1 Otim'!E$3,0))</f>
        <v>0</v>
      </c>
      <c r="F479" s="19">
        <f ca="1">IF($A479-F$3&lt;2,0,OFFSET('FPSO1 Base'!F476,-'FPSO1 Otim'!F$3,0))</f>
        <v>0</v>
      </c>
      <c r="G479" s="19">
        <f ca="1">IF($A479-G$3&lt;2,0,OFFSET('FPSO1 Base'!G476,-'FPSO1 Otim'!G$3,0))</f>
        <v>53.239435617905826</v>
      </c>
      <c r="H479" s="19">
        <f ca="1">IF($A479-H$3&lt;2,0,OFFSET('FPSO1 Base'!H476,-'FPSO1 Otim'!H$3,0))</f>
        <v>532.32449999999994</v>
      </c>
      <c r="I479" s="19">
        <f ca="1">IF($A479-I$3&lt;2,0,OFFSET('FPSO1 Base'!I476,-'FPSO1 Otim'!I$3,0))</f>
        <v>346.137</v>
      </c>
      <c r="J479" s="19">
        <f ca="1">IF($A479-J$3&lt;2,0,OFFSET('FPSO1 Base'!J476,-'FPSO1 Otim'!J$3,0))</f>
        <v>168.6525</v>
      </c>
      <c r="K479" s="19">
        <f ca="1">IF($A479-K$3&lt;2,0,OFFSET('FPSO1 Base'!K476,-'FPSO1 Otim'!K$3,0))</f>
        <v>0</v>
      </c>
      <c r="L479" s="19">
        <f ca="1">IF($A479-L$3&lt;2,0,OFFSET('FPSO1 Base'!L476,-'FPSO1 Otim'!L$3,0))</f>
        <v>0</v>
      </c>
      <c r="M479" s="19">
        <f ca="1">IF($A479-M$3&lt;2,0,OFFSET('FPSO1 Base'!M476,-'FPSO1 Otim'!M$3,0))</f>
        <v>0</v>
      </c>
      <c r="N479" s="19">
        <f ca="1">IF($A479-N$3&lt;2,0,OFFSET('FPSO1 Base'!N476,-'FPSO1 Otim'!N$3,0))</f>
        <v>2.9502476468549905</v>
      </c>
      <c r="O479" s="19">
        <f ca="1">IF($A479-O$3&lt;2,0,OFFSET('FPSO1 Base'!O476,-'FPSO1 Otim'!O$3,0))</f>
        <v>63.46422080610413</v>
      </c>
      <c r="P479" s="19">
        <f ca="1">IF($A479-P$3&lt;2,0,OFFSET('FPSO1 Base'!P476,-'FPSO1 Otim'!P$3,0))</f>
        <v>0</v>
      </c>
      <c r="Q479" s="19">
        <f ca="1">IF($A479-Q$3&lt;2,0,OFFSET('FPSO1 Base'!Q476,-'FPSO1 Otim'!Q$3,0))</f>
        <v>0</v>
      </c>
      <c r="R479" s="19">
        <f ca="1">IF($A479-R$3&lt;2,0,OFFSET('FPSO1 Base'!R476,-'FPSO1 Otim'!R$3,0))</f>
        <v>5.2362146618468408</v>
      </c>
      <c r="S479" s="19">
        <f ca="1">IF($A479-S$3&lt;2,0,OFFSET('FPSO1 Base'!S476,-'FPSO1 Otim'!S$3,0))</f>
        <v>244.71750000000003</v>
      </c>
      <c r="T479" s="19">
        <f ca="1">IF($A479-T$3&lt;2,0,OFFSET('FPSO1 Base'!T476,-'FPSO1 Otim'!T$3,0))</f>
        <v>0</v>
      </c>
      <c r="U479" s="19">
        <f ca="1">IF($A479-U$3&lt;2,0,OFFSET('FPSO1 Base'!U476,-'FPSO1 Otim'!U$3,0))</f>
        <v>0</v>
      </c>
      <c r="V479" s="19">
        <f ca="1">IF($A479-V$3&lt;2,0,OFFSET('FPSO1 Base'!V476,-'FPSO1 Otim'!V$3,0))</f>
        <v>0</v>
      </c>
      <c r="W479" s="19">
        <f ca="1">IF($A479-W$3&lt;2,0,OFFSET('FPSO1 Base'!W476,-'FPSO1 Otim'!W$3,0))</f>
        <v>0</v>
      </c>
      <c r="X479" s="19">
        <f ca="1">IF($A479-X$3&lt;2,0,OFFSET('FPSO1 Base'!X476,-'FPSO1 Otim'!X$3,0))</f>
        <v>0</v>
      </c>
      <c r="Y479" s="19">
        <f ca="1">IF($A479-Y$3&lt;2,0,OFFSET('FPSO1 Base'!Y476,-'FPSO1 Otim'!Y$3,0))</f>
        <v>0</v>
      </c>
      <c r="Z479" s="19">
        <f ca="1">IF($A479-Z$3&lt;2,0,OFFSET('FPSO1 Base'!Z476,-'FPSO1 Otim'!Z$3,0))</f>
        <v>130.29435000000001</v>
      </c>
      <c r="AA479" s="20">
        <v>15000</v>
      </c>
      <c r="AB479" s="19">
        <f t="shared" ca="1" si="25"/>
        <v>1576.7131818113539</v>
      </c>
      <c r="AC479" s="20">
        <f t="shared" ca="1" si="26"/>
        <v>13423.286818188646</v>
      </c>
      <c r="AD479" s="19">
        <f t="shared" ca="1" si="27"/>
        <v>31.117300890485808</v>
      </c>
    </row>
    <row r="480" spans="1:30" x14ac:dyDescent="0.25">
      <c r="A480" s="19">
        <v>476</v>
      </c>
      <c r="B480" s="31">
        <v>60084</v>
      </c>
      <c r="C480" s="19">
        <f ca="1">IF($A480-C$3&lt;2,0,OFFSET('FPSO1 Base'!C477,-'FPSO1 Otim'!C$3,0))</f>
        <v>0</v>
      </c>
      <c r="D480" s="19">
        <f ca="1">IF($A480-D$3&lt;2,0,OFFSET('FPSO1 Base'!D477,-'FPSO1 Otim'!D$3,0))</f>
        <v>29.400240947856155</v>
      </c>
      <c r="E480" s="19">
        <f ca="1">IF($A480-E$3&lt;2,0,OFFSET('FPSO1 Base'!E477,-'FPSO1 Otim'!E$3,0))</f>
        <v>0</v>
      </c>
      <c r="F480" s="19">
        <f ca="1">IF($A480-F$3&lt;2,0,OFFSET('FPSO1 Base'!F477,-'FPSO1 Otim'!F$3,0))</f>
        <v>0</v>
      </c>
      <c r="G480" s="19">
        <f ca="1">IF($A480-G$3&lt;2,0,OFFSET('FPSO1 Base'!G477,-'FPSO1 Otim'!G$3,0))</f>
        <v>52.707041261726765</v>
      </c>
      <c r="H480" s="19">
        <f ca="1">IF($A480-H$3&lt;2,0,OFFSET('FPSO1 Base'!H477,-'FPSO1 Otim'!H$3,0))</f>
        <v>532.35299999999995</v>
      </c>
      <c r="I480" s="19">
        <f ca="1">IF($A480-I$3&lt;2,0,OFFSET('FPSO1 Base'!I477,-'FPSO1 Otim'!I$3,0))</f>
        <v>345.72450000000003</v>
      </c>
      <c r="J480" s="19">
        <f ca="1">IF($A480-J$3&lt;2,0,OFFSET('FPSO1 Base'!J477,-'FPSO1 Otim'!J$3,0))</f>
        <v>168.45600000000002</v>
      </c>
      <c r="K480" s="19">
        <f ca="1">IF($A480-K$3&lt;2,0,OFFSET('FPSO1 Base'!K477,-'FPSO1 Otim'!K$3,0))</f>
        <v>0</v>
      </c>
      <c r="L480" s="19">
        <f ca="1">IF($A480-L$3&lt;2,0,OFFSET('FPSO1 Base'!L477,-'FPSO1 Otim'!L$3,0))</f>
        <v>0</v>
      </c>
      <c r="M480" s="19">
        <f ca="1">IF($A480-M$3&lt;2,0,OFFSET('FPSO1 Base'!M477,-'FPSO1 Otim'!M$3,0))</f>
        <v>0</v>
      </c>
      <c r="N480" s="19">
        <f ca="1">IF($A480-N$3&lt;2,0,OFFSET('FPSO1 Base'!N477,-'FPSO1 Otim'!N$3,0))</f>
        <v>2.9207451703864407</v>
      </c>
      <c r="O480" s="19">
        <f ca="1">IF($A480-O$3&lt;2,0,OFFSET('FPSO1 Base'!O477,-'FPSO1 Otim'!O$3,0))</f>
        <v>62.829578598043085</v>
      </c>
      <c r="P480" s="19">
        <f ca="1">IF($A480-P$3&lt;2,0,OFFSET('FPSO1 Base'!P477,-'FPSO1 Otim'!P$3,0))</f>
        <v>0</v>
      </c>
      <c r="Q480" s="19">
        <f ca="1">IF($A480-Q$3&lt;2,0,OFFSET('FPSO1 Base'!Q477,-'FPSO1 Otim'!Q$3,0))</f>
        <v>0</v>
      </c>
      <c r="R480" s="19">
        <f ca="1">IF($A480-R$3&lt;2,0,OFFSET('FPSO1 Base'!R477,-'FPSO1 Otim'!R$3,0))</f>
        <v>5.1838525152283728</v>
      </c>
      <c r="S480" s="19">
        <f ca="1">IF($A480-S$3&lt;2,0,OFFSET('FPSO1 Base'!S477,-'FPSO1 Otim'!S$3,0))</f>
        <v>244.37549999999999</v>
      </c>
      <c r="T480" s="19">
        <f ca="1">IF($A480-T$3&lt;2,0,OFFSET('FPSO1 Base'!T477,-'FPSO1 Otim'!T$3,0))</f>
        <v>0</v>
      </c>
      <c r="U480" s="19">
        <f ca="1">IF($A480-U$3&lt;2,0,OFFSET('FPSO1 Base'!U477,-'FPSO1 Otim'!U$3,0))</f>
        <v>0</v>
      </c>
      <c r="V480" s="19">
        <f ca="1">IF($A480-V$3&lt;2,0,OFFSET('FPSO1 Base'!V477,-'FPSO1 Otim'!V$3,0))</f>
        <v>0</v>
      </c>
      <c r="W480" s="19">
        <f ca="1">IF($A480-W$3&lt;2,0,OFFSET('FPSO1 Base'!W477,-'FPSO1 Otim'!W$3,0))</f>
        <v>0</v>
      </c>
      <c r="X480" s="19">
        <f ca="1">IF($A480-X$3&lt;2,0,OFFSET('FPSO1 Base'!X477,-'FPSO1 Otim'!X$3,0))</f>
        <v>0</v>
      </c>
      <c r="Y480" s="19">
        <f ca="1">IF($A480-Y$3&lt;2,0,OFFSET('FPSO1 Base'!Y477,-'FPSO1 Otim'!Y$3,0))</f>
        <v>0</v>
      </c>
      <c r="Z480" s="19">
        <f ca="1">IF($A480-Z$3&lt;2,0,OFFSET('FPSO1 Base'!Z477,-'FPSO1 Otim'!Z$3,0))</f>
        <v>129.57495</v>
      </c>
      <c r="AA480" s="20">
        <v>15000</v>
      </c>
      <c r="AB480" s="19">
        <f t="shared" ca="1" si="25"/>
        <v>1573.525408493241</v>
      </c>
      <c r="AC480" s="20">
        <f t="shared" ca="1" si="26"/>
        <v>13426.47459150676</v>
      </c>
      <c r="AD480" s="19">
        <f t="shared" ca="1" si="27"/>
        <v>30.797740594401052</v>
      </c>
    </row>
    <row r="481" spans="1:30" x14ac:dyDescent="0.25">
      <c r="A481" s="19">
        <v>477</v>
      </c>
      <c r="B481" s="31">
        <v>60115</v>
      </c>
      <c r="C481" s="19">
        <f ca="1">IF($A481-C$3&lt;2,0,OFFSET('FPSO1 Base'!C478,-'FPSO1 Otim'!C$3,0))</f>
        <v>0</v>
      </c>
      <c r="D481" s="19">
        <f ca="1">IF($A481-D$3&lt;2,0,OFFSET('FPSO1 Base'!D478,-'FPSO1 Otim'!D$3,0))</f>
        <v>29.106238538377593</v>
      </c>
      <c r="E481" s="19">
        <f ca="1">IF($A481-E$3&lt;2,0,OFFSET('FPSO1 Base'!E478,-'FPSO1 Otim'!E$3,0))</f>
        <v>0</v>
      </c>
      <c r="F481" s="19">
        <f ca="1">IF($A481-F$3&lt;2,0,OFFSET('FPSO1 Base'!F478,-'FPSO1 Otim'!F$3,0))</f>
        <v>0</v>
      </c>
      <c r="G481" s="19">
        <f ca="1">IF($A481-G$3&lt;2,0,OFFSET('FPSO1 Base'!G478,-'FPSO1 Otim'!G$3,0))</f>
        <v>52.179970849109495</v>
      </c>
      <c r="H481" s="19">
        <f ca="1">IF($A481-H$3&lt;2,0,OFFSET('FPSO1 Base'!H478,-'FPSO1 Otim'!H$3,0))</f>
        <v>532.37250000000006</v>
      </c>
      <c r="I481" s="19">
        <f ca="1">IF($A481-I$3&lt;2,0,OFFSET('FPSO1 Base'!I478,-'FPSO1 Otim'!I$3,0))</f>
        <v>345.339</v>
      </c>
      <c r="J481" s="19">
        <f ca="1">IF($A481-J$3&lt;2,0,OFFSET('FPSO1 Base'!J478,-'FPSO1 Otim'!J$3,0))</f>
        <v>168.2655</v>
      </c>
      <c r="K481" s="19">
        <f ca="1">IF($A481-K$3&lt;2,0,OFFSET('FPSO1 Base'!K478,-'FPSO1 Otim'!K$3,0))</f>
        <v>0</v>
      </c>
      <c r="L481" s="19">
        <f ca="1">IF($A481-L$3&lt;2,0,OFFSET('FPSO1 Base'!L478,-'FPSO1 Otim'!L$3,0))</f>
        <v>0</v>
      </c>
      <c r="M481" s="19">
        <f ca="1">IF($A481-M$3&lt;2,0,OFFSET('FPSO1 Base'!M478,-'FPSO1 Otim'!M$3,0))</f>
        <v>0</v>
      </c>
      <c r="N481" s="19">
        <f ca="1">IF($A481-N$3&lt;2,0,OFFSET('FPSO1 Base'!N478,-'FPSO1 Otim'!N$3,0))</f>
        <v>0</v>
      </c>
      <c r="O481" s="19">
        <f ca="1">IF($A481-O$3&lt;2,0,OFFSET('FPSO1 Base'!O478,-'FPSO1 Otim'!O$3,0))</f>
        <v>62.201282812062651</v>
      </c>
      <c r="P481" s="19">
        <f ca="1">IF($A481-P$3&lt;2,0,OFFSET('FPSO1 Base'!P478,-'FPSO1 Otim'!P$3,0))</f>
        <v>0</v>
      </c>
      <c r="Q481" s="19">
        <f ca="1">IF($A481-Q$3&lt;2,0,OFFSET('FPSO1 Base'!Q478,-'FPSO1 Otim'!Q$3,0))</f>
        <v>0</v>
      </c>
      <c r="R481" s="19">
        <f ca="1">IF($A481-R$3&lt;2,0,OFFSET('FPSO1 Base'!R478,-'FPSO1 Otim'!R$3,0))</f>
        <v>5.1320139900760893</v>
      </c>
      <c r="S481" s="19">
        <f ca="1">IF($A481-S$3&lt;2,0,OFFSET('FPSO1 Base'!S478,-'FPSO1 Otim'!S$3,0))</f>
        <v>243.9915</v>
      </c>
      <c r="T481" s="19">
        <f ca="1">IF($A481-T$3&lt;2,0,OFFSET('FPSO1 Base'!T478,-'FPSO1 Otim'!T$3,0))</f>
        <v>0</v>
      </c>
      <c r="U481" s="19">
        <f ca="1">IF($A481-U$3&lt;2,0,OFFSET('FPSO1 Base'!U478,-'FPSO1 Otim'!U$3,0))</f>
        <v>0</v>
      </c>
      <c r="V481" s="19">
        <f ca="1">IF($A481-V$3&lt;2,0,OFFSET('FPSO1 Base'!V478,-'FPSO1 Otim'!V$3,0))</f>
        <v>0</v>
      </c>
      <c r="W481" s="19">
        <f ca="1">IF($A481-W$3&lt;2,0,OFFSET('FPSO1 Base'!W478,-'FPSO1 Otim'!W$3,0))</f>
        <v>0</v>
      </c>
      <c r="X481" s="19">
        <f ca="1">IF($A481-X$3&lt;2,0,OFFSET('FPSO1 Base'!X478,-'FPSO1 Otim'!X$3,0))</f>
        <v>0</v>
      </c>
      <c r="Y481" s="19">
        <f ca="1">IF($A481-Y$3&lt;2,0,OFFSET('FPSO1 Base'!Y478,-'FPSO1 Otim'!Y$3,0))</f>
        <v>0</v>
      </c>
      <c r="Z481" s="19">
        <f ca="1">IF($A481-Z$3&lt;2,0,OFFSET('FPSO1 Base'!Z478,-'FPSO1 Otim'!Z$3,0))</f>
        <v>128.89109999999999</v>
      </c>
      <c r="AA481" s="20">
        <v>15000</v>
      </c>
      <c r="AB481" s="19">
        <f t="shared" ca="1" si="25"/>
        <v>1567.479106189626</v>
      </c>
      <c r="AC481" s="20">
        <f t="shared" ca="1" si="26"/>
        <v>13432.520893810373</v>
      </c>
      <c r="AD481" s="19">
        <f t="shared" ca="1" si="27"/>
        <v>30.42585091334686</v>
      </c>
    </row>
    <row r="482" spans="1:30" x14ac:dyDescent="0.25">
      <c r="A482" s="19">
        <v>478</v>
      </c>
      <c r="B482" s="31">
        <v>60146</v>
      </c>
      <c r="C482" s="19">
        <f ca="1">IF($A482-C$3&lt;2,0,OFFSET('FPSO1 Base'!C479,-'FPSO1 Otim'!C$3,0))</f>
        <v>0</v>
      </c>
      <c r="D482" s="19">
        <f ca="1">IF($A482-D$3&lt;2,0,OFFSET('FPSO1 Base'!D479,-'FPSO1 Otim'!D$3,0))</f>
        <v>28.815176152993818</v>
      </c>
      <c r="E482" s="19">
        <f ca="1">IF($A482-E$3&lt;2,0,OFFSET('FPSO1 Base'!E479,-'FPSO1 Otim'!E$3,0))</f>
        <v>0</v>
      </c>
      <c r="F482" s="19">
        <f ca="1">IF($A482-F$3&lt;2,0,OFFSET('FPSO1 Base'!F479,-'FPSO1 Otim'!F$3,0))</f>
        <v>0</v>
      </c>
      <c r="G482" s="19">
        <f ca="1">IF($A482-G$3&lt;2,0,OFFSET('FPSO1 Base'!G479,-'FPSO1 Otim'!G$3,0))</f>
        <v>51.6581711406184</v>
      </c>
      <c r="H482" s="19">
        <f ca="1">IF($A482-H$3&lt;2,0,OFFSET('FPSO1 Base'!H479,-'FPSO1 Otim'!H$3,0))</f>
        <v>532.39949999999999</v>
      </c>
      <c r="I482" s="19">
        <f ca="1">IF($A482-I$3&lt;2,0,OFFSET('FPSO1 Base'!I479,-'FPSO1 Otim'!I$3,0))</f>
        <v>344.89949999999999</v>
      </c>
      <c r="J482" s="19">
        <f ca="1">IF($A482-J$3&lt;2,0,OFFSET('FPSO1 Base'!J479,-'FPSO1 Otim'!J$3,0))</f>
        <v>168.02549999999999</v>
      </c>
      <c r="K482" s="19">
        <f ca="1">IF($A482-K$3&lt;2,0,OFFSET('FPSO1 Base'!K479,-'FPSO1 Otim'!K$3,0))</f>
        <v>0</v>
      </c>
      <c r="L482" s="19">
        <f ca="1">IF($A482-L$3&lt;2,0,OFFSET('FPSO1 Base'!L479,-'FPSO1 Otim'!L$3,0))</f>
        <v>0</v>
      </c>
      <c r="M482" s="19">
        <f ca="1">IF($A482-M$3&lt;2,0,OFFSET('FPSO1 Base'!M479,-'FPSO1 Otim'!M$3,0))</f>
        <v>0</v>
      </c>
      <c r="N482" s="19">
        <f ca="1">IF($A482-N$3&lt;2,0,OFFSET('FPSO1 Base'!N479,-'FPSO1 Otim'!N$3,0))</f>
        <v>0</v>
      </c>
      <c r="O482" s="19">
        <f ca="1">IF($A482-O$3&lt;2,0,OFFSET('FPSO1 Base'!O479,-'FPSO1 Otim'!O$3,0))</f>
        <v>61.579269983942027</v>
      </c>
      <c r="P482" s="19">
        <f ca="1">IF($A482-P$3&lt;2,0,OFFSET('FPSO1 Base'!P479,-'FPSO1 Otim'!P$3,0))</f>
        <v>0</v>
      </c>
      <c r="Q482" s="19">
        <f ca="1">IF($A482-Q$3&lt;2,0,OFFSET('FPSO1 Base'!Q479,-'FPSO1 Otim'!Q$3,0))</f>
        <v>0</v>
      </c>
      <c r="R482" s="19">
        <f ca="1">IF($A482-R$3&lt;2,0,OFFSET('FPSO1 Base'!R479,-'FPSO1 Otim'!R$3,0))</f>
        <v>5.0806938501753285</v>
      </c>
      <c r="S482" s="19">
        <f ca="1">IF($A482-S$3&lt;2,0,OFFSET('FPSO1 Base'!S479,-'FPSO1 Otim'!S$3,0))</f>
        <v>243.678</v>
      </c>
      <c r="T482" s="19">
        <f ca="1">IF($A482-T$3&lt;2,0,OFFSET('FPSO1 Base'!T479,-'FPSO1 Otim'!T$3,0))</f>
        <v>0</v>
      </c>
      <c r="U482" s="19">
        <f ca="1">IF($A482-U$3&lt;2,0,OFFSET('FPSO1 Base'!U479,-'FPSO1 Otim'!U$3,0))</f>
        <v>0</v>
      </c>
      <c r="V482" s="19">
        <f ca="1">IF($A482-V$3&lt;2,0,OFFSET('FPSO1 Base'!V479,-'FPSO1 Otim'!V$3,0))</f>
        <v>0</v>
      </c>
      <c r="W482" s="19">
        <f ca="1">IF($A482-W$3&lt;2,0,OFFSET('FPSO1 Base'!W479,-'FPSO1 Otim'!W$3,0))</f>
        <v>0</v>
      </c>
      <c r="X482" s="19">
        <f ca="1">IF($A482-X$3&lt;2,0,OFFSET('FPSO1 Base'!X479,-'FPSO1 Otim'!X$3,0))</f>
        <v>0</v>
      </c>
      <c r="Y482" s="19">
        <f ca="1">IF($A482-Y$3&lt;2,0,OFFSET('FPSO1 Base'!Y479,-'FPSO1 Otim'!Y$3,0))</f>
        <v>0</v>
      </c>
      <c r="Z482" s="19">
        <f ca="1">IF($A482-Z$3&lt;2,0,OFFSET('FPSO1 Base'!Z479,-'FPSO1 Otim'!Z$3,0))</f>
        <v>0</v>
      </c>
      <c r="AA482" s="20">
        <v>15000</v>
      </c>
      <c r="AB482" s="19">
        <f t="shared" ca="1" si="25"/>
        <v>1436.1358111277295</v>
      </c>
      <c r="AC482" s="20">
        <f t="shared" ca="1" si="26"/>
        <v>13563.86418887227</v>
      </c>
      <c r="AD482" s="19">
        <f t="shared" ca="1" si="27"/>
        <v>27.646003574444759</v>
      </c>
    </row>
    <row r="483" spans="1:30" x14ac:dyDescent="0.25">
      <c r="A483" s="19">
        <v>479</v>
      </c>
      <c r="B483" s="31">
        <v>60176</v>
      </c>
      <c r="C483" s="19">
        <f ca="1">IF($A483-C$3&lt;2,0,OFFSET('FPSO1 Base'!C480,-'FPSO1 Otim'!C$3,0))</f>
        <v>0</v>
      </c>
      <c r="D483" s="19">
        <f ca="1">IF($A483-D$3&lt;2,0,OFFSET('FPSO1 Base'!D480,-'FPSO1 Otim'!D$3,0))</f>
        <v>28.527024391463879</v>
      </c>
      <c r="E483" s="19">
        <f ca="1">IF($A483-E$3&lt;2,0,OFFSET('FPSO1 Base'!E480,-'FPSO1 Otim'!E$3,0))</f>
        <v>0</v>
      </c>
      <c r="F483" s="19">
        <f ca="1">IF($A483-F$3&lt;2,0,OFFSET('FPSO1 Base'!F480,-'FPSO1 Otim'!F$3,0))</f>
        <v>0</v>
      </c>
      <c r="G483" s="19">
        <f ca="1">IF($A483-G$3&lt;2,0,OFFSET('FPSO1 Base'!G480,-'FPSO1 Otim'!G$3,0))</f>
        <v>51.141589429212218</v>
      </c>
      <c r="H483" s="19">
        <f ca="1">IF($A483-H$3&lt;2,0,OFFSET('FPSO1 Base'!H480,-'FPSO1 Otim'!H$3,0))</f>
        <v>532.44749999999999</v>
      </c>
      <c r="I483" s="19">
        <f ca="1">IF($A483-I$3&lt;2,0,OFFSET('FPSO1 Base'!I480,-'FPSO1 Otim'!I$3,0))</f>
        <v>344.46750000000003</v>
      </c>
      <c r="J483" s="19">
        <f ca="1">IF($A483-J$3&lt;2,0,OFFSET('FPSO1 Base'!J480,-'FPSO1 Otim'!J$3,0))</f>
        <v>167.7825</v>
      </c>
      <c r="K483" s="19">
        <f ca="1">IF($A483-K$3&lt;2,0,OFFSET('FPSO1 Base'!K480,-'FPSO1 Otim'!K$3,0))</f>
        <v>0</v>
      </c>
      <c r="L483" s="19">
        <f ca="1">IF($A483-L$3&lt;2,0,OFFSET('FPSO1 Base'!L480,-'FPSO1 Otim'!L$3,0))</f>
        <v>0</v>
      </c>
      <c r="M483" s="19">
        <f ca="1">IF($A483-M$3&lt;2,0,OFFSET('FPSO1 Base'!M480,-'FPSO1 Otim'!M$3,0))</f>
        <v>0</v>
      </c>
      <c r="N483" s="19">
        <f ca="1">IF($A483-N$3&lt;2,0,OFFSET('FPSO1 Base'!N480,-'FPSO1 Otim'!N$3,0))</f>
        <v>0</v>
      </c>
      <c r="O483" s="19">
        <f ca="1">IF($A483-O$3&lt;2,0,OFFSET('FPSO1 Base'!O480,-'FPSO1 Otim'!O$3,0))</f>
        <v>60.963477284102609</v>
      </c>
      <c r="P483" s="19">
        <f ca="1">IF($A483-P$3&lt;2,0,OFFSET('FPSO1 Base'!P480,-'FPSO1 Otim'!P$3,0))</f>
        <v>0</v>
      </c>
      <c r="Q483" s="19">
        <f ca="1">IF($A483-Q$3&lt;2,0,OFFSET('FPSO1 Base'!Q480,-'FPSO1 Otim'!Q$3,0))</f>
        <v>0</v>
      </c>
      <c r="R483" s="19">
        <f ca="1">IF($A483-R$3&lt;2,0,OFFSET('FPSO1 Base'!R480,-'FPSO1 Otim'!R$3,0))</f>
        <v>5.0298869116735752</v>
      </c>
      <c r="S483" s="19">
        <f ca="1">IF($A483-S$3&lt;2,0,OFFSET('FPSO1 Base'!S480,-'FPSO1 Otim'!S$3,0))</f>
        <v>243.285</v>
      </c>
      <c r="T483" s="19">
        <f ca="1">IF($A483-T$3&lt;2,0,OFFSET('FPSO1 Base'!T480,-'FPSO1 Otim'!T$3,0))</f>
        <v>0</v>
      </c>
      <c r="U483" s="19">
        <f ca="1">IF($A483-U$3&lt;2,0,OFFSET('FPSO1 Base'!U480,-'FPSO1 Otim'!U$3,0))</f>
        <v>0</v>
      </c>
      <c r="V483" s="19">
        <f ca="1">IF($A483-V$3&lt;2,0,OFFSET('FPSO1 Base'!V480,-'FPSO1 Otim'!V$3,0))</f>
        <v>0</v>
      </c>
      <c r="W483" s="19">
        <f ca="1">IF($A483-W$3&lt;2,0,OFFSET('FPSO1 Base'!W480,-'FPSO1 Otim'!W$3,0))</f>
        <v>0</v>
      </c>
      <c r="X483" s="19">
        <f ca="1">IF($A483-X$3&lt;2,0,OFFSET('FPSO1 Base'!X480,-'FPSO1 Otim'!X$3,0))</f>
        <v>0</v>
      </c>
      <c r="Y483" s="19">
        <f ca="1">IF($A483-Y$3&lt;2,0,OFFSET('FPSO1 Base'!Y480,-'FPSO1 Otim'!Y$3,0))</f>
        <v>0</v>
      </c>
      <c r="Z483" s="19">
        <f ca="1">IF($A483-Z$3&lt;2,0,OFFSET('FPSO1 Base'!Z480,-'FPSO1 Otim'!Z$3,0))</f>
        <v>0</v>
      </c>
      <c r="AA483" s="20">
        <v>15000</v>
      </c>
      <c r="AB483" s="19">
        <f t="shared" ca="1" si="25"/>
        <v>1433.6444780164525</v>
      </c>
      <c r="AC483" s="20">
        <f t="shared" ca="1" si="26"/>
        <v>13566.355521983547</v>
      </c>
      <c r="AD483" s="19">
        <f t="shared" ca="1" si="27"/>
        <v>27.369961722516862</v>
      </c>
    </row>
    <row r="484" spans="1:30" x14ac:dyDescent="0.25">
      <c r="A484" s="19">
        <v>480</v>
      </c>
      <c r="B484" s="31">
        <v>60207</v>
      </c>
      <c r="C484" s="19">
        <f ca="1">IF($A484-C$3&lt;2,0,OFFSET('FPSO1 Base'!C481,-'FPSO1 Otim'!C$3,0))</f>
        <v>0</v>
      </c>
      <c r="D484" s="19">
        <f ca="1">IF($A484-D$3&lt;2,0,OFFSET('FPSO1 Base'!D481,-'FPSO1 Otim'!D$3,0))</f>
        <v>28.241754147549241</v>
      </c>
      <c r="E484" s="19">
        <f ca="1">IF($A484-E$3&lt;2,0,OFFSET('FPSO1 Base'!E481,-'FPSO1 Otim'!E$3,0))</f>
        <v>0</v>
      </c>
      <c r="F484" s="19">
        <f ca="1">IF($A484-F$3&lt;2,0,OFFSET('FPSO1 Base'!F481,-'FPSO1 Otim'!F$3,0))</f>
        <v>0</v>
      </c>
      <c r="G484" s="19">
        <f ca="1">IF($A484-G$3&lt;2,0,OFFSET('FPSO1 Base'!G481,-'FPSO1 Otim'!G$3,0))</f>
        <v>50.630173534920097</v>
      </c>
      <c r="H484" s="19">
        <f ca="1">IF($A484-H$3&lt;2,0,OFFSET('FPSO1 Base'!H481,-'FPSO1 Otim'!H$3,0))</f>
        <v>532.4190000000001</v>
      </c>
      <c r="I484" s="19">
        <f ca="1">IF($A484-I$3&lt;2,0,OFFSET('FPSO1 Base'!I481,-'FPSO1 Otim'!I$3,0))</f>
        <v>344.10449999999997</v>
      </c>
      <c r="J484" s="19">
        <f ca="1">IF($A484-J$3&lt;2,0,OFFSET('FPSO1 Base'!J481,-'FPSO1 Otim'!J$3,0))</f>
        <v>167.4495</v>
      </c>
      <c r="K484" s="19">
        <f ca="1">IF($A484-K$3&lt;2,0,OFFSET('FPSO1 Base'!K481,-'FPSO1 Otim'!K$3,0))</f>
        <v>0</v>
      </c>
      <c r="L484" s="19">
        <f ca="1">IF($A484-L$3&lt;2,0,OFFSET('FPSO1 Base'!L481,-'FPSO1 Otim'!L$3,0))</f>
        <v>0</v>
      </c>
      <c r="M484" s="19">
        <f ca="1">IF($A484-M$3&lt;2,0,OFFSET('FPSO1 Base'!M481,-'FPSO1 Otim'!M$3,0))</f>
        <v>0</v>
      </c>
      <c r="N484" s="19">
        <f ca="1">IF($A484-N$3&lt;2,0,OFFSET('FPSO1 Base'!N481,-'FPSO1 Otim'!N$3,0))</f>
        <v>0</v>
      </c>
      <c r="O484" s="19">
        <f ca="1">IF($A484-O$3&lt;2,0,OFFSET('FPSO1 Base'!O481,-'FPSO1 Otim'!O$3,0))</f>
        <v>60.353842511261583</v>
      </c>
      <c r="P484" s="19">
        <f ca="1">IF($A484-P$3&lt;2,0,OFFSET('FPSO1 Base'!P481,-'FPSO1 Otim'!P$3,0))</f>
        <v>0</v>
      </c>
      <c r="Q484" s="19">
        <f ca="1">IF($A484-Q$3&lt;2,0,OFFSET('FPSO1 Base'!Q481,-'FPSO1 Otim'!Q$3,0))</f>
        <v>0</v>
      </c>
      <c r="R484" s="19">
        <f ca="1">IF($A484-R$3&lt;2,0,OFFSET('FPSO1 Base'!R481,-'FPSO1 Otim'!R$3,0))</f>
        <v>4.9795880425568395</v>
      </c>
      <c r="S484" s="19">
        <f ca="1">IF($A484-S$3&lt;2,0,OFFSET('FPSO1 Base'!S481,-'FPSO1 Otim'!S$3,0))</f>
        <v>243.024</v>
      </c>
      <c r="T484" s="19">
        <f ca="1">IF($A484-T$3&lt;2,0,OFFSET('FPSO1 Base'!T481,-'FPSO1 Otim'!T$3,0))</f>
        <v>0</v>
      </c>
      <c r="U484" s="19">
        <f ca="1">IF($A484-U$3&lt;2,0,OFFSET('FPSO1 Base'!U481,-'FPSO1 Otim'!U$3,0))</f>
        <v>0</v>
      </c>
      <c r="V484" s="19">
        <f ca="1">IF($A484-V$3&lt;2,0,OFFSET('FPSO1 Base'!V481,-'FPSO1 Otim'!V$3,0))</f>
        <v>0</v>
      </c>
      <c r="W484" s="19">
        <f ca="1">IF($A484-W$3&lt;2,0,OFFSET('FPSO1 Base'!W481,-'FPSO1 Otim'!W$3,0))</f>
        <v>0</v>
      </c>
      <c r="X484" s="19">
        <f ca="1">IF($A484-X$3&lt;2,0,OFFSET('FPSO1 Base'!X481,-'FPSO1 Otim'!X$3,0))</f>
        <v>0</v>
      </c>
      <c r="Y484" s="19">
        <f ca="1">IF($A484-Y$3&lt;2,0,OFFSET('FPSO1 Base'!Y481,-'FPSO1 Otim'!Y$3,0))</f>
        <v>0</v>
      </c>
      <c r="Z484" s="19">
        <f ca="1">IF($A484-Z$3&lt;2,0,OFFSET('FPSO1 Base'!Z481,-'FPSO1 Otim'!Z$3,0))</f>
        <v>0</v>
      </c>
      <c r="AA484" s="20">
        <v>15000</v>
      </c>
      <c r="AB484" s="19">
        <f t="shared" ca="1" si="25"/>
        <v>1431.2023582362876</v>
      </c>
      <c r="AC484" s="20">
        <f t="shared" ca="1" si="26"/>
        <v>13568.797641763713</v>
      </c>
      <c r="AD484" s="19">
        <f t="shared" ca="1" si="27"/>
        <v>27.097526062244935</v>
      </c>
    </row>
    <row r="485" spans="1:30" x14ac:dyDescent="0.25">
      <c r="A485" s="19">
        <v>481</v>
      </c>
      <c r="B485" s="31">
        <v>60237</v>
      </c>
      <c r="C485" s="19">
        <f ca="1">IF($A485-C$3&lt;2,0,OFFSET('FPSO1 Base'!C482,-'FPSO1 Otim'!C$3,0))</f>
        <v>0</v>
      </c>
      <c r="D485" s="19">
        <f ca="1">IF($A485-D$3&lt;2,0,OFFSET('FPSO1 Base'!D482,-'FPSO1 Otim'!D$3,0))</f>
        <v>27.959336606073748</v>
      </c>
      <c r="E485" s="19">
        <f ca="1">IF($A485-E$3&lt;2,0,OFFSET('FPSO1 Base'!E482,-'FPSO1 Otim'!E$3,0))</f>
        <v>0</v>
      </c>
      <c r="F485" s="19">
        <f ca="1">IF($A485-F$3&lt;2,0,OFFSET('FPSO1 Base'!F482,-'FPSO1 Otim'!F$3,0))</f>
        <v>0</v>
      </c>
      <c r="G485" s="19">
        <f ca="1">IF($A485-G$3&lt;2,0,OFFSET('FPSO1 Base'!G482,-'FPSO1 Otim'!G$3,0))</f>
        <v>50.123871799570892</v>
      </c>
      <c r="H485" s="19">
        <f ca="1">IF($A485-H$3&lt;2,0,OFFSET('FPSO1 Base'!H482,-'FPSO1 Otim'!H$3,0))</f>
        <v>532.47</v>
      </c>
      <c r="I485" s="19">
        <f ca="1">IF($A485-I$3&lt;2,0,OFFSET('FPSO1 Base'!I482,-'FPSO1 Otim'!I$3,0))</f>
        <v>343.65</v>
      </c>
      <c r="J485" s="19">
        <f ca="1">IF($A485-J$3&lt;2,0,OFFSET('FPSO1 Base'!J482,-'FPSO1 Otim'!J$3,0))</f>
        <v>167.178</v>
      </c>
      <c r="K485" s="19">
        <f ca="1">IF($A485-K$3&lt;2,0,OFFSET('FPSO1 Base'!K482,-'FPSO1 Otim'!K$3,0))</f>
        <v>0</v>
      </c>
      <c r="L485" s="19">
        <f ca="1">IF($A485-L$3&lt;2,0,OFFSET('FPSO1 Base'!L482,-'FPSO1 Otim'!L$3,0))</f>
        <v>0</v>
      </c>
      <c r="M485" s="19">
        <f ca="1">IF($A485-M$3&lt;2,0,OFFSET('FPSO1 Base'!M482,-'FPSO1 Otim'!M$3,0))</f>
        <v>0</v>
      </c>
      <c r="N485" s="19">
        <f ca="1">IF($A485-N$3&lt;2,0,OFFSET('FPSO1 Base'!N482,-'FPSO1 Otim'!N$3,0))</f>
        <v>0</v>
      </c>
      <c r="O485" s="19">
        <f ca="1">IF($A485-O$3&lt;2,0,OFFSET('FPSO1 Base'!O482,-'FPSO1 Otim'!O$3,0))</f>
        <v>59.750304086148965</v>
      </c>
      <c r="P485" s="19">
        <f ca="1">IF($A485-P$3&lt;2,0,OFFSET('FPSO1 Base'!P482,-'FPSO1 Otim'!P$3,0))</f>
        <v>0</v>
      </c>
      <c r="Q485" s="19">
        <f ca="1">IF($A485-Q$3&lt;2,0,OFFSET('FPSO1 Base'!Q482,-'FPSO1 Otim'!Q$3,0))</f>
        <v>0</v>
      </c>
      <c r="R485" s="19">
        <f ca="1">IF($A485-R$3&lt;2,0,OFFSET('FPSO1 Base'!R482,-'FPSO1 Otim'!R$3,0))</f>
        <v>4.929792162131271</v>
      </c>
      <c r="S485" s="19">
        <f ca="1">IF($A485-S$3&lt;2,0,OFFSET('FPSO1 Base'!S482,-'FPSO1 Otim'!S$3,0))</f>
        <v>242.57550000000003</v>
      </c>
      <c r="T485" s="19">
        <f ca="1">IF($A485-T$3&lt;2,0,OFFSET('FPSO1 Base'!T482,-'FPSO1 Otim'!T$3,0))</f>
        <v>0</v>
      </c>
      <c r="U485" s="19">
        <f ca="1">IF($A485-U$3&lt;2,0,OFFSET('FPSO1 Base'!U482,-'FPSO1 Otim'!U$3,0))</f>
        <v>0</v>
      </c>
      <c r="V485" s="19">
        <f ca="1">IF($A485-V$3&lt;2,0,OFFSET('FPSO1 Base'!V482,-'FPSO1 Otim'!V$3,0))</f>
        <v>0</v>
      </c>
      <c r="W485" s="19">
        <f ca="1">IF($A485-W$3&lt;2,0,OFFSET('FPSO1 Base'!W482,-'FPSO1 Otim'!W$3,0))</f>
        <v>0</v>
      </c>
      <c r="X485" s="19">
        <f ca="1">IF($A485-X$3&lt;2,0,OFFSET('FPSO1 Base'!X482,-'FPSO1 Otim'!X$3,0))</f>
        <v>0</v>
      </c>
      <c r="Y485" s="19">
        <f ca="1">IF($A485-Y$3&lt;2,0,OFFSET('FPSO1 Base'!Y482,-'FPSO1 Otim'!Y$3,0))</f>
        <v>0</v>
      </c>
      <c r="Z485" s="19">
        <f ca="1">IF($A485-Z$3&lt;2,0,OFFSET('FPSO1 Base'!Z482,-'FPSO1 Otim'!Z$3,0))</f>
        <v>0</v>
      </c>
      <c r="AA485" s="20">
        <v>15000</v>
      </c>
      <c r="AB485" s="19">
        <f t="shared" ca="1" si="25"/>
        <v>1428.6368046539251</v>
      </c>
      <c r="AC485" s="20">
        <f t="shared" ca="1" si="26"/>
        <v>13571.363195346075</v>
      </c>
      <c r="AD485" s="19">
        <f t="shared" ca="1" si="27"/>
        <v>26.82540635825913</v>
      </c>
    </row>
    <row r="486" spans="1:30" x14ac:dyDescent="0.25">
      <c r="B486" s="5"/>
      <c r="AA486" s="6"/>
    </row>
    <row r="487" spans="1:30" x14ac:dyDescent="0.25">
      <c r="B487" s="5"/>
      <c r="AA487" s="6"/>
    </row>
    <row r="488" spans="1:30" x14ac:dyDescent="0.25">
      <c r="B488" s="5"/>
      <c r="AA488" s="6"/>
    </row>
    <row r="489" spans="1:30" x14ac:dyDescent="0.25">
      <c r="B489" s="5"/>
      <c r="AA489" s="6"/>
    </row>
    <row r="490" spans="1:30" x14ac:dyDescent="0.25">
      <c r="B490" s="5"/>
      <c r="AA490" s="6"/>
    </row>
    <row r="491" spans="1:30" x14ac:dyDescent="0.25">
      <c r="B491" s="5"/>
      <c r="AA491" s="6"/>
    </row>
    <row r="492" spans="1:30" x14ac:dyDescent="0.25">
      <c r="B492" s="5"/>
      <c r="AA492" s="6"/>
    </row>
    <row r="493" spans="1:30" x14ac:dyDescent="0.25">
      <c r="B493" s="5"/>
      <c r="AA493" s="6"/>
    </row>
    <row r="494" spans="1:30" x14ac:dyDescent="0.25">
      <c r="B494" s="5"/>
      <c r="AA494" s="6"/>
    </row>
    <row r="495" spans="1:30" x14ac:dyDescent="0.25">
      <c r="B495" s="5"/>
      <c r="AA495" s="6"/>
    </row>
    <row r="496" spans="1:30" x14ac:dyDescent="0.25">
      <c r="B496" s="5"/>
      <c r="AA496" s="6"/>
    </row>
    <row r="497" spans="2:27" x14ac:dyDescent="0.25">
      <c r="B497" s="5"/>
      <c r="AA497" s="6"/>
    </row>
    <row r="498" spans="2:27" x14ac:dyDescent="0.25">
      <c r="B498" s="5"/>
      <c r="AA498" s="6"/>
    </row>
    <row r="499" spans="2:27" x14ac:dyDescent="0.25">
      <c r="B499" s="5"/>
      <c r="AA499" s="6"/>
    </row>
    <row r="500" spans="2:27" x14ac:dyDescent="0.25">
      <c r="B500" s="5"/>
      <c r="AA500" s="6"/>
    </row>
    <row r="501" spans="2:27" x14ac:dyDescent="0.25">
      <c r="B501" s="5"/>
      <c r="AA501" s="6"/>
    </row>
    <row r="502" spans="2:27" x14ac:dyDescent="0.25">
      <c r="B502" s="5"/>
      <c r="AA502" s="6"/>
    </row>
    <row r="503" spans="2:27" x14ac:dyDescent="0.25">
      <c r="B503" s="5"/>
      <c r="AA503" s="6"/>
    </row>
    <row r="504" spans="2:27" x14ac:dyDescent="0.25">
      <c r="B504" s="5"/>
      <c r="AA504" s="6"/>
    </row>
    <row r="505" spans="2:27" x14ac:dyDescent="0.25">
      <c r="B505" s="5"/>
      <c r="AA505" s="6"/>
    </row>
    <row r="506" spans="2:27" x14ac:dyDescent="0.25">
      <c r="B506" s="5"/>
      <c r="AA506" s="6"/>
    </row>
    <row r="507" spans="2:27" x14ac:dyDescent="0.25">
      <c r="B507" s="5"/>
      <c r="AA507" s="6"/>
    </row>
    <row r="508" spans="2:27" x14ac:dyDescent="0.25">
      <c r="B508" s="5"/>
      <c r="AA508" s="6"/>
    </row>
    <row r="509" spans="2:27" x14ac:dyDescent="0.25">
      <c r="B509" s="5"/>
      <c r="AA509" s="6"/>
    </row>
    <row r="510" spans="2:27" x14ac:dyDescent="0.25">
      <c r="B510" s="5"/>
      <c r="AA510" s="6"/>
    </row>
    <row r="511" spans="2:27" x14ac:dyDescent="0.25">
      <c r="B511" s="5"/>
      <c r="AA511" s="6"/>
    </row>
    <row r="512" spans="2:27" x14ac:dyDescent="0.25">
      <c r="B512" s="5"/>
      <c r="AA512" s="6"/>
    </row>
    <row r="513" spans="2:27" x14ac:dyDescent="0.25">
      <c r="B513" s="5"/>
      <c r="AA513" s="6"/>
    </row>
    <row r="514" spans="2:27" x14ac:dyDescent="0.25">
      <c r="B514" s="5"/>
      <c r="AA514" s="6"/>
    </row>
    <row r="515" spans="2:27" x14ac:dyDescent="0.25">
      <c r="B515" s="5"/>
      <c r="AA515" s="6"/>
    </row>
    <row r="516" spans="2:27" x14ac:dyDescent="0.25">
      <c r="B516" s="5"/>
      <c r="AA516" s="6"/>
    </row>
    <row r="517" spans="2:27" x14ac:dyDescent="0.25">
      <c r="B517" s="5"/>
      <c r="AA517" s="6"/>
    </row>
    <row r="518" spans="2:27" x14ac:dyDescent="0.25">
      <c r="B518" s="5"/>
      <c r="AA518" s="6"/>
    </row>
    <row r="519" spans="2:27" x14ac:dyDescent="0.25">
      <c r="B519" s="5"/>
      <c r="AA519" s="6"/>
    </row>
    <row r="520" spans="2:27" x14ac:dyDescent="0.25">
      <c r="B520" s="5"/>
      <c r="AA520" s="6"/>
    </row>
    <row r="521" spans="2:27" x14ac:dyDescent="0.25">
      <c r="B521" s="5"/>
      <c r="AA521" s="6"/>
    </row>
    <row r="522" spans="2:27" x14ac:dyDescent="0.25">
      <c r="B522" s="5"/>
      <c r="AA522" s="6"/>
    </row>
    <row r="523" spans="2:27" x14ac:dyDescent="0.25">
      <c r="B523" s="5"/>
      <c r="AA523" s="6"/>
    </row>
    <row r="524" spans="2:27" x14ac:dyDescent="0.25">
      <c r="B524" s="5"/>
      <c r="AA524" s="6"/>
    </row>
    <row r="525" spans="2:27" x14ac:dyDescent="0.25">
      <c r="B525" s="5"/>
      <c r="AA525" s="6"/>
    </row>
    <row r="526" spans="2:27" x14ac:dyDescent="0.25">
      <c r="B526" s="5"/>
      <c r="AA526" s="6"/>
    </row>
    <row r="527" spans="2:27" x14ac:dyDescent="0.25">
      <c r="B527" s="5"/>
      <c r="AA527" s="6"/>
    </row>
    <row r="528" spans="2:27" x14ac:dyDescent="0.25">
      <c r="B528" s="5"/>
      <c r="AA528" s="6"/>
    </row>
    <row r="529" spans="2:27" x14ac:dyDescent="0.25">
      <c r="B529" s="5"/>
      <c r="AA529" s="6"/>
    </row>
    <row r="530" spans="2:27" x14ac:dyDescent="0.25">
      <c r="B530" s="5"/>
      <c r="AA530" s="6"/>
    </row>
    <row r="531" spans="2:27" x14ac:dyDescent="0.25">
      <c r="B531" s="5"/>
      <c r="AA531" s="6"/>
    </row>
    <row r="532" spans="2:27" x14ac:dyDescent="0.25">
      <c r="B532" s="5"/>
      <c r="AA532" s="6"/>
    </row>
    <row r="533" spans="2:27" x14ac:dyDescent="0.25">
      <c r="B533" s="5"/>
      <c r="AA533" s="6"/>
    </row>
    <row r="534" spans="2:27" x14ac:dyDescent="0.25">
      <c r="B534" s="5"/>
      <c r="AA534" s="6"/>
    </row>
    <row r="535" spans="2:27" x14ac:dyDescent="0.25">
      <c r="B535" s="5"/>
      <c r="AA535" s="6"/>
    </row>
    <row r="536" spans="2:27" x14ac:dyDescent="0.25">
      <c r="B536" s="5"/>
      <c r="AA536" s="6"/>
    </row>
    <row r="537" spans="2:27" x14ac:dyDescent="0.25">
      <c r="B537" s="5"/>
      <c r="AA537" s="6"/>
    </row>
    <row r="538" spans="2:27" x14ac:dyDescent="0.25">
      <c r="B538" s="5"/>
      <c r="AA538" s="6"/>
    </row>
    <row r="539" spans="2:27" x14ac:dyDescent="0.25">
      <c r="B539" s="5"/>
      <c r="AA539" s="6"/>
    </row>
    <row r="540" spans="2:27" x14ac:dyDescent="0.25">
      <c r="B540" s="5"/>
      <c r="AA540" s="6"/>
    </row>
    <row r="541" spans="2:27" x14ac:dyDescent="0.25">
      <c r="B541" s="5"/>
      <c r="AA541" s="6"/>
    </row>
    <row r="542" spans="2:27" x14ac:dyDescent="0.25">
      <c r="B542" s="5"/>
      <c r="AA542" s="6"/>
    </row>
    <row r="543" spans="2:27" x14ac:dyDescent="0.25">
      <c r="B543" s="5"/>
      <c r="AA543" s="6"/>
    </row>
    <row r="544" spans="2:27" x14ac:dyDescent="0.25">
      <c r="B544" s="5"/>
      <c r="AA544" s="6"/>
    </row>
    <row r="545" spans="2:27" x14ac:dyDescent="0.25">
      <c r="B545" s="5"/>
      <c r="AA545" s="6"/>
    </row>
    <row r="546" spans="2:27" x14ac:dyDescent="0.25">
      <c r="B546" s="5"/>
      <c r="AA546" s="6"/>
    </row>
    <row r="547" spans="2:27" x14ac:dyDescent="0.25">
      <c r="B547" s="5"/>
      <c r="AA547" s="6"/>
    </row>
    <row r="548" spans="2:27" x14ac:dyDescent="0.25">
      <c r="B548" s="5"/>
      <c r="AA548" s="6"/>
    </row>
    <row r="549" spans="2:27" x14ac:dyDescent="0.25">
      <c r="B549" s="5"/>
      <c r="AA549" s="6"/>
    </row>
    <row r="550" spans="2:27" x14ac:dyDescent="0.25">
      <c r="B550" s="5"/>
      <c r="AA550" s="6"/>
    </row>
    <row r="551" spans="2:27" x14ac:dyDescent="0.25">
      <c r="B551" s="5"/>
      <c r="AA551" s="6"/>
    </row>
    <row r="552" spans="2:27" x14ac:dyDescent="0.25">
      <c r="B552" s="5"/>
      <c r="AA552" s="6"/>
    </row>
    <row r="553" spans="2:27" x14ac:dyDescent="0.25">
      <c r="B553" s="5"/>
      <c r="AA553" s="6"/>
    </row>
    <row r="554" spans="2:27" x14ac:dyDescent="0.25">
      <c r="B554" s="5"/>
      <c r="AA554" s="6"/>
    </row>
    <row r="555" spans="2:27" x14ac:dyDescent="0.25">
      <c r="B555" s="5"/>
      <c r="AA555" s="6"/>
    </row>
    <row r="556" spans="2:27" x14ac:dyDescent="0.25">
      <c r="B556" s="5"/>
      <c r="AA556" s="6"/>
    </row>
    <row r="557" spans="2:27" x14ac:dyDescent="0.25">
      <c r="B557" s="5"/>
      <c r="AA557" s="6"/>
    </row>
    <row r="558" spans="2:27" x14ac:dyDescent="0.25">
      <c r="B558" s="5"/>
      <c r="AA558" s="6"/>
    </row>
    <row r="559" spans="2:27" x14ac:dyDescent="0.25">
      <c r="B559" s="5"/>
      <c r="AA559" s="6"/>
    </row>
    <row r="560" spans="2:27" x14ac:dyDescent="0.25">
      <c r="B560" s="5"/>
      <c r="AA560" s="6"/>
    </row>
    <row r="561" spans="2:27" x14ac:dyDescent="0.25">
      <c r="B561" s="5"/>
      <c r="AA561" s="6"/>
    </row>
    <row r="562" spans="2:27" x14ac:dyDescent="0.25">
      <c r="B562" s="5"/>
      <c r="AA562" s="6"/>
    </row>
    <row r="563" spans="2:27" x14ac:dyDescent="0.25">
      <c r="B563" s="5"/>
      <c r="AA563" s="6"/>
    </row>
    <row r="564" spans="2:27" x14ac:dyDescent="0.25">
      <c r="B564" s="5"/>
      <c r="AA564" s="6"/>
    </row>
    <row r="565" spans="2:27" x14ac:dyDescent="0.25">
      <c r="B565" s="5"/>
      <c r="AA565" s="6"/>
    </row>
    <row r="566" spans="2:27" x14ac:dyDescent="0.25">
      <c r="B566" s="5"/>
      <c r="AA566" s="6"/>
    </row>
    <row r="567" spans="2:27" x14ac:dyDescent="0.25">
      <c r="B567" s="5"/>
      <c r="AA567" s="6"/>
    </row>
    <row r="568" spans="2:27" x14ac:dyDescent="0.25">
      <c r="B568" s="5"/>
      <c r="AA568" s="6"/>
    </row>
    <row r="569" spans="2:27" x14ac:dyDescent="0.25">
      <c r="B569" s="5"/>
      <c r="AA569" s="6"/>
    </row>
    <row r="570" spans="2:27" x14ac:dyDescent="0.25">
      <c r="B570" s="5"/>
      <c r="AA570" s="6"/>
    </row>
    <row r="571" spans="2:27" x14ac:dyDescent="0.25">
      <c r="B571" s="5"/>
      <c r="AA571" s="6"/>
    </row>
    <row r="572" spans="2:27" x14ac:dyDescent="0.25">
      <c r="B572" s="5"/>
      <c r="AA572" s="6"/>
    </row>
    <row r="573" spans="2:27" x14ac:dyDescent="0.25">
      <c r="B573" s="5"/>
      <c r="AA573" s="6"/>
    </row>
    <row r="574" spans="2:27" x14ac:dyDescent="0.25">
      <c r="B574" s="5"/>
      <c r="AA574" s="6"/>
    </row>
    <row r="575" spans="2:27" x14ac:dyDescent="0.25">
      <c r="B575" s="5"/>
      <c r="AA575" s="6"/>
    </row>
    <row r="576" spans="2:27" x14ac:dyDescent="0.25">
      <c r="B576" s="5"/>
      <c r="AA576" s="6"/>
    </row>
    <row r="577" spans="2:27" x14ac:dyDescent="0.25">
      <c r="B577" s="5"/>
      <c r="AA577" s="6"/>
    </row>
    <row r="578" spans="2:27" x14ac:dyDescent="0.25">
      <c r="B578" s="5"/>
      <c r="AA578" s="6"/>
    </row>
    <row r="579" spans="2:27" x14ac:dyDescent="0.25">
      <c r="B579" s="5"/>
      <c r="AA579" s="6"/>
    </row>
    <row r="580" spans="2:27" x14ac:dyDescent="0.25">
      <c r="B580" s="5"/>
      <c r="AA580" s="6"/>
    </row>
    <row r="581" spans="2:27" x14ac:dyDescent="0.25">
      <c r="B581" s="5"/>
      <c r="AA581" s="6"/>
    </row>
    <row r="582" spans="2:27" x14ac:dyDescent="0.25">
      <c r="B582" s="5"/>
      <c r="AA582" s="6"/>
    </row>
    <row r="583" spans="2:27" x14ac:dyDescent="0.25">
      <c r="B583" s="5"/>
      <c r="AA583" s="6"/>
    </row>
    <row r="584" spans="2:27" x14ac:dyDescent="0.25">
      <c r="B584" s="5"/>
      <c r="AA584" s="6"/>
    </row>
    <row r="585" spans="2:27" x14ac:dyDescent="0.25">
      <c r="B585" s="5"/>
      <c r="AA585" s="6"/>
    </row>
    <row r="586" spans="2:27" x14ac:dyDescent="0.25">
      <c r="B586" s="5"/>
      <c r="AA586" s="6"/>
    </row>
    <row r="587" spans="2:27" x14ac:dyDescent="0.25">
      <c r="B587" s="5"/>
      <c r="AA587" s="6"/>
    </row>
    <row r="588" spans="2:27" x14ac:dyDescent="0.25">
      <c r="B588" s="5"/>
      <c r="AA588" s="6"/>
    </row>
    <row r="589" spans="2:27" x14ac:dyDescent="0.25">
      <c r="B589" s="5"/>
      <c r="AA589" s="6"/>
    </row>
    <row r="590" spans="2:27" x14ac:dyDescent="0.25">
      <c r="B590" s="5"/>
      <c r="AA590" s="6"/>
    </row>
    <row r="591" spans="2:27" x14ac:dyDescent="0.25">
      <c r="B591" s="5"/>
      <c r="AA591" s="6"/>
    </row>
    <row r="592" spans="2:27" x14ac:dyDescent="0.25">
      <c r="B592" s="5"/>
      <c r="AA592" s="6"/>
    </row>
    <row r="593" spans="2:27" x14ac:dyDescent="0.25">
      <c r="B593" s="5"/>
      <c r="AA593" s="6"/>
    </row>
    <row r="594" spans="2:27" x14ac:dyDescent="0.25">
      <c r="B594" s="5"/>
      <c r="AA594" s="6"/>
    </row>
    <row r="595" spans="2:27" x14ac:dyDescent="0.25">
      <c r="B595" s="5"/>
      <c r="AA595" s="6"/>
    </row>
    <row r="596" spans="2:27" x14ac:dyDescent="0.25">
      <c r="B596" s="5"/>
      <c r="AA596" s="6"/>
    </row>
    <row r="597" spans="2:27" x14ac:dyDescent="0.25">
      <c r="B597" s="5"/>
      <c r="AA597" s="6"/>
    </row>
    <row r="598" spans="2:27" x14ac:dyDescent="0.25">
      <c r="B598" s="5"/>
      <c r="AA598" s="6"/>
    </row>
    <row r="599" spans="2:27" x14ac:dyDescent="0.25">
      <c r="B599" s="5"/>
      <c r="AA599" s="6"/>
    </row>
    <row r="600" spans="2:27" x14ac:dyDescent="0.25">
      <c r="B600" s="5"/>
      <c r="AA600" s="6"/>
    </row>
    <row r="601" spans="2:27" x14ac:dyDescent="0.25">
      <c r="B601" s="5"/>
      <c r="AA601" s="6"/>
    </row>
    <row r="602" spans="2:27" x14ac:dyDescent="0.25">
      <c r="B602" s="5"/>
      <c r="AA602" s="6"/>
    </row>
    <row r="603" spans="2:27" x14ac:dyDescent="0.25">
      <c r="B603" s="5"/>
      <c r="AA603" s="6"/>
    </row>
    <row r="604" spans="2:27" x14ac:dyDescent="0.25">
      <c r="B604" s="5"/>
      <c r="AA604" s="6"/>
    </row>
    <row r="605" spans="2:27" x14ac:dyDescent="0.25">
      <c r="B605" s="5"/>
      <c r="AA605" s="6"/>
    </row>
    <row r="606" spans="2:27" x14ac:dyDescent="0.25">
      <c r="B606" s="5"/>
      <c r="AA606" s="6"/>
    </row>
    <row r="607" spans="2:27" x14ac:dyDescent="0.25">
      <c r="B607" s="5"/>
      <c r="AA607" s="6"/>
    </row>
    <row r="608" spans="2:27" x14ac:dyDescent="0.25">
      <c r="B608" s="5"/>
      <c r="AA608" s="6"/>
    </row>
    <row r="609" spans="2:27" x14ac:dyDescent="0.25">
      <c r="B609" s="5"/>
      <c r="AA609" s="6"/>
    </row>
    <row r="610" spans="2:27" x14ac:dyDescent="0.25">
      <c r="B610" s="5"/>
      <c r="AA610" s="6"/>
    </row>
    <row r="611" spans="2:27" x14ac:dyDescent="0.25">
      <c r="B611" s="5"/>
      <c r="AA611" s="6"/>
    </row>
    <row r="612" spans="2:27" x14ac:dyDescent="0.25">
      <c r="B612" s="5"/>
      <c r="AA612" s="6"/>
    </row>
    <row r="613" spans="2:27" x14ac:dyDescent="0.25">
      <c r="B613" s="5"/>
      <c r="AA613" s="6"/>
    </row>
    <row r="614" spans="2:27" x14ac:dyDescent="0.25">
      <c r="B614" s="5"/>
      <c r="AA614" s="6"/>
    </row>
    <row r="615" spans="2:27" x14ac:dyDescent="0.25">
      <c r="B615" s="5"/>
      <c r="AA615" s="6"/>
    </row>
    <row r="616" spans="2:27" x14ac:dyDescent="0.25">
      <c r="B616" s="5"/>
      <c r="AA616" s="6"/>
    </row>
    <row r="617" spans="2:27" x14ac:dyDescent="0.25">
      <c r="B617" s="5"/>
      <c r="AA617" s="6"/>
    </row>
    <row r="618" spans="2:27" x14ac:dyDescent="0.25">
      <c r="B618" s="5"/>
      <c r="AA618" s="6"/>
    </row>
    <row r="619" spans="2:27" x14ac:dyDescent="0.25">
      <c r="B619" s="5"/>
      <c r="AA619" s="6"/>
    </row>
    <row r="620" spans="2:27" x14ac:dyDescent="0.25">
      <c r="B620" s="5"/>
      <c r="AA620" s="6"/>
    </row>
    <row r="621" spans="2:27" x14ac:dyDescent="0.25">
      <c r="B621" s="5"/>
      <c r="AA621" s="6"/>
    </row>
    <row r="622" spans="2:27" x14ac:dyDescent="0.25">
      <c r="B622" s="5"/>
      <c r="AA622" s="6"/>
    </row>
    <row r="623" spans="2:27" x14ac:dyDescent="0.25">
      <c r="B623" s="5"/>
      <c r="AA623" s="6"/>
    </row>
    <row r="624" spans="2:27" x14ac:dyDescent="0.25">
      <c r="B624" s="5"/>
      <c r="AA624" s="6"/>
    </row>
    <row r="625" spans="2:27" x14ac:dyDescent="0.25">
      <c r="B625" s="5"/>
      <c r="AA625" s="6"/>
    </row>
    <row r="626" spans="2:27" x14ac:dyDescent="0.25">
      <c r="B626" s="5"/>
      <c r="AA626" s="6"/>
    </row>
    <row r="627" spans="2:27" x14ac:dyDescent="0.25">
      <c r="B627" s="5"/>
      <c r="AA627" s="6"/>
    </row>
    <row r="628" spans="2:27" x14ac:dyDescent="0.25">
      <c r="B628" s="5"/>
      <c r="AA628" s="6"/>
    </row>
    <row r="629" spans="2:27" x14ac:dyDescent="0.25">
      <c r="B629" s="5"/>
      <c r="AA629" s="6"/>
    </row>
    <row r="630" spans="2:27" x14ac:dyDescent="0.25">
      <c r="B630" s="5"/>
      <c r="AA630" s="6"/>
    </row>
    <row r="631" spans="2:27" x14ac:dyDescent="0.25">
      <c r="B631" s="5"/>
      <c r="AA631" s="6"/>
    </row>
    <row r="632" spans="2:27" x14ac:dyDescent="0.25">
      <c r="B632" s="5"/>
      <c r="AA632" s="6"/>
    </row>
    <row r="633" spans="2:27" x14ac:dyDescent="0.25">
      <c r="B633" s="5"/>
      <c r="AA633" s="6"/>
    </row>
    <row r="634" spans="2:27" x14ac:dyDescent="0.25">
      <c r="B634" s="5"/>
      <c r="AA634" s="6"/>
    </row>
    <row r="635" spans="2:27" x14ac:dyDescent="0.25">
      <c r="B635" s="5"/>
      <c r="AA635" s="6"/>
    </row>
    <row r="636" spans="2:27" x14ac:dyDescent="0.25">
      <c r="B636" s="5"/>
      <c r="AA636" s="6"/>
    </row>
    <row r="637" spans="2:27" x14ac:dyDescent="0.25">
      <c r="B637" s="5"/>
      <c r="AA637" s="6"/>
    </row>
    <row r="638" spans="2:27" x14ac:dyDescent="0.25">
      <c r="B638" s="5"/>
      <c r="AA638" s="6"/>
    </row>
    <row r="639" spans="2:27" x14ac:dyDescent="0.25">
      <c r="B639" s="5"/>
      <c r="AA639" s="6"/>
    </row>
    <row r="640" spans="2:27" x14ac:dyDescent="0.25">
      <c r="B640" s="5"/>
      <c r="AA640" s="6"/>
    </row>
    <row r="641" spans="2:27" x14ac:dyDescent="0.25">
      <c r="B641" s="5"/>
      <c r="AA641" s="6"/>
    </row>
    <row r="642" spans="2:27" x14ac:dyDescent="0.25">
      <c r="B642" s="5"/>
      <c r="AA642" s="6"/>
    </row>
    <row r="643" spans="2:27" x14ac:dyDescent="0.25">
      <c r="B643" s="5"/>
      <c r="AA643" s="6"/>
    </row>
    <row r="644" spans="2:27" x14ac:dyDescent="0.25">
      <c r="B644" s="5"/>
      <c r="AA644" s="6"/>
    </row>
    <row r="645" spans="2:27" x14ac:dyDescent="0.25">
      <c r="B645" s="5"/>
      <c r="AA645" s="6"/>
    </row>
    <row r="646" spans="2:27" x14ac:dyDescent="0.25">
      <c r="B646" s="5"/>
      <c r="AA646" s="6"/>
    </row>
    <row r="647" spans="2:27" x14ac:dyDescent="0.25">
      <c r="B647" s="5"/>
      <c r="AA647" s="6"/>
    </row>
    <row r="648" spans="2:27" x14ac:dyDescent="0.25">
      <c r="B648" s="5"/>
      <c r="AA648" s="6"/>
    </row>
    <row r="649" spans="2:27" x14ac:dyDescent="0.25">
      <c r="B649" s="5"/>
      <c r="AA649" s="6"/>
    </row>
    <row r="650" spans="2:27" x14ac:dyDescent="0.25">
      <c r="B650" s="5"/>
      <c r="AA650" s="6"/>
    </row>
    <row r="651" spans="2:27" x14ac:dyDescent="0.25">
      <c r="B651" s="5"/>
      <c r="AA651" s="6"/>
    </row>
    <row r="652" spans="2:27" x14ac:dyDescent="0.25">
      <c r="B652" s="5"/>
      <c r="AA652" s="6"/>
    </row>
    <row r="653" spans="2:27" x14ac:dyDescent="0.25">
      <c r="B653" s="5"/>
      <c r="AA653" s="6"/>
    </row>
    <row r="654" spans="2:27" x14ac:dyDescent="0.25">
      <c r="B654" s="5"/>
      <c r="AA654" s="6"/>
    </row>
    <row r="655" spans="2:27" x14ac:dyDescent="0.25">
      <c r="B655" s="5"/>
      <c r="AA655" s="6"/>
    </row>
    <row r="656" spans="2:27" x14ac:dyDescent="0.25">
      <c r="B656" s="5"/>
      <c r="AA656" s="6"/>
    </row>
    <row r="657" spans="2:27" x14ac:dyDescent="0.25">
      <c r="B657" s="5"/>
      <c r="AA657" s="6"/>
    </row>
    <row r="658" spans="2:27" x14ac:dyDescent="0.25">
      <c r="B658" s="5"/>
      <c r="AA658" s="6"/>
    </row>
    <row r="659" spans="2:27" x14ac:dyDescent="0.25">
      <c r="B659" s="5"/>
      <c r="AA659" s="6"/>
    </row>
    <row r="660" spans="2:27" x14ac:dyDescent="0.25">
      <c r="B660" s="5"/>
      <c r="AA660" s="6"/>
    </row>
    <row r="661" spans="2:27" x14ac:dyDescent="0.25">
      <c r="B661" s="5"/>
      <c r="AA661" s="6"/>
    </row>
    <row r="662" spans="2:27" x14ac:dyDescent="0.25">
      <c r="B662" s="5"/>
      <c r="AA662" s="6"/>
    </row>
    <row r="663" spans="2:27" x14ac:dyDescent="0.25">
      <c r="B663" s="5"/>
      <c r="AA663" s="6"/>
    </row>
    <row r="664" spans="2:27" x14ac:dyDescent="0.25">
      <c r="B664" s="5"/>
      <c r="AA664" s="6"/>
    </row>
    <row r="665" spans="2:27" x14ac:dyDescent="0.25">
      <c r="B665" s="5"/>
      <c r="AA665" s="6"/>
    </row>
    <row r="666" spans="2:27" x14ac:dyDescent="0.25">
      <c r="B666" s="5"/>
      <c r="AA666" s="6"/>
    </row>
    <row r="667" spans="2:27" x14ac:dyDescent="0.25">
      <c r="B667" s="5"/>
      <c r="AA667" s="6"/>
    </row>
    <row r="668" spans="2:27" x14ac:dyDescent="0.25">
      <c r="B668" s="5"/>
      <c r="AA668" s="6"/>
    </row>
    <row r="669" spans="2:27" x14ac:dyDescent="0.25">
      <c r="B669" s="5"/>
      <c r="AA669" s="6"/>
    </row>
    <row r="670" spans="2:27" x14ac:dyDescent="0.25">
      <c r="B670" s="5"/>
      <c r="AA670" s="6"/>
    </row>
    <row r="671" spans="2:27" x14ac:dyDescent="0.25">
      <c r="B671" s="5"/>
      <c r="AA671" s="6"/>
    </row>
    <row r="672" spans="2:27" x14ac:dyDescent="0.25">
      <c r="B672" s="5"/>
      <c r="AA672" s="6"/>
    </row>
    <row r="673" spans="2:27" x14ac:dyDescent="0.25">
      <c r="B673" s="5"/>
      <c r="AA673" s="6"/>
    </row>
    <row r="674" spans="2:27" x14ac:dyDescent="0.25">
      <c r="B674" s="5"/>
      <c r="AA674" s="6"/>
    </row>
    <row r="675" spans="2:27" x14ac:dyDescent="0.25">
      <c r="B675" s="5"/>
      <c r="AA675" s="6"/>
    </row>
    <row r="676" spans="2:27" x14ac:dyDescent="0.25">
      <c r="B676" s="5"/>
      <c r="AA676" s="6"/>
    </row>
    <row r="677" spans="2:27" x14ac:dyDescent="0.25">
      <c r="B677" s="5"/>
      <c r="AA677" s="6"/>
    </row>
    <row r="678" spans="2:27" x14ac:dyDescent="0.25">
      <c r="B678" s="5"/>
      <c r="AA678" s="6"/>
    </row>
    <row r="679" spans="2:27" x14ac:dyDescent="0.25">
      <c r="B679" s="5"/>
      <c r="AA679" s="6"/>
    </row>
    <row r="680" spans="2:27" x14ac:dyDescent="0.25">
      <c r="B680" s="5"/>
      <c r="AA680" s="6"/>
    </row>
    <row r="681" spans="2:27" x14ac:dyDescent="0.25">
      <c r="B681" s="5"/>
      <c r="AA681" s="6"/>
    </row>
    <row r="682" spans="2:27" x14ac:dyDescent="0.25">
      <c r="B682" s="5"/>
      <c r="AA682" s="6"/>
    </row>
    <row r="683" spans="2:27" x14ac:dyDescent="0.25">
      <c r="B683" s="5"/>
      <c r="AA683" s="6"/>
    </row>
    <row r="684" spans="2:27" x14ac:dyDescent="0.25">
      <c r="B684" s="5"/>
      <c r="AA684" s="6"/>
    </row>
    <row r="685" spans="2:27" x14ac:dyDescent="0.25">
      <c r="B685" s="5"/>
      <c r="AA685" s="6"/>
    </row>
    <row r="686" spans="2:27" x14ac:dyDescent="0.25">
      <c r="B686" s="5"/>
      <c r="AA686" s="6"/>
    </row>
    <row r="687" spans="2:27" x14ac:dyDescent="0.25">
      <c r="B687" s="5"/>
      <c r="AA687" s="6"/>
    </row>
    <row r="688" spans="2:27" x14ac:dyDescent="0.25">
      <c r="B688" s="5"/>
      <c r="AA688" s="6"/>
    </row>
    <row r="689" spans="2:27" x14ac:dyDescent="0.25">
      <c r="B689" s="5"/>
      <c r="AA689" s="6"/>
    </row>
    <row r="690" spans="2:27" x14ac:dyDescent="0.25">
      <c r="B690" s="5"/>
      <c r="AA690" s="6"/>
    </row>
    <row r="691" spans="2:27" x14ac:dyDescent="0.25">
      <c r="B691" s="5"/>
      <c r="AA691" s="6"/>
    </row>
    <row r="692" spans="2:27" x14ac:dyDescent="0.25">
      <c r="B692" s="5"/>
      <c r="AA692" s="6"/>
    </row>
    <row r="693" spans="2:27" x14ac:dyDescent="0.25">
      <c r="B693" s="5"/>
      <c r="AA693" s="6"/>
    </row>
    <row r="694" spans="2:27" x14ac:dyDescent="0.25">
      <c r="B694" s="5"/>
      <c r="AA694" s="6"/>
    </row>
    <row r="695" spans="2:27" x14ac:dyDescent="0.25">
      <c r="B695" s="5"/>
      <c r="AA695" s="6"/>
    </row>
    <row r="696" spans="2:27" x14ac:dyDescent="0.25">
      <c r="B696" s="5"/>
      <c r="AA696" s="6"/>
    </row>
    <row r="697" spans="2:27" x14ac:dyDescent="0.25">
      <c r="B697" s="5"/>
      <c r="AA697" s="6"/>
    </row>
    <row r="698" spans="2:27" x14ac:dyDescent="0.25">
      <c r="B698" s="5"/>
      <c r="AA698" s="6"/>
    </row>
    <row r="699" spans="2:27" x14ac:dyDescent="0.25">
      <c r="B699" s="5"/>
      <c r="AA699" s="6"/>
    </row>
    <row r="700" spans="2:27" x14ac:dyDescent="0.25">
      <c r="B700" s="5"/>
      <c r="AA700" s="6"/>
    </row>
    <row r="701" spans="2:27" x14ac:dyDescent="0.25">
      <c r="B701" s="5"/>
      <c r="AA701" s="6"/>
    </row>
    <row r="702" spans="2:27" x14ac:dyDescent="0.25">
      <c r="B702" s="5"/>
      <c r="AA702" s="6"/>
    </row>
    <row r="703" spans="2:27" x14ac:dyDescent="0.25">
      <c r="B703" s="5"/>
      <c r="AA703" s="6"/>
    </row>
    <row r="704" spans="2:27" x14ac:dyDescent="0.25">
      <c r="B704" s="5"/>
      <c r="AA704" s="6"/>
    </row>
    <row r="705" spans="2:27" x14ac:dyDescent="0.25">
      <c r="B705" s="5"/>
      <c r="AA705" s="6"/>
    </row>
    <row r="706" spans="2:27" x14ac:dyDescent="0.25">
      <c r="B706" s="5"/>
      <c r="AA706" s="6"/>
    </row>
    <row r="707" spans="2:27" x14ac:dyDescent="0.25">
      <c r="B707" s="5"/>
      <c r="AA707" s="6"/>
    </row>
    <row r="708" spans="2:27" x14ac:dyDescent="0.25">
      <c r="B708" s="5"/>
      <c r="AA708" s="6"/>
    </row>
    <row r="709" spans="2:27" x14ac:dyDescent="0.25">
      <c r="B709" s="5"/>
      <c r="AA709" s="6"/>
    </row>
    <row r="710" spans="2:27" x14ac:dyDescent="0.25">
      <c r="B710" s="5"/>
      <c r="AA710" s="6"/>
    </row>
    <row r="711" spans="2:27" x14ac:dyDescent="0.25">
      <c r="B711" s="5"/>
      <c r="AA711" s="6"/>
    </row>
    <row r="712" spans="2:27" x14ac:dyDescent="0.25">
      <c r="B712" s="5"/>
      <c r="AA712" s="6"/>
    </row>
    <row r="713" spans="2:27" x14ac:dyDescent="0.25">
      <c r="B713" s="5"/>
      <c r="AA713" s="6"/>
    </row>
    <row r="714" spans="2:27" x14ac:dyDescent="0.25">
      <c r="B714" s="5"/>
      <c r="AA714" s="6"/>
    </row>
    <row r="715" spans="2:27" x14ac:dyDescent="0.25">
      <c r="B715" s="5"/>
      <c r="AA715" s="6"/>
    </row>
    <row r="716" spans="2:27" x14ac:dyDescent="0.25">
      <c r="B716" s="5"/>
      <c r="AA716" s="6"/>
    </row>
    <row r="717" spans="2:27" x14ac:dyDescent="0.25">
      <c r="B717" s="5"/>
      <c r="AA717" s="6"/>
    </row>
    <row r="718" spans="2:27" x14ac:dyDescent="0.25">
      <c r="B718" s="5"/>
      <c r="AA718" s="6"/>
    </row>
    <row r="719" spans="2:27" x14ac:dyDescent="0.25">
      <c r="B719" s="5"/>
      <c r="AA719" s="6"/>
    </row>
    <row r="720" spans="2:27" x14ac:dyDescent="0.25">
      <c r="B720" s="5"/>
      <c r="AA720" s="6"/>
    </row>
    <row r="721" spans="2:27" x14ac:dyDescent="0.25">
      <c r="B721" s="5"/>
      <c r="AA721" s="6"/>
    </row>
    <row r="722" spans="2:27" x14ac:dyDescent="0.25">
      <c r="B722" s="5"/>
      <c r="AA722" s="6"/>
    </row>
    <row r="723" spans="2:27" x14ac:dyDescent="0.25">
      <c r="B723" s="5"/>
      <c r="AA723" s="6"/>
    </row>
    <row r="724" spans="2:27" x14ac:dyDescent="0.25">
      <c r="B724" s="5"/>
      <c r="AA724" s="6"/>
    </row>
    <row r="725" spans="2:27" x14ac:dyDescent="0.25">
      <c r="B725" s="5"/>
      <c r="AA725" s="6"/>
    </row>
    <row r="726" spans="2:27" x14ac:dyDescent="0.25">
      <c r="B726" s="5"/>
      <c r="AA726" s="6"/>
    </row>
    <row r="727" spans="2:27" x14ac:dyDescent="0.25">
      <c r="B727" s="5"/>
      <c r="AA727" s="6"/>
    </row>
    <row r="728" spans="2:27" x14ac:dyDescent="0.25">
      <c r="B728" s="5"/>
      <c r="AA728" s="6"/>
    </row>
    <row r="729" spans="2:27" x14ac:dyDescent="0.25">
      <c r="B729" s="5"/>
      <c r="AA729" s="6"/>
    </row>
    <row r="730" spans="2:27" x14ac:dyDescent="0.25">
      <c r="B730" s="5"/>
      <c r="AA730" s="6"/>
    </row>
    <row r="731" spans="2:27" x14ac:dyDescent="0.25">
      <c r="B731" s="5"/>
      <c r="AA731" s="6"/>
    </row>
    <row r="732" spans="2:27" x14ac:dyDescent="0.25">
      <c r="B732" s="5"/>
      <c r="AA732" s="6"/>
    </row>
    <row r="733" spans="2:27" x14ac:dyDescent="0.25">
      <c r="B733" s="5"/>
      <c r="AA733" s="6"/>
    </row>
  </sheetData>
  <phoneticPr fontId="18" type="noConversion"/>
  <conditionalFormatting sqref="AC6:AC485">
    <cfRule type="cellIs" dxfId="1" priority="2" operator="lessThan">
      <formula>0</formula>
    </cfRule>
  </conditionalFormatting>
  <conditionalFormatting sqref="AC3:AC4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EA6B197E9684341B4C0D49BACAF2990" ma:contentTypeVersion="6" ma:contentTypeDescription="Crie um novo documento." ma:contentTypeScope="" ma:versionID="f1514786559f0fdb0d977a0272bf9315">
  <xsd:schema xmlns:xsd="http://www.w3.org/2001/XMLSchema" xmlns:xs="http://www.w3.org/2001/XMLSchema" xmlns:p="http://schemas.microsoft.com/office/2006/metadata/properties" xmlns:ns2="e4fa7687-1750-42ae-a298-fe0e9436a0a4" xmlns:ns3="37ea04f5-2a83-4ad3-bb38-2cd9db349fba" targetNamespace="http://schemas.microsoft.com/office/2006/metadata/properties" ma:root="true" ma:fieldsID="4377792da2435524dd1ced2e81903782" ns2:_="" ns3:_="">
    <xsd:import namespace="e4fa7687-1750-42ae-a298-fe0e9436a0a4"/>
    <xsd:import namespace="37ea04f5-2a83-4ad3-bb38-2cd9db349fb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a7687-1750-42ae-a298-fe0e9436a0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ea04f5-2a83-4ad3-bb38-2cd9db349fb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B8AE876-D70A-4769-B9C0-524A9A3BE0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fa7687-1750-42ae-a298-fe0e9436a0a4"/>
    <ds:schemaRef ds:uri="37ea04f5-2a83-4ad3-bb38-2cd9db349f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354D932-7544-40C1-8433-926FF65BC5F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BB1956A-65F7-4BAB-BA2C-C4F3E65DAB7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FPSO1 Base</vt:lpstr>
      <vt:lpstr>Relatório de Respostas 1</vt:lpstr>
      <vt:lpstr>Relatório de População 1</vt:lpstr>
      <vt:lpstr>FPSO1 Otim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</dc:creator>
  <cp:lastModifiedBy>Luiz Fernando Giovanelli</cp:lastModifiedBy>
  <dcterms:created xsi:type="dcterms:W3CDTF">2020-07-11T19:52:24Z</dcterms:created>
  <dcterms:modified xsi:type="dcterms:W3CDTF">2020-11-10T20:47:54Z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0x010100CEA6B197E9684341B4C0D49BACAF2990</vt:lpwstr>
  </property>
  <property fmtid="{D5CDD505-2E9C-101B-9397-08002B2CF9AE}" pid="3" name="MSIP_Label_8e61996e-cafd-4c9a-8a94-2dc1b82131ae_Enabled">
    <vt:lpwstr>True</vt:lpwstr>
  </property>
  <property fmtid="{D5CDD505-2E9C-101B-9397-08002B2CF9AE}" pid="4" name="MSIP_Label_8e61996e-cafd-4c9a-8a94-2dc1b82131ae_SiteId">
    <vt:lpwstr>5b6f6241-9a57-4be4-8e50-1dfa72e79a57</vt:lpwstr>
  </property>
  <property fmtid="{D5CDD505-2E9C-101B-9397-08002B2CF9AE}" pid="5" name="MSIP_Label_8e61996e-cafd-4c9a-8a94-2dc1b82131ae_Owner">
    <vt:lpwstr>luiz.giovanelli@petrobras.com.br</vt:lpwstr>
  </property>
  <property fmtid="{D5CDD505-2E9C-101B-9397-08002B2CF9AE}" pid="6" name="MSIP_Label_8e61996e-cafd-4c9a-8a94-2dc1b82131ae_SetDate">
    <vt:lpwstr>2020-07-14T20:43:46.0012809Z</vt:lpwstr>
  </property>
  <property fmtid="{D5CDD505-2E9C-101B-9397-08002B2CF9AE}" pid="7" name="MSIP_Label_8e61996e-cafd-4c9a-8a94-2dc1b82131ae_Name">
    <vt:lpwstr>NP-1</vt:lpwstr>
  </property>
  <property fmtid="{D5CDD505-2E9C-101B-9397-08002B2CF9AE}" pid="8" name="MSIP_Label_8e61996e-cafd-4c9a-8a94-2dc1b82131ae_Application">
    <vt:lpwstr>Microsoft Azure Information Protection</vt:lpwstr>
  </property>
  <property fmtid="{D5CDD505-2E9C-101B-9397-08002B2CF9AE}" pid="9" name="MSIP_Label_8e61996e-cafd-4c9a-8a94-2dc1b82131ae_ActionId">
    <vt:lpwstr>9f72221b-50ed-4a05-a13f-c5c57469106f</vt:lpwstr>
  </property>
  <property fmtid="{D5CDD505-2E9C-101B-9397-08002B2CF9AE}" pid="10" name="MSIP_Label_8e61996e-cafd-4c9a-8a94-2dc1b82131ae_Extended_MSFT_Method">
    <vt:lpwstr>Automatic</vt:lpwstr>
  </property>
  <property fmtid="{D5CDD505-2E9C-101B-9397-08002B2CF9AE}" pid="11" name="Sensitivity">
    <vt:lpwstr>NP-1</vt:lpwstr>
  </property>
</Properties>
</file>